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14_{7AB627BD-D8EC-4715-8A41-0410EBC4A764}" xr6:coauthVersionLast="47" xr6:coauthVersionMax="47" xr10:uidLastSave="{00000000-0000-0000-0000-000000000000}"/>
  <bookViews>
    <workbookView xWindow="-108" yWindow="-108" windowWidth="23256" windowHeight="13896" firstSheet="2" activeTab="2" xr2:uid="{68A1C1FA-4771-4A67-85A2-E5BA05B754D5}"/>
  </bookViews>
  <sheets>
    <sheet name="Dashboard" sheetId="1" r:id="rId1"/>
    <sheet name="Estudio de tiempos" sheetId="2" r:id="rId2"/>
    <sheet name="Estudio de tiempos (2)" sheetId="4" r:id="rId3"/>
    <sheet name="Estudio de tiempos (3)" sheetId="6" r:id="rId4"/>
    <sheet name="Sheet2" sheetId="7" r:id="rId5"/>
    <sheet name="Estudio de Tiempo por est.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6" l="1"/>
  <c r="H6" i="6"/>
  <c r="A22" i="7" a="1"/>
  <c r="A22" i="7" s="1"/>
  <c r="B15" i="7"/>
  <c r="B14" i="7"/>
  <c r="C16" i="6"/>
  <c r="C17" i="6" s="1"/>
  <c r="C18" i="6" s="1"/>
  <c r="C19" i="6" s="1"/>
  <c r="C20" i="6" s="1"/>
  <c r="G14" i="6"/>
  <c r="G13" i="6"/>
  <c r="G11" i="6"/>
  <c r="G12" i="6" s="1"/>
  <c r="J8" i="6"/>
  <c r="H8" i="6"/>
  <c r="J7" i="6"/>
  <c r="H7" i="6"/>
  <c r="J5" i="6"/>
  <c r="H5" i="6"/>
  <c r="J4" i="6"/>
  <c r="H4" i="6"/>
  <c r="J7" i="4"/>
  <c r="B22" i="7" l="1" a="1"/>
  <c r="B22" i="7" s="1"/>
  <c r="G9" i="6"/>
  <c r="H9" i="6" s="1"/>
  <c r="G10" i="6" s="1"/>
  <c r="B16" i="7" s="1"/>
  <c r="J6" i="6"/>
  <c r="J4" i="4" l="1"/>
  <c r="G15" i="4"/>
  <c r="G13" i="4"/>
  <c r="G14" i="4" s="1"/>
  <c r="C20" i="4"/>
  <c r="J6" i="4"/>
  <c r="J8" i="4"/>
  <c r="J9" i="4"/>
  <c r="J10" i="4"/>
  <c r="J5" i="4"/>
  <c r="H5" i="4"/>
  <c r="H6" i="4"/>
  <c r="H7" i="4"/>
  <c r="H8" i="4"/>
  <c r="H9" i="4"/>
  <c r="H10" i="4"/>
  <c r="H4" i="4"/>
  <c r="G16" i="4"/>
  <c r="G11" i="4"/>
  <c r="C18" i="4"/>
  <c r="C19" i="4" s="1"/>
  <c r="C16" i="2"/>
  <c r="C17" i="2" s="1"/>
  <c r="C18" i="2" s="1"/>
  <c r="C19" i="2" s="1"/>
  <c r="G9" i="2"/>
  <c r="H11" i="4" l="1"/>
  <c r="G12" i="4" s="1"/>
  <c r="C21" i="4"/>
  <c r="C2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<sst xmlns="http://schemas.openxmlformats.org/spreadsheetml/2006/main" count="307" uniqueCount="193">
  <si>
    <t>Producción diaria</t>
  </si>
  <si>
    <t>Actual</t>
  </si>
  <si>
    <t>Meta</t>
  </si>
  <si>
    <t>OEE%</t>
  </si>
  <si>
    <t>Tiempo de ciclo actual vs takt time</t>
  </si>
  <si>
    <t>7 h</t>
  </si>
  <si>
    <t>Scrap</t>
  </si>
  <si>
    <t>WIP</t>
  </si>
  <si>
    <t>Piezas por hora</t>
  </si>
  <si>
    <t xml:space="preserve">Defectos por estacion </t>
  </si>
  <si>
    <t>Tiempo muerto</t>
  </si>
  <si>
    <t xml:space="preserve">Cuellos de Botella </t>
  </si>
  <si>
    <t>Estatus</t>
  </si>
  <si>
    <t>Estación</t>
  </si>
  <si>
    <t>Actividad</t>
  </si>
  <si>
    <t>Tiempo seg</t>
  </si>
  <si>
    <t xml:space="preserve">Operador </t>
  </si>
  <si>
    <t xml:space="preserve">Obersavcion </t>
  </si>
  <si>
    <t>Accion</t>
  </si>
  <si>
    <t>Se utiliza Fixture SG-2973.</t>
  </si>
  <si>
    <t>Se mueve la cajita al momento de instalar la pieza  ASY-20038-02;A0, y añadir las tuercas  H FAS
01436 complica al momento de retirar del fixture, quita un poco de tiempo,
el torque que se utiliza no es el adecuado.</t>
  </si>
  <si>
    <t xml:space="preserve">1- Cables </t>
  </si>
  <si>
    <t>4- Gaskets</t>
  </si>
  <si>
    <t>6- Empaque</t>
  </si>
  <si>
    <t xml:space="preserve">2- Tapa/ Etiquetas </t>
  </si>
  <si>
    <t>3- Base/ etiquetas</t>
  </si>
  <si>
    <t xml:space="preserve">Se batalla un poco en instalar el tornillo, el bracket y la pieza que sostiene los brackets </t>
  </si>
  <si>
    <t>Resultado</t>
  </si>
  <si>
    <t>Se aplican tornillos y brackets en la tapa ASY-09039-05;A0</t>
  </si>
  <si>
    <t>Material</t>
  </si>
  <si>
    <t xml:space="preserve">Herramental </t>
  </si>
  <si>
    <t xml:space="preserve">Se aplican tornillos (H FAS-00458) y 29 brackets ( H MECH-05450-01 ) al ensamble ASY-09037-05;A0, se agregan etiquetas en brackets </t>
  </si>
  <si>
    <t>Desarmador Estrella 
Torque 6LB</t>
  </si>
  <si>
    <t>Se dividio en 2 la estacion, una operadora acomoda las piezas y la otra operadora aprieta los tornillos  al final para apretar los brackets</t>
  </si>
  <si>
    <t>Cantidad Req.</t>
  </si>
  <si>
    <t>ASY-20061-02;A0 -800pz
ASY-20062-02;A0 - 400 pz</t>
  </si>
  <si>
    <t>Llaves allen 
llaves hexagonales 
Fixture 
Torque 68 In/lbs. (+/- 7 In/lbs).
Punta: Hex 5/32</t>
  </si>
  <si>
    <t>ASY-20062-02;A0
ASY-20061-02;A0 
ASY-20038-02;A0
H FAS- 01436</t>
  </si>
  <si>
    <t>Operador 1- Al ensamble a ASY-20038-02;A0 se le agrega el cable (A CBL-00902-01)  2 tornillos ( H FAS
01358.)  para los numeros de parte  ASY-20062-02;A0/ ASY-20061-02;A0 
Operador 2- Instala y aprieta los tornillos en el fixture para numero de parte 20061 y empaca en caja para la sig estacion
Operador 3- Instala y aprieta los tornillos en el fixture para numero de parte 20062 y empaca en caja para la sig estacion</t>
  </si>
  <si>
    <t xml:space="preserve">
ASY-20063-05;B0  - 100 pz</t>
  </si>
  <si>
    <t>ASY-09039-05; A0- 100 pz</t>
  </si>
  <si>
    <t xml:space="preserve">5- Ruteo de Cables y  final </t>
  </si>
  <si>
    <t>ASY-09037-05;A0</t>
  </si>
  <si>
    <t>(4) ASY-20062-02;A0 (A CBL-00902-01) 
(8)  ASY-20061-02;A00 
ASY-09037-05;A0
ASY-09039-05;A0</t>
  </si>
  <si>
    <t>H FAS-00458
H MECH-05450-01 
ASY-09039-05;A</t>
  </si>
  <si>
    <t xml:space="preserve">Retraso por rechazo de material, debido a marcas de material,
Perdida de tiempo </t>
  </si>
  <si>
    <t xml:space="preserve">
ASY-20063-05;B0 - 100 pz</t>
  </si>
  <si>
    <t xml:space="preserve">Se corrigio la instrucción de trabajo, </t>
  </si>
  <si>
    <t>por pieza</t>
  </si>
  <si>
    <t>seg p/p</t>
  </si>
  <si>
    <t>Se puede mejorar el tiempo a 9min x pieza</t>
  </si>
  <si>
    <t>Descansos:</t>
  </si>
  <si>
    <t xml:space="preserve">Break </t>
  </si>
  <si>
    <t>Tiempo no productivo</t>
  </si>
  <si>
    <t>min</t>
  </si>
  <si>
    <t>Tiempo Total del turno</t>
  </si>
  <si>
    <t>12 horas</t>
  </si>
  <si>
    <t xml:space="preserve">Tiempo disponible real </t>
  </si>
  <si>
    <t xml:space="preserve">Takt Time </t>
  </si>
  <si>
    <t>seg/pieza</t>
  </si>
  <si>
    <t>seg</t>
  </si>
  <si>
    <t xml:space="preserve">Se corregira instrucción de trabajo para identificar los cables.
Retraso por falta de material 
</t>
  </si>
  <si>
    <t>Primera Corrida.</t>
  </si>
  <si>
    <t xml:space="preserve">Pistola de Calor
Pinzas de Punta
Tijeras o cutter </t>
  </si>
  <si>
    <t>ASY-09037-05;A0
LBL-02042-01</t>
  </si>
  <si>
    <t>4- Gaskets base</t>
  </si>
  <si>
    <t>5- Gaskets tapa</t>
  </si>
  <si>
    <t>ASY-09039-05; A0
LBL-02045-01</t>
  </si>
  <si>
    <t xml:space="preserve">Pistola de Calor
Pinzas de Punta
Tijeras o cutter 
Fixture </t>
  </si>
  <si>
    <t>Se coloca gasket LBL-02045-01, 
en la pieza ASY-09039-05; A0 , se aplica calor con la pistola y para que pegue se utilizara fixture (referencia)</t>
  </si>
  <si>
    <t xml:space="preserve">Pistola de Calor
Pinzas de Punta
Tijeras o cutter 
</t>
  </si>
  <si>
    <t>Se coloca gasket LBL-02042-01, 
en la pieza ASY-09037-05;A0 , se aplica calor con la pistola y para que pegue se utilizara fixture de apoyo (referencia)</t>
  </si>
  <si>
    <t>total</t>
  </si>
  <si>
    <t xml:space="preserve">Tiempo de ciclo usar el mayor recurso requerido </t>
  </si>
  <si>
    <t>Tiempo min</t>
  </si>
  <si>
    <t>Total de piezas por hora</t>
  </si>
  <si>
    <r>
      <rPr>
        <b/>
        <sz val="11"/>
        <color theme="1"/>
        <rFont val="Aptos Narrow"/>
        <family val="2"/>
        <scheme val="minor"/>
      </rPr>
      <t>Operador 1-</t>
    </r>
    <r>
      <rPr>
        <sz val="11"/>
        <color theme="1"/>
        <rFont val="Aptos Narrow"/>
        <family val="2"/>
        <scheme val="minor"/>
      </rPr>
      <t xml:space="preserve"> Al ensamble a ASY-20038-02;A0 se le agrega el cable (A CBL-00902-01)  2 tornillos ( H FAS
01358.)  para los numeros de parte  ASY-20062-02;A0/ ASY-20061-02;A0 
Operador 2- Instala y aprieta los tornillos en el fixture para numero de parte 20061 y empaca en caja para la sig estacion
Operador 3- Instala y aprieta los tornillos en el fixture para numero de parte 20062 y empaca en caja para la sig estacion</t>
    </r>
  </si>
  <si>
    <t>h p/p</t>
  </si>
  <si>
    <t>Requiere mucho tiempo pegar el material</t>
  </si>
  <si>
    <t xml:space="preserve">Se diseño Fixture para mejorar tiempos.
Seguridad del operador </t>
  </si>
  <si>
    <t xml:space="preserve">Torque 
plantilla para estiquetas 
</t>
  </si>
  <si>
    <t>(4) ASY-20062-02;A0 (A CBL-00902-01) 
(8)  ASY-20061-02;A0
ASY-09037-05;A0
ASY-09039-05;A0</t>
  </si>
  <si>
    <t>Se coloca la base en la mesa
se instalan (4) ASY-20062-02;A0 (A CBL-00902-01) - (8 ASY-20061-02;A0, se aplica la tapa con el ruteo correcto de los cables, se revisa por calidad, cierra la tapa , con dos tornillos , se aplica la etiqueta y se coloca en el rack final para el siguiente paso.</t>
  </si>
  <si>
    <t xml:space="preserve"> para colocar la caja en donde van los cables, 
se coloca en la bolsa y despues se coloca en la caja interna 
una vez que se encuentra cerrada, se coloca en la caja mas grande, </t>
  </si>
  <si>
    <t>Carro elevador</t>
  </si>
  <si>
    <t>Se identifico movimiento  adicional durante la instalación de la pieza  ASY-20038-02;A0, y al agregar los tornillos H FAS01436. El retiro del fixture genera tiempo adicional y el torque actual no es optimo para la operación.</t>
  </si>
  <si>
    <t>Implementación de  Fixture SG-2973, para optimizar el ensmble y reducir tiempos de operación.</t>
  </si>
  <si>
    <t xml:space="preserve">Se presentan dificultades durante la instalación del otrnillo debido al bracket que soporta las piezas, generando retrasos durante el ensamble. </t>
  </si>
  <si>
    <r>
      <t xml:space="preserve">se edividio la estación en 2 estaciones
</t>
    </r>
    <r>
      <rPr>
        <b/>
        <sz val="11"/>
        <color theme="1"/>
        <rFont val="Aptos Narrow"/>
        <family val="2"/>
        <scheme val="minor"/>
      </rPr>
      <t>Operador 1-</t>
    </r>
    <r>
      <rPr>
        <sz val="11"/>
        <color theme="1"/>
        <rFont val="Aptos Narrow"/>
        <family val="2"/>
        <scheme val="minor"/>
      </rPr>
      <t xml:space="preserve"> Realiza el amodo de las piezas 
</t>
    </r>
    <r>
      <rPr>
        <b/>
        <sz val="11"/>
        <color theme="1"/>
        <rFont val="Aptos Narrow"/>
        <family val="2"/>
        <scheme val="minor"/>
      </rPr>
      <t>Operador 2</t>
    </r>
    <r>
      <rPr>
        <sz val="11"/>
        <color theme="1"/>
        <rFont val="Aptos Narrow"/>
        <family val="2"/>
        <scheme val="minor"/>
      </rPr>
      <t>: Ejecuta el torque dinal de los brackets.</t>
    </r>
  </si>
  <si>
    <t xml:space="preserve">Se detecto retraps por rechazo de material derivado de marcas superficiales, ocasionando pérdida de tiempo de producción. </t>
  </si>
  <si>
    <t xml:space="preserve">Se requiere revisión con calidad y proveedor para dismiuir rechazos y asegurar condición adecuada del material. </t>
  </si>
  <si>
    <t xml:space="preserve">El proceso actuazl presenta un tiempo de ciclo elevado </t>
  </si>
  <si>
    <t xml:space="preserve">Se identifico la oportunidad de mejora para reducir el tiempo de operación mediante el diseño de un fixture. </t>
  </si>
  <si>
    <t>Tiempo de Ciclo</t>
  </si>
  <si>
    <t>10 horas</t>
  </si>
  <si>
    <t xml:space="preserve">2- Tapa/ Etiquetas  </t>
  </si>
  <si>
    <t>2- Tapa/ Etiquetas  / Gaskets tapa</t>
  </si>
  <si>
    <t>H FAS-00458
H MECH-05450-01 
ASY-09039-05;A
ASY-09039-05; A0
LBL-02045-01</t>
  </si>
  <si>
    <t xml:space="preserve">Desarmador Estrella 
Torque 6LB
Pistola de Calor
Pinzas de Punta
Tijeras o cutter 
Fixture </t>
  </si>
  <si>
    <t>Se aplican tornillos (H FAS-00458) y 29 brackets ( H MECH-05450-01 ) al ensamble ASY-09037-05;A0, se agregan etiquetas en brackets 
Se coloca gasket LBL-02045-01, 
en la pieza ASY-09039-05; A0 , se aplica calor con la pistola y para que pegue se utilizara fixture (referencia)</t>
  </si>
  <si>
    <t>3- Base/ etiquetas Gaskets base</t>
  </si>
  <si>
    <t>ASY-09037-05;A0
ASY-09037-05;A0
LBL-02042-01</t>
  </si>
  <si>
    <t>Se aplican tornillos y brackets en la tapa ASY-09039-05;A0
Se coloca gasket LBL-02042-01, 
en la pieza ASY-09037-05;A0 , se aplica calor con la pistola y para que pegue se utilizara fixture de apoyo (referencia)</t>
  </si>
  <si>
    <t xml:space="preserve">4- Ruteo de Cables y  final </t>
  </si>
  <si>
    <t>5- Empaque</t>
  </si>
  <si>
    <t xml:space="preserve">Producción </t>
  </si>
  <si>
    <t>Línea esta cumpliendo?</t>
  </si>
  <si>
    <t xml:space="preserve">Plan vs Real </t>
  </si>
  <si>
    <t>Piezas por hora }</t>
  </si>
  <si>
    <t xml:space="preserve">Producción acumulada </t>
  </si>
  <si>
    <t xml:space="preserve">Gap vs Objetivo </t>
  </si>
  <si>
    <t>Cycle Time (CT)</t>
  </si>
  <si>
    <t xml:space="preserve">Eficiencia % </t>
  </si>
  <si>
    <t xml:space="preserve">Indicador </t>
  </si>
  <si>
    <t>Valor</t>
  </si>
  <si>
    <t xml:space="preserve">Meta Diaria </t>
  </si>
  <si>
    <t xml:space="preserve">Producción Actual </t>
  </si>
  <si>
    <t xml:space="preserve">Diferencia </t>
  </si>
  <si>
    <t xml:space="preserve">CT promedio </t>
  </si>
  <si>
    <t>Para detectar cuellos de botella</t>
  </si>
  <si>
    <t xml:space="preserve">Estación </t>
  </si>
  <si>
    <t>CT</t>
  </si>
  <si>
    <t>Status</t>
  </si>
  <si>
    <t>pz</t>
  </si>
  <si>
    <t>2. Estado Por Estaciones</t>
  </si>
  <si>
    <t>1. Producción (Output)</t>
  </si>
  <si>
    <t xml:space="preserve">3. Calidad </t>
  </si>
  <si>
    <t xml:space="preserve">Muy importante para la línea </t>
  </si>
  <si>
    <t xml:space="preserve">Indicadores </t>
  </si>
  <si>
    <t>FPY (First Pass Yield)</t>
  </si>
  <si>
    <t xml:space="preserve">Defectos por estación </t>
  </si>
  <si>
    <t>Rayones</t>
  </si>
  <si>
    <t xml:space="preserve">Remache incorrecto </t>
  </si>
  <si>
    <t xml:space="preserve">Gasket mal instalado </t>
  </si>
  <si>
    <t>Retrabajos</t>
  </si>
  <si>
    <t xml:space="preserve">Gráficos Recomendados </t>
  </si>
  <si>
    <t>Pareto de defectos</t>
  </si>
  <si>
    <t>Tendencia diaria</t>
  </si>
  <si>
    <t>Heat map por estación</t>
  </si>
  <si>
    <t xml:space="preserve">4. Material/Kitting/Kanban </t>
  </si>
  <si>
    <t xml:space="preserve">Evitar exceso de material y vasos de kiteo </t>
  </si>
  <si>
    <t>Indicadores</t>
  </si>
  <si>
    <t xml:space="preserve">Material faltante </t>
  </si>
  <si>
    <t>Nivel Min/ Max</t>
  </si>
  <si>
    <t xml:space="preserve">Rack lleno/Vacío </t>
  </si>
  <si>
    <t>Kanban Status</t>
  </si>
  <si>
    <t xml:space="preserve">Remaches disponibles </t>
  </si>
  <si>
    <t xml:space="preserve">Material Crítico </t>
  </si>
  <si>
    <t xml:space="preserve">Visual </t>
  </si>
  <si>
    <t>Semáforo</t>
  </si>
  <si>
    <t>Verde=</t>
  </si>
  <si>
    <t>Suficiente</t>
  </si>
  <si>
    <t>bajo</t>
  </si>
  <si>
    <t>Amarillo</t>
  </si>
  <si>
    <t>Rojo</t>
  </si>
  <si>
    <t xml:space="preserve">Surtir </t>
  </si>
  <si>
    <t>Normal</t>
  </si>
  <si>
    <t>Cuello de Botella</t>
  </si>
  <si>
    <t xml:space="preserve">5.Seguridad y Ergonomía </t>
  </si>
  <si>
    <t>Muy útil para justificar mejoras</t>
  </si>
  <si>
    <t>Indicadores:</t>
  </si>
  <si>
    <t>Levantamientos manuales</t>
  </si>
  <si>
    <t xml:space="preserve">Incidentes </t>
  </si>
  <si>
    <t>Riesgos ergonómicos</t>
  </si>
  <si>
    <t>Tiempo moviendo gabinetes</t>
  </si>
  <si>
    <t>uso de ayudas mecanicas</t>
  </si>
  <si>
    <t xml:space="preserve">Contador de movimientos pesados </t>
  </si>
  <si>
    <t>Tiempo perdido por gabinete en test</t>
  </si>
  <si>
    <t xml:space="preserve">tiemopo perdido por retrabajo </t>
  </si>
  <si>
    <t>6. Tiempo muerto/ Downtime</t>
  </si>
  <si>
    <t>Pérdidas Reales</t>
  </si>
  <si>
    <t>Categorías</t>
  </si>
  <si>
    <t xml:space="preserve">Espera de material </t>
  </si>
  <si>
    <t>Espera de Calidad</t>
  </si>
  <si>
    <t xml:space="preserve">Fixture Dañado </t>
  </si>
  <si>
    <t>Falta de operador</t>
  </si>
  <si>
    <t>Problema de Torque</t>
  </si>
  <si>
    <t xml:space="preserve">Equipo caído </t>
  </si>
  <si>
    <t xml:space="preserve">Gráfico </t>
  </si>
  <si>
    <t>Pareto de downtime</t>
  </si>
  <si>
    <t>7. Seguimiento de Operadores</t>
  </si>
  <si>
    <t>Balanceo de Línea</t>
  </si>
  <si>
    <t>Operador</t>
  </si>
  <si>
    <t xml:space="preserve">Eficiencia </t>
  </si>
  <si>
    <t xml:space="preserve">Tiempo de Ciclo </t>
  </si>
  <si>
    <t xml:space="preserve">Capacitación </t>
  </si>
  <si>
    <t xml:space="preserve">8. Alertas en tiempo Real </t>
  </si>
  <si>
    <t>Esto nhace que el dashboard sea "vivo"</t>
  </si>
  <si>
    <t xml:space="preserve">CT excedido </t>
  </si>
  <si>
    <t xml:space="preserve">Test Detenido </t>
  </si>
  <si>
    <t>Acumulación de gabinetes</t>
  </si>
  <si>
    <t>tiemopo de reivision por calidad</t>
  </si>
  <si>
    <t xml:space="preserve">Defecto repetitivo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</si>
</sst>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2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164" fontId="1" fillId="0" borderId="7" xfId="0" applyNumberFormat="1" applyFon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64" fontId="0" fillId="0" borderId="12" xfId="0" applyNumberFormat="1" applyBorder="1" applyAlignment="1">
      <alignment horizontal="center" vertical="top"/>
    </xf>
    <xf numFmtId="2" fontId="1" fillId="2" borderId="0" xfId="0" applyNumberFormat="1" applyFont="1" applyFill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0" borderId="0" xfId="0" applyNumberFormat="1"/>
    <xf numFmtId="0" fontId="1" fillId="0" borderId="0" xfId="0" applyFont="1"/>
    <xf numFmtId="0" fontId="0" fillId="0" borderId="0" xfId="0" applyAlignment="1"/>
    <xf numFmtId="164" fontId="0" fillId="0" borderId="0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DD8C-C686-465E-9625-93F6239B727B}">
  <dimension ref="B3:E12"/>
  <sheetViews>
    <sheetView workbookViewId="0">
      <selection activeCell="C5" sqref="C5"/>
    </sheetView>
  </sheetViews>
  <sheetFormatPr defaultRowHeight="14.4" x14ac:dyDescent="0.3"/>
  <cols>
    <col min="2" max="2" width="28.44140625" bestFit="1" customWidth="1"/>
    <col min="3" max="4" width="9.33203125" bestFit="1" customWidth="1"/>
  </cols>
  <sheetData>
    <row r="3" spans="2:5" x14ac:dyDescent="0.3">
      <c r="C3" s="1" t="s">
        <v>1</v>
      </c>
      <c r="D3" s="1" t="s">
        <v>2</v>
      </c>
      <c r="E3" t="s">
        <v>12</v>
      </c>
    </row>
    <row r="4" spans="2:5" x14ac:dyDescent="0.3">
      <c r="B4" t="s">
        <v>0</v>
      </c>
      <c r="C4">
        <v>4</v>
      </c>
      <c r="D4">
        <v>100</v>
      </c>
      <c r="E4" s="2"/>
    </row>
    <row r="5" spans="2:5" x14ac:dyDescent="0.3">
      <c r="B5" t="s">
        <v>3</v>
      </c>
    </row>
    <row r="6" spans="2:5" x14ac:dyDescent="0.3">
      <c r="B6" t="s">
        <v>4</v>
      </c>
      <c r="C6" t="s">
        <v>5</v>
      </c>
    </row>
    <row r="7" spans="2:5" x14ac:dyDescent="0.3">
      <c r="B7" t="s">
        <v>6</v>
      </c>
    </row>
    <row r="8" spans="2:5" x14ac:dyDescent="0.3">
      <c r="B8" t="s">
        <v>7</v>
      </c>
    </row>
    <row r="9" spans="2:5" x14ac:dyDescent="0.3">
      <c r="B9" t="s">
        <v>8</v>
      </c>
    </row>
    <row r="10" spans="2:5" x14ac:dyDescent="0.3">
      <c r="B10" t="s">
        <v>9</v>
      </c>
    </row>
    <row r="11" spans="2:5" x14ac:dyDescent="0.3">
      <c r="B11" t="s">
        <v>10</v>
      </c>
    </row>
    <row r="12" spans="2:5" x14ac:dyDescent="0.3">
      <c r="B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4EFE-8E8D-4C76-AD64-B620CE1A477C}">
  <dimension ref="B2:L19"/>
  <sheetViews>
    <sheetView showGridLines="0" zoomScale="81" workbookViewId="0">
      <selection activeCell="H9" sqref="H9"/>
    </sheetView>
  </sheetViews>
  <sheetFormatPr defaultRowHeight="14.4" x14ac:dyDescent="0.3"/>
  <cols>
    <col min="1" max="1" width="8.88671875" style="3"/>
    <col min="2" max="2" width="26.77734375" style="3" bestFit="1" customWidth="1"/>
    <col min="3" max="5" width="26.77734375" style="3" customWidth="1"/>
    <col min="6" max="6" width="27.44140625" style="3" bestFit="1" customWidth="1"/>
    <col min="7" max="7" width="11" style="3" bestFit="1" customWidth="1"/>
    <col min="8" max="8" width="9.5546875" style="3" bestFit="1" customWidth="1"/>
    <col min="9" max="9" width="43.6640625" style="3" customWidth="1"/>
    <col min="10" max="10" width="26.44140625" style="3" customWidth="1"/>
    <col min="11" max="16384" width="8.88671875" style="3"/>
  </cols>
  <sheetData>
    <row r="2" spans="2:12" ht="15" thickBot="1" x14ac:dyDescent="0.35">
      <c r="B2" s="3" t="s">
        <v>62</v>
      </c>
    </row>
    <row r="3" spans="2:12" x14ac:dyDescent="0.3">
      <c r="B3" s="25" t="s">
        <v>13</v>
      </c>
      <c r="C3" s="26" t="s">
        <v>34</v>
      </c>
      <c r="D3" s="26" t="s">
        <v>29</v>
      </c>
      <c r="E3" s="26" t="s">
        <v>30</v>
      </c>
      <c r="F3" s="26" t="s">
        <v>14</v>
      </c>
      <c r="G3" s="26" t="s">
        <v>15</v>
      </c>
      <c r="H3" s="26" t="s">
        <v>16</v>
      </c>
      <c r="I3" s="26" t="s">
        <v>17</v>
      </c>
      <c r="J3" s="26" t="s">
        <v>18</v>
      </c>
      <c r="K3" s="27" t="s">
        <v>27</v>
      </c>
    </row>
    <row r="4" spans="2:12" ht="244.8" x14ac:dyDescent="0.3">
      <c r="B4" s="20" t="s">
        <v>21</v>
      </c>
      <c r="C4" s="16" t="s">
        <v>35</v>
      </c>
      <c r="D4" s="17" t="s">
        <v>37</v>
      </c>
      <c r="E4" s="17" t="s">
        <v>36</v>
      </c>
      <c r="F4" s="17" t="s">
        <v>38</v>
      </c>
      <c r="G4" s="9">
        <v>86</v>
      </c>
      <c r="H4" s="9">
        <v>3</v>
      </c>
      <c r="I4" s="17" t="s">
        <v>20</v>
      </c>
      <c r="J4" s="17" t="s">
        <v>19</v>
      </c>
      <c r="K4" s="9"/>
      <c r="L4" s="4">
        <v>0.18402777777777779</v>
      </c>
    </row>
    <row r="5" spans="2:12" ht="72" x14ac:dyDescent="0.3">
      <c r="B5" s="21" t="s">
        <v>24</v>
      </c>
      <c r="C5" s="18" t="s">
        <v>40</v>
      </c>
      <c r="D5" s="19" t="s">
        <v>44</v>
      </c>
      <c r="E5" s="19" t="s">
        <v>32</v>
      </c>
      <c r="F5" s="17" t="s">
        <v>31</v>
      </c>
      <c r="G5" s="9">
        <v>494</v>
      </c>
      <c r="H5" s="9">
        <v>1</v>
      </c>
      <c r="I5" s="17" t="s">
        <v>26</v>
      </c>
      <c r="J5" s="17" t="s">
        <v>33</v>
      </c>
      <c r="K5" s="9"/>
    </row>
    <row r="6" spans="2:12" ht="43.2" x14ac:dyDescent="0.3">
      <c r="B6" s="20" t="s">
        <v>25</v>
      </c>
      <c r="C6" s="17" t="s">
        <v>39</v>
      </c>
      <c r="D6" s="17" t="s">
        <v>42</v>
      </c>
      <c r="E6" s="9"/>
      <c r="F6" s="17" t="s">
        <v>28</v>
      </c>
      <c r="G6" s="9">
        <v>50</v>
      </c>
      <c r="H6" s="9">
        <v>1</v>
      </c>
      <c r="I6" s="17" t="s">
        <v>45</v>
      </c>
      <c r="J6" s="9"/>
      <c r="K6" s="9"/>
    </row>
    <row r="7" spans="2:12" x14ac:dyDescent="0.3">
      <c r="B7" s="20" t="s">
        <v>22</v>
      </c>
      <c r="C7" s="9"/>
      <c r="D7" s="9"/>
      <c r="E7" s="9"/>
      <c r="F7" s="9"/>
      <c r="G7" s="9">
        <v>900</v>
      </c>
      <c r="H7" s="9"/>
      <c r="I7" s="9" t="s">
        <v>50</v>
      </c>
      <c r="J7" s="9"/>
      <c r="K7" s="9"/>
    </row>
    <row r="8" spans="2:12" ht="72" x14ac:dyDescent="0.3">
      <c r="B8" s="20" t="s">
        <v>41</v>
      </c>
      <c r="C8" s="16" t="s">
        <v>46</v>
      </c>
      <c r="D8" s="17" t="s">
        <v>43</v>
      </c>
      <c r="E8" s="9"/>
      <c r="F8" s="9"/>
      <c r="G8" s="9">
        <v>2820</v>
      </c>
      <c r="H8" s="9">
        <v>1</v>
      </c>
      <c r="I8" s="17" t="s">
        <v>61</v>
      </c>
      <c r="J8" s="9" t="s">
        <v>47</v>
      </c>
      <c r="K8" s="9"/>
    </row>
    <row r="9" spans="2:12" ht="15" thickBot="1" x14ac:dyDescent="0.35">
      <c r="B9" s="22" t="s">
        <v>23</v>
      </c>
      <c r="C9" s="23"/>
      <c r="D9" s="24"/>
      <c r="E9" s="24"/>
      <c r="F9" s="24"/>
      <c r="G9" s="24">
        <f>SUM(G4:G8)</f>
        <v>4350</v>
      </c>
      <c r="H9" s="24" t="s">
        <v>49</v>
      </c>
      <c r="I9" s="24"/>
      <c r="J9" s="24"/>
      <c r="K9" s="24"/>
    </row>
    <row r="10" spans="2:12" ht="15" thickBot="1" x14ac:dyDescent="0.35">
      <c r="B10" s="5"/>
      <c r="C10" s="5"/>
      <c r="G10" s="7">
        <v>0.05</v>
      </c>
      <c r="H10" s="8" t="s">
        <v>48</v>
      </c>
    </row>
    <row r="11" spans="2:12" x14ac:dyDescent="0.3">
      <c r="B11" s="29" t="s">
        <v>55</v>
      </c>
      <c r="C11" s="30"/>
      <c r="D11" s="31"/>
    </row>
    <row r="12" spans="2:12" x14ac:dyDescent="0.3">
      <c r="B12" s="10" t="s">
        <v>56</v>
      </c>
      <c r="C12" s="9">
        <v>720</v>
      </c>
      <c r="D12" s="11" t="s">
        <v>54</v>
      </c>
    </row>
    <row r="13" spans="2:12" x14ac:dyDescent="0.3">
      <c r="B13" s="10" t="s">
        <v>51</v>
      </c>
      <c r="C13" s="9">
        <v>30</v>
      </c>
      <c r="D13" s="11" t="s">
        <v>54</v>
      </c>
    </row>
    <row r="14" spans="2:12" x14ac:dyDescent="0.3">
      <c r="B14" s="10" t="s">
        <v>52</v>
      </c>
      <c r="C14" s="9">
        <v>10</v>
      </c>
      <c r="D14" s="11" t="s">
        <v>54</v>
      </c>
    </row>
    <row r="15" spans="2:12" x14ac:dyDescent="0.3">
      <c r="B15" s="10" t="s">
        <v>52</v>
      </c>
      <c r="C15" s="9">
        <v>15</v>
      </c>
      <c r="D15" s="11" t="s">
        <v>54</v>
      </c>
    </row>
    <row r="16" spans="2:12" x14ac:dyDescent="0.3">
      <c r="B16" s="12" t="s">
        <v>53</v>
      </c>
      <c r="C16" s="9">
        <f>SUM(C13:C15)</f>
        <v>55</v>
      </c>
      <c r="D16" s="11"/>
    </row>
    <row r="17" spans="2:4" x14ac:dyDescent="0.3">
      <c r="B17" s="12" t="s">
        <v>57</v>
      </c>
      <c r="C17" s="9">
        <f>C12-C16</f>
        <v>665</v>
      </c>
      <c r="D17" s="11"/>
    </row>
    <row r="18" spans="2:4" x14ac:dyDescent="0.3">
      <c r="B18" s="10"/>
      <c r="C18" s="9">
        <f>C17*60</f>
        <v>39900</v>
      </c>
      <c r="D18" s="11" t="s">
        <v>60</v>
      </c>
    </row>
    <row r="19" spans="2:4" ht="15" thickBot="1" x14ac:dyDescent="0.35">
      <c r="B19" s="13" t="s">
        <v>58</v>
      </c>
      <c r="C19" s="14">
        <f>C18/18</f>
        <v>2216.6666666666665</v>
      </c>
      <c r="D19" s="15" t="s">
        <v>59</v>
      </c>
    </row>
  </sheetData>
  <mergeCells count="1">
    <mergeCell ref="B11:D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3B26-6F63-443A-A52F-8D8FD24C0BE8}">
  <dimension ref="B2:N23"/>
  <sheetViews>
    <sheetView showGridLines="0" tabSelected="1" topLeftCell="A7" zoomScale="85" zoomScaleNormal="85" workbookViewId="0">
      <selection activeCell="J20" sqref="J20"/>
    </sheetView>
  </sheetViews>
  <sheetFormatPr defaultRowHeight="14.4" x14ac:dyDescent="0.3"/>
  <cols>
    <col min="1" max="1" width="8.88671875" style="3"/>
    <col min="2" max="2" width="26.77734375" style="3" bestFit="1" customWidth="1"/>
    <col min="3" max="5" width="26.77734375" style="3" customWidth="1"/>
    <col min="6" max="6" width="40.44140625" style="3" customWidth="1"/>
    <col min="7" max="7" width="11" style="34" bestFit="1" customWidth="1"/>
    <col min="8" max="8" width="11.109375" style="34" bestFit="1" customWidth="1"/>
    <col min="9" max="9" width="9.5546875" style="34" bestFit="1" customWidth="1"/>
    <col min="10" max="10" width="21.6640625" style="34" bestFit="1" customWidth="1"/>
    <col min="11" max="11" width="43.6640625" style="3" customWidth="1"/>
    <col min="12" max="12" width="26.44140625" style="3" customWidth="1"/>
    <col min="13" max="16384" width="8.88671875" style="3"/>
  </cols>
  <sheetData>
    <row r="2" spans="2:14" ht="15" thickBot="1" x14ac:dyDescent="0.35">
      <c r="B2" s="3" t="s">
        <v>62</v>
      </c>
    </row>
    <row r="3" spans="2:14" x14ac:dyDescent="0.3">
      <c r="B3" s="25" t="s">
        <v>13</v>
      </c>
      <c r="C3" s="26" t="s">
        <v>34</v>
      </c>
      <c r="D3" s="26" t="s">
        <v>29</v>
      </c>
      <c r="E3" s="26" t="s">
        <v>30</v>
      </c>
      <c r="F3" s="26" t="s">
        <v>14</v>
      </c>
      <c r="G3" s="26" t="s">
        <v>15</v>
      </c>
      <c r="H3" s="26" t="s">
        <v>74</v>
      </c>
      <c r="I3" s="26" t="s">
        <v>16</v>
      </c>
      <c r="J3" s="26" t="s">
        <v>75</v>
      </c>
      <c r="K3" s="26" t="s">
        <v>17</v>
      </c>
      <c r="L3" s="26" t="s">
        <v>18</v>
      </c>
      <c r="M3" s="27" t="s">
        <v>27</v>
      </c>
    </row>
    <row r="4" spans="2:14" ht="158.4" x14ac:dyDescent="0.3">
      <c r="B4" s="20" t="s">
        <v>21</v>
      </c>
      <c r="C4" s="16" t="s">
        <v>35</v>
      </c>
      <c r="D4" s="17" t="s">
        <v>37</v>
      </c>
      <c r="E4" s="17" t="s">
        <v>36</v>
      </c>
      <c r="F4" s="17" t="s">
        <v>76</v>
      </c>
      <c r="G4" s="35">
        <v>86</v>
      </c>
      <c r="H4" s="36">
        <f>G4/60</f>
        <v>1.4333333333333333</v>
      </c>
      <c r="I4" s="35">
        <v>3</v>
      </c>
      <c r="J4" s="36">
        <f>3600/86*I4</f>
        <v>125.58139534883722</v>
      </c>
      <c r="K4" s="17" t="s">
        <v>85</v>
      </c>
      <c r="L4" s="17" t="s">
        <v>86</v>
      </c>
      <c r="M4" s="9"/>
      <c r="N4" s="4">
        <v>0.18402777777777779</v>
      </c>
    </row>
    <row r="5" spans="2:14" ht="86.4" x14ac:dyDescent="0.3">
      <c r="B5" s="21" t="s">
        <v>95</v>
      </c>
      <c r="C5" s="18" t="s">
        <v>40</v>
      </c>
      <c r="D5" s="19" t="s">
        <v>44</v>
      </c>
      <c r="E5" s="19" t="s">
        <v>32</v>
      </c>
      <c r="F5" s="17" t="s">
        <v>31</v>
      </c>
      <c r="G5" s="35">
        <v>494</v>
      </c>
      <c r="H5" s="36">
        <f t="shared" ref="H5:H11" si="0">G5/60</f>
        <v>8.2333333333333325</v>
      </c>
      <c r="I5" s="35">
        <v>1</v>
      </c>
      <c r="J5" s="36">
        <f>3600/G5*I5</f>
        <v>7.287449392712551</v>
      </c>
      <c r="K5" s="17" t="s">
        <v>87</v>
      </c>
      <c r="L5" s="17" t="s">
        <v>88</v>
      </c>
      <c r="M5" s="9"/>
    </row>
    <row r="6" spans="2:14" ht="72" x14ac:dyDescent="0.3">
      <c r="B6" s="20" t="s">
        <v>25</v>
      </c>
      <c r="C6" s="17" t="s">
        <v>39</v>
      </c>
      <c r="D6" s="17" t="s">
        <v>42</v>
      </c>
      <c r="E6" s="17" t="s">
        <v>63</v>
      </c>
      <c r="F6" s="17" t="s">
        <v>28</v>
      </c>
      <c r="G6" s="35">
        <v>50</v>
      </c>
      <c r="H6" s="36">
        <f t="shared" si="0"/>
        <v>0.83333333333333337</v>
      </c>
      <c r="I6" s="35">
        <v>1</v>
      </c>
      <c r="J6" s="36">
        <f t="shared" ref="J6:J10" si="1">3600/G6*I6</f>
        <v>72</v>
      </c>
      <c r="K6" s="17" t="s">
        <v>89</v>
      </c>
      <c r="L6" s="17" t="s">
        <v>90</v>
      </c>
      <c r="M6" s="9"/>
    </row>
    <row r="7" spans="2:14" ht="57.6" x14ac:dyDescent="0.3">
      <c r="B7" s="20" t="s">
        <v>65</v>
      </c>
      <c r="C7" s="17"/>
      <c r="D7" s="17" t="s">
        <v>64</v>
      </c>
      <c r="E7" s="17" t="s">
        <v>70</v>
      </c>
      <c r="F7" s="17" t="s">
        <v>71</v>
      </c>
      <c r="G7" s="35">
        <v>900</v>
      </c>
      <c r="H7" s="36">
        <f t="shared" si="0"/>
        <v>15</v>
      </c>
      <c r="I7" s="35">
        <v>3</v>
      </c>
      <c r="J7" s="36">
        <f>3600/G7*I7</f>
        <v>12</v>
      </c>
      <c r="K7" s="9" t="s">
        <v>91</v>
      </c>
      <c r="L7" s="42" t="s">
        <v>92</v>
      </c>
      <c r="M7" s="9"/>
    </row>
    <row r="8" spans="2:14" ht="57.6" x14ac:dyDescent="0.3">
      <c r="B8" s="20" t="s">
        <v>66</v>
      </c>
      <c r="C8" s="17"/>
      <c r="D8" s="17" t="s">
        <v>67</v>
      </c>
      <c r="E8" s="17" t="s">
        <v>68</v>
      </c>
      <c r="F8" s="17" t="s">
        <v>69</v>
      </c>
      <c r="G8" s="35">
        <v>84</v>
      </c>
      <c r="H8" s="36">
        <f t="shared" si="0"/>
        <v>1.4</v>
      </c>
      <c r="I8" s="35">
        <v>1</v>
      </c>
      <c r="J8" s="36">
        <f t="shared" si="1"/>
        <v>42.857142857142854</v>
      </c>
      <c r="K8" s="9" t="s">
        <v>78</v>
      </c>
      <c r="L8" s="17" t="s">
        <v>79</v>
      </c>
      <c r="M8" s="9"/>
    </row>
    <row r="9" spans="2:14" ht="144" x14ac:dyDescent="0.3">
      <c r="B9" s="20" t="s">
        <v>41</v>
      </c>
      <c r="C9" s="16" t="s">
        <v>46</v>
      </c>
      <c r="D9" s="17" t="s">
        <v>81</v>
      </c>
      <c r="E9" s="17" t="s">
        <v>80</v>
      </c>
      <c r="F9" s="17" t="s">
        <v>82</v>
      </c>
      <c r="G9" s="35">
        <v>2820</v>
      </c>
      <c r="H9" s="36">
        <f t="shared" si="0"/>
        <v>47</v>
      </c>
      <c r="I9" s="35">
        <v>2</v>
      </c>
      <c r="J9" s="36">
        <f t="shared" si="1"/>
        <v>2.5531914893617023</v>
      </c>
      <c r="K9" s="17" t="s">
        <v>61</v>
      </c>
      <c r="L9" s="9" t="s">
        <v>47</v>
      </c>
      <c r="M9" s="9"/>
    </row>
    <row r="10" spans="2:14" ht="72.599999999999994" thickBot="1" x14ac:dyDescent="0.35">
      <c r="B10" s="22" t="s">
        <v>23</v>
      </c>
      <c r="C10" s="23"/>
      <c r="D10" s="24"/>
      <c r="E10" s="9" t="s">
        <v>84</v>
      </c>
      <c r="F10" s="33" t="s">
        <v>83</v>
      </c>
      <c r="G10" s="37">
        <v>300</v>
      </c>
      <c r="H10" s="36">
        <f t="shared" si="0"/>
        <v>5</v>
      </c>
      <c r="I10" s="37">
        <v>2</v>
      </c>
      <c r="J10" s="36">
        <f t="shared" si="1"/>
        <v>24</v>
      </c>
      <c r="K10" s="24"/>
      <c r="L10" s="24"/>
      <c r="M10" s="24"/>
    </row>
    <row r="11" spans="2:14" ht="15" thickBot="1" x14ac:dyDescent="0.35">
      <c r="B11" s="5" t="s">
        <v>72</v>
      </c>
      <c r="C11" s="5"/>
      <c r="F11" s="43" t="s">
        <v>93</v>
      </c>
      <c r="G11" s="37">
        <f>SUM(G5:G10)</f>
        <v>4648</v>
      </c>
      <c r="H11" s="38">
        <f t="shared" si="0"/>
        <v>77.466666666666669</v>
      </c>
      <c r="I11" s="37" t="s">
        <v>49</v>
      </c>
      <c r="J11" s="38"/>
    </row>
    <row r="12" spans="2:14" ht="15" thickBot="1" x14ac:dyDescent="0.35">
      <c r="B12" s="5"/>
      <c r="C12" s="5"/>
      <c r="F12" s="44"/>
      <c r="G12" s="39">
        <f>H11/60</f>
        <v>1.2911111111111111</v>
      </c>
      <c r="H12" s="40"/>
      <c r="I12" s="41" t="s">
        <v>77</v>
      </c>
      <c r="J12" s="40"/>
    </row>
    <row r="13" spans="2:14" x14ac:dyDescent="0.3">
      <c r="B13" s="29" t="s">
        <v>55</v>
      </c>
      <c r="C13" s="30"/>
      <c r="D13" s="31"/>
      <c r="G13" s="34">
        <f>G9/60</f>
        <v>47</v>
      </c>
      <c r="H13" s="40"/>
      <c r="J13" s="40"/>
    </row>
    <row r="14" spans="2:14" x14ac:dyDescent="0.3">
      <c r="B14" s="10" t="s">
        <v>94</v>
      </c>
      <c r="C14" s="9">
        <v>720</v>
      </c>
      <c r="D14" s="11" t="s">
        <v>54</v>
      </c>
      <c r="G14" s="34">
        <f>60/G13</f>
        <v>1.2765957446808511</v>
      </c>
      <c r="H14" s="40"/>
      <c r="J14" s="40"/>
    </row>
    <row r="15" spans="2:14" x14ac:dyDescent="0.3">
      <c r="B15" s="10" t="s">
        <v>51</v>
      </c>
      <c r="C15" s="9">
        <v>30</v>
      </c>
      <c r="D15" s="11" t="s">
        <v>54</v>
      </c>
      <c r="G15" s="34">
        <f>1.2*8</f>
        <v>9.6</v>
      </c>
      <c r="H15" s="40"/>
      <c r="J15" s="40"/>
    </row>
    <row r="16" spans="2:14" x14ac:dyDescent="0.3">
      <c r="B16" s="10" t="s">
        <v>52</v>
      </c>
      <c r="C16" s="9">
        <v>10</v>
      </c>
      <c r="D16" s="11" t="s">
        <v>54</v>
      </c>
      <c r="G16" s="34">
        <f>1.2*10</f>
        <v>12</v>
      </c>
      <c r="H16" s="40"/>
      <c r="J16" s="40"/>
    </row>
    <row r="17" spans="2:10" x14ac:dyDescent="0.3">
      <c r="B17" s="10" t="s">
        <v>52</v>
      </c>
      <c r="C17" s="9">
        <v>15</v>
      </c>
      <c r="D17" s="11" t="s">
        <v>54</v>
      </c>
      <c r="H17" s="40"/>
      <c r="J17" s="40"/>
    </row>
    <row r="18" spans="2:10" x14ac:dyDescent="0.3">
      <c r="B18" s="12" t="s">
        <v>53</v>
      </c>
      <c r="C18" s="9">
        <f>SUM(C15:C17)</f>
        <v>55</v>
      </c>
      <c r="D18" s="11" t="s">
        <v>54</v>
      </c>
      <c r="H18" s="40"/>
      <c r="J18" s="40"/>
    </row>
    <row r="19" spans="2:10" x14ac:dyDescent="0.3">
      <c r="B19" s="12" t="s">
        <v>57</v>
      </c>
      <c r="C19" s="9">
        <f>C14-C18</f>
        <v>665</v>
      </c>
      <c r="D19" s="11" t="s">
        <v>54</v>
      </c>
      <c r="H19" s="40"/>
      <c r="J19" s="40"/>
    </row>
    <row r="20" spans="2:10" x14ac:dyDescent="0.3">
      <c r="B20" s="10"/>
      <c r="C20" s="9">
        <f>C19*60</f>
        <v>39900</v>
      </c>
      <c r="D20" s="11" t="s">
        <v>60</v>
      </c>
      <c r="H20" s="40"/>
      <c r="J20" s="40"/>
    </row>
    <row r="21" spans="2:10" ht="15" thickBot="1" x14ac:dyDescent="0.35">
      <c r="B21" s="13" t="s">
        <v>58</v>
      </c>
      <c r="C21" s="32">
        <f>C20/18</f>
        <v>2216.6666666666665</v>
      </c>
      <c r="D21" s="15" t="s">
        <v>59</v>
      </c>
      <c r="H21" s="40"/>
      <c r="J21" s="40"/>
    </row>
    <row r="22" spans="2:10" x14ac:dyDescent="0.3">
      <c r="C22" s="28">
        <f>C21/60</f>
        <v>36.944444444444443</v>
      </c>
      <c r="H22" s="40"/>
      <c r="J22" s="40"/>
    </row>
    <row r="23" spans="2:10" x14ac:dyDescent="0.3">
      <c r="B23" s="6" t="s">
        <v>73</v>
      </c>
      <c r="H23" s="40"/>
      <c r="J23" s="40"/>
    </row>
  </sheetData>
  <mergeCells count="2">
    <mergeCell ref="B13:D13"/>
    <mergeCell ref="F11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78D9-CD3D-485B-AD1A-6161BAF78D8A}">
  <dimension ref="B2:N21"/>
  <sheetViews>
    <sheetView showGridLines="0" topLeftCell="A4" zoomScale="85" zoomScaleNormal="85" workbookViewId="0">
      <selection activeCell="G9" sqref="G9"/>
    </sheetView>
  </sheetViews>
  <sheetFormatPr defaultRowHeight="14.4" x14ac:dyDescent="0.3"/>
  <cols>
    <col min="1" max="1" width="8.88671875" style="3"/>
    <col min="2" max="2" width="26.77734375" style="3" bestFit="1" customWidth="1"/>
    <col min="3" max="5" width="26.77734375" style="3" customWidth="1"/>
    <col min="6" max="6" width="40.44140625" style="3" customWidth="1"/>
    <col min="7" max="7" width="11" style="34" bestFit="1" customWidth="1"/>
    <col min="8" max="8" width="11.109375" style="34" bestFit="1" customWidth="1"/>
    <col min="9" max="9" width="9.5546875" style="34" bestFit="1" customWidth="1"/>
    <col min="10" max="10" width="21.6640625" style="34" bestFit="1" customWidth="1"/>
    <col min="11" max="11" width="43.6640625" style="3" customWidth="1"/>
    <col min="12" max="12" width="26.44140625" style="3" customWidth="1"/>
    <col min="13" max="16384" width="8.88671875" style="3"/>
  </cols>
  <sheetData>
    <row r="2" spans="2:14" ht="15" thickBot="1" x14ac:dyDescent="0.35">
      <c r="B2" s="3" t="s">
        <v>62</v>
      </c>
    </row>
    <row r="3" spans="2:14" x14ac:dyDescent="0.3">
      <c r="B3" s="25" t="s">
        <v>13</v>
      </c>
      <c r="C3" s="26" t="s">
        <v>34</v>
      </c>
      <c r="D3" s="26" t="s">
        <v>29</v>
      </c>
      <c r="E3" s="26" t="s">
        <v>30</v>
      </c>
      <c r="F3" s="26" t="s">
        <v>14</v>
      </c>
      <c r="G3" s="26" t="s">
        <v>15</v>
      </c>
      <c r="H3" s="26" t="s">
        <v>74</v>
      </c>
      <c r="I3" s="26" t="s">
        <v>16</v>
      </c>
      <c r="J3" s="26" t="s">
        <v>75</v>
      </c>
      <c r="K3" s="26" t="s">
        <v>17</v>
      </c>
      <c r="L3" s="26" t="s">
        <v>18</v>
      </c>
      <c r="M3" s="27" t="s">
        <v>27</v>
      </c>
    </row>
    <row r="4" spans="2:14" ht="158.4" x14ac:dyDescent="0.3">
      <c r="B4" s="20" t="s">
        <v>21</v>
      </c>
      <c r="C4" s="16" t="s">
        <v>35</v>
      </c>
      <c r="D4" s="17" t="s">
        <v>37</v>
      </c>
      <c r="E4" s="17" t="s">
        <v>36</v>
      </c>
      <c r="F4" s="17" t="s">
        <v>76</v>
      </c>
      <c r="G4" s="35">
        <v>86</v>
      </c>
      <c r="H4" s="36">
        <f>G4/60</f>
        <v>1.4333333333333333</v>
      </c>
      <c r="I4" s="35">
        <v>3</v>
      </c>
      <c r="J4" s="36">
        <f>3600/86*I4</f>
        <v>125.58139534883722</v>
      </c>
      <c r="K4" s="17" t="s">
        <v>85</v>
      </c>
      <c r="L4" s="17" t="s">
        <v>86</v>
      </c>
      <c r="M4" s="9"/>
      <c r="N4" s="4">
        <v>0.18402777777777779</v>
      </c>
    </row>
    <row r="5" spans="2:14" ht="100.8" x14ac:dyDescent="0.3">
      <c r="B5" s="21" t="s">
        <v>96</v>
      </c>
      <c r="C5" s="18" t="s">
        <v>40</v>
      </c>
      <c r="D5" s="19" t="s">
        <v>97</v>
      </c>
      <c r="E5" s="19" t="s">
        <v>98</v>
      </c>
      <c r="F5" s="17" t="s">
        <v>99</v>
      </c>
      <c r="G5" s="35">
        <v>494</v>
      </c>
      <c r="H5" s="36">
        <f t="shared" ref="H5:H9" si="0">G5/60</f>
        <v>8.2333333333333325</v>
      </c>
      <c r="I5" s="35">
        <v>1</v>
      </c>
      <c r="J5" s="36">
        <f>3600/G5*I5</f>
        <v>7.287449392712551</v>
      </c>
      <c r="K5" s="17" t="s">
        <v>87</v>
      </c>
      <c r="L5" s="17" t="s">
        <v>88</v>
      </c>
      <c r="M5" s="9"/>
    </row>
    <row r="6" spans="2:14" ht="86.4" x14ac:dyDescent="0.3">
      <c r="B6" s="20" t="s">
        <v>100</v>
      </c>
      <c r="C6" s="17" t="s">
        <v>39</v>
      </c>
      <c r="D6" s="17" t="s">
        <v>101</v>
      </c>
      <c r="E6" s="17" t="s">
        <v>63</v>
      </c>
      <c r="F6" s="17" t="s">
        <v>102</v>
      </c>
      <c r="G6" s="35">
        <f>45*60</f>
        <v>2700</v>
      </c>
      <c r="H6" s="36">
        <f>G6/60</f>
        <v>45</v>
      </c>
      <c r="I6" s="35">
        <v>1</v>
      </c>
      <c r="J6" s="36">
        <f t="shared" ref="J6:J8" si="1">3600/G6*I6</f>
        <v>1.3333333333333333</v>
      </c>
      <c r="K6" s="17" t="s">
        <v>89</v>
      </c>
      <c r="L6" s="17" t="s">
        <v>90</v>
      </c>
      <c r="M6" s="9"/>
    </row>
    <row r="7" spans="2:14" ht="100.8" x14ac:dyDescent="0.3">
      <c r="B7" s="20" t="s">
        <v>103</v>
      </c>
      <c r="C7" s="16" t="s">
        <v>46</v>
      </c>
      <c r="D7" s="17" t="s">
        <v>81</v>
      </c>
      <c r="E7" s="17" t="s">
        <v>80</v>
      </c>
      <c r="F7" s="17" t="s">
        <v>82</v>
      </c>
      <c r="G7" s="35">
        <v>2820</v>
      </c>
      <c r="H7" s="36">
        <f t="shared" si="0"/>
        <v>47</v>
      </c>
      <c r="I7" s="35">
        <v>2</v>
      </c>
      <c r="J7" s="36">
        <f t="shared" si="1"/>
        <v>2.5531914893617023</v>
      </c>
      <c r="K7" s="17" t="s">
        <v>61</v>
      </c>
      <c r="L7" s="9" t="s">
        <v>47</v>
      </c>
      <c r="M7" s="9"/>
    </row>
    <row r="8" spans="2:14" ht="72.599999999999994" thickBot="1" x14ac:dyDescent="0.35">
      <c r="B8" s="22" t="s">
        <v>104</v>
      </c>
      <c r="C8" s="23"/>
      <c r="D8" s="24"/>
      <c r="E8" s="9" t="s">
        <v>84</v>
      </c>
      <c r="F8" s="33" t="s">
        <v>83</v>
      </c>
      <c r="G8" s="37">
        <v>360</v>
      </c>
      <c r="H8" s="36">
        <f t="shared" si="0"/>
        <v>6</v>
      </c>
      <c r="I8" s="37">
        <v>2</v>
      </c>
      <c r="J8" s="36">
        <f t="shared" si="1"/>
        <v>20</v>
      </c>
      <c r="K8" s="24"/>
      <c r="L8" s="24"/>
      <c r="M8" s="24"/>
    </row>
    <row r="9" spans="2:14" ht="15" thickBot="1" x14ac:dyDescent="0.35">
      <c r="B9" s="5" t="s">
        <v>72</v>
      </c>
      <c r="C9" s="5"/>
      <c r="F9" s="43" t="s">
        <v>93</v>
      </c>
      <c r="G9" s="37">
        <f>SUM(G5:G8)</f>
        <v>6374</v>
      </c>
      <c r="H9" s="38">
        <f t="shared" si="0"/>
        <v>106.23333333333333</v>
      </c>
      <c r="I9" s="37" t="s">
        <v>49</v>
      </c>
      <c r="J9" s="38"/>
    </row>
    <row r="10" spans="2:14" ht="15" thickBot="1" x14ac:dyDescent="0.35">
      <c r="B10" s="5"/>
      <c r="C10" s="5"/>
      <c r="F10" s="44"/>
      <c r="G10" s="39">
        <f>H9/60</f>
        <v>1.7705555555555557</v>
      </c>
      <c r="H10" s="40"/>
      <c r="I10" s="41" t="s">
        <v>77</v>
      </c>
      <c r="J10" s="40"/>
    </row>
    <row r="11" spans="2:14" x14ac:dyDescent="0.3">
      <c r="B11" s="29" t="s">
        <v>55</v>
      </c>
      <c r="C11" s="30"/>
      <c r="D11" s="31"/>
      <c r="G11" s="34">
        <f>G7/60</f>
        <v>47</v>
      </c>
      <c r="H11" s="40"/>
      <c r="J11" s="40"/>
    </row>
    <row r="12" spans="2:14" x14ac:dyDescent="0.3">
      <c r="B12" s="10" t="s">
        <v>94</v>
      </c>
      <c r="C12" s="9">
        <v>720</v>
      </c>
      <c r="D12" s="11" t="s">
        <v>54</v>
      </c>
      <c r="G12" s="34">
        <f>60/G11</f>
        <v>1.2765957446808511</v>
      </c>
      <c r="H12" s="40"/>
      <c r="J12" s="40"/>
    </row>
    <row r="13" spans="2:14" x14ac:dyDescent="0.3">
      <c r="B13" s="10" t="s">
        <v>51</v>
      </c>
      <c r="C13" s="9">
        <v>30</v>
      </c>
      <c r="D13" s="11" t="s">
        <v>54</v>
      </c>
      <c r="G13" s="34">
        <f>1.2*8</f>
        <v>9.6</v>
      </c>
      <c r="H13" s="40"/>
      <c r="J13" s="40"/>
    </row>
    <row r="14" spans="2:14" x14ac:dyDescent="0.3">
      <c r="B14" s="10" t="s">
        <v>52</v>
      </c>
      <c r="C14" s="9">
        <v>10</v>
      </c>
      <c r="D14" s="11" t="s">
        <v>54</v>
      </c>
      <c r="G14" s="34">
        <f>1.2*10</f>
        <v>12</v>
      </c>
      <c r="H14" s="40"/>
      <c r="J14" s="40"/>
    </row>
    <row r="15" spans="2:14" x14ac:dyDescent="0.3">
      <c r="B15" s="10" t="s">
        <v>52</v>
      </c>
      <c r="C15" s="9">
        <v>15</v>
      </c>
      <c r="D15" s="11" t="s">
        <v>54</v>
      </c>
      <c r="H15" s="40"/>
      <c r="J15" s="40"/>
    </row>
    <row r="16" spans="2:14" x14ac:dyDescent="0.3">
      <c r="B16" s="12" t="s">
        <v>53</v>
      </c>
      <c r="C16" s="9">
        <f>SUM(C13:C15)</f>
        <v>55</v>
      </c>
      <c r="D16" s="11" t="s">
        <v>54</v>
      </c>
      <c r="H16" s="40"/>
      <c r="J16" s="40"/>
    </row>
    <row r="17" spans="2:10" x14ac:dyDescent="0.3">
      <c r="B17" s="12" t="s">
        <v>57</v>
      </c>
      <c r="C17" s="9">
        <f>C12-C16</f>
        <v>665</v>
      </c>
      <c r="D17" s="11" t="s">
        <v>54</v>
      </c>
      <c r="H17" s="40"/>
      <c r="J17" s="40"/>
    </row>
    <row r="18" spans="2:10" x14ac:dyDescent="0.3">
      <c r="B18" s="10"/>
      <c r="C18" s="9">
        <f>C17*60</f>
        <v>39900</v>
      </c>
      <c r="D18" s="11" t="s">
        <v>60</v>
      </c>
      <c r="H18" s="40"/>
      <c r="J18" s="40"/>
    </row>
    <row r="19" spans="2:10" ht="15" thickBot="1" x14ac:dyDescent="0.35">
      <c r="B19" s="13" t="s">
        <v>58</v>
      </c>
      <c r="C19" s="32">
        <f>C18/18</f>
        <v>2216.6666666666665</v>
      </c>
      <c r="D19" s="15" t="s">
        <v>59</v>
      </c>
      <c r="H19" s="40"/>
      <c r="J19" s="40"/>
    </row>
    <row r="20" spans="2:10" x14ac:dyDescent="0.3">
      <c r="C20" s="28">
        <f>C19/60</f>
        <v>36.944444444444443</v>
      </c>
      <c r="H20" s="40"/>
      <c r="J20" s="40"/>
    </row>
    <row r="21" spans="2:10" x14ac:dyDescent="0.3">
      <c r="B21" s="6" t="s">
        <v>73</v>
      </c>
      <c r="H21" s="40"/>
      <c r="J21" s="40"/>
    </row>
  </sheetData>
  <mergeCells count="2">
    <mergeCell ref="F9:F10"/>
    <mergeCell ref="B11:D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165F-0A93-4199-868F-DADFB0C04272}">
  <dimension ref="A1:C106"/>
  <sheetViews>
    <sheetView topLeftCell="A77" workbookViewId="0">
      <selection activeCell="E95" sqref="E95"/>
    </sheetView>
  </sheetViews>
  <sheetFormatPr defaultRowHeight="14.4" x14ac:dyDescent="0.3"/>
  <cols>
    <col min="1" max="1" width="27.88671875" bestFit="1" customWidth="1"/>
    <col min="2" max="2" width="12" bestFit="1" customWidth="1"/>
  </cols>
  <sheetData>
    <row r="1" spans="1:3" x14ac:dyDescent="0.3">
      <c r="A1" s="46" t="s">
        <v>125</v>
      </c>
    </row>
    <row r="2" spans="1:3" x14ac:dyDescent="0.3">
      <c r="A2" t="s">
        <v>106</v>
      </c>
    </row>
    <row r="3" spans="1:3" x14ac:dyDescent="0.3">
      <c r="A3" t="s">
        <v>107</v>
      </c>
    </row>
    <row r="4" spans="1:3" x14ac:dyDescent="0.3">
      <c r="A4" t="s">
        <v>108</v>
      </c>
    </row>
    <row r="5" spans="1:3" x14ac:dyDescent="0.3">
      <c r="A5" t="s">
        <v>109</v>
      </c>
    </row>
    <row r="6" spans="1:3" x14ac:dyDescent="0.3">
      <c r="A6" t="s">
        <v>110</v>
      </c>
    </row>
    <row r="7" spans="1:3" x14ac:dyDescent="0.3">
      <c r="A7" t="s">
        <v>58</v>
      </c>
    </row>
    <row r="8" spans="1:3" x14ac:dyDescent="0.3">
      <c r="A8" t="s">
        <v>111</v>
      </c>
    </row>
    <row r="9" spans="1:3" x14ac:dyDescent="0.3">
      <c r="A9" t="s">
        <v>112</v>
      </c>
    </row>
    <row r="11" spans="1:3" x14ac:dyDescent="0.3">
      <c r="A11" s="46" t="s">
        <v>113</v>
      </c>
      <c r="B11" s="46" t="s">
        <v>114</v>
      </c>
    </row>
    <row r="12" spans="1:3" x14ac:dyDescent="0.3">
      <c r="A12" t="s">
        <v>115</v>
      </c>
      <c r="B12">
        <v>20</v>
      </c>
      <c r="C12" t="s">
        <v>123</v>
      </c>
    </row>
    <row r="13" spans="1:3" x14ac:dyDescent="0.3">
      <c r="A13" t="s">
        <v>116</v>
      </c>
      <c r="B13">
        <v>6</v>
      </c>
      <c r="C13" t="s">
        <v>123</v>
      </c>
    </row>
    <row r="14" spans="1:3" x14ac:dyDescent="0.3">
      <c r="A14" t="s">
        <v>117</v>
      </c>
      <c r="B14">
        <f>B12-B13</f>
        <v>14</v>
      </c>
      <c r="C14" t="s">
        <v>123</v>
      </c>
    </row>
    <row r="15" spans="1:3" x14ac:dyDescent="0.3">
      <c r="A15" t="s">
        <v>58</v>
      </c>
      <c r="B15" s="48">
        <f>'Estudio de tiempos (3)'!C20</f>
        <v>36.944444444444443</v>
      </c>
      <c r="C15" t="s">
        <v>54</v>
      </c>
    </row>
    <row r="16" spans="1:3" x14ac:dyDescent="0.3">
      <c r="A16" t="s">
        <v>118</v>
      </c>
      <c r="B16" s="45">
        <f>'Estudio de tiempos (3)'!G10</f>
        <v>1.7705555555555557</v>
      </c>
    </row>
    <row r="17" spans="1:3" x14ac:dyDescent="0.3">
      <c r="B17" s="47"/>
    </row>
    <row r="18" spans="1:3" x14ac:dyDescent="0.3">
      <c r="A18" s="46" t="s">
        <v>124</v>
      </c>
    </row>
    <row r="19" spans="1:3" x14ac:dyDescent="0.3">
      <c r="A19" t="s">
        <v>119</v>
      </c>
    </row>
    <row r="21" spans="1:3" x14ac:dyDescent="0.3">
      <c r="A21" s="46" t="s">
        <v>120</v>
      </c>
      <c r="B21" s="46" t="s">
        <v>121</v>
      </c>
      <c r="C21" s="46" t="s">
        <v>122</v>
      </c>
    </row>
    <row r="22" spans="1:3" x14ac:dyDescent="0.3">
      <c r="A22" t="str" cm="1">
        <f t="array" ref="A22:A26">'Estudio de tiempos (3)'!B4:B8</f>
        <v xml:space="preserve">1- Cables </v>
      </c>
      <c r="B22" cm="1">
        <f t="array" ref="B22:B26">'Estudio de tiempos (3)'!H4:H8</f>
        <v>1.4333333333333333</v>
      </c>
      <c r="C22" t="s">
        <v>156</v>
      </c>
    </row>
    <row r="23" spans="1:3" x14ac:dyDescent="0.3">
      <c r="A23" t="str">
        <v>2- Tapa/ Etiquetas  / Gaskets tapa</v>
      </c>
      <c r="B23">
        <v>8.2333333333333325</v>
      </c>
      <c r="C23" t="s">
        <v>156</v>
      </c>
    </row>
    <row r="24" spans="1:3" x14ac:dyDescent="0.3">
      <c r="A24" t="str">
        <v>3- Base/ etiquetas Gaskets base</v>
      </c>
      <c r="B24">
        <v>45</v>
      </c>
      <c r="C24" t="s">
        <v>157</v>
      </c>
    </row>
    <row r="25" spans="1:3" x14ac:dyDescent="0.3">
      <c r="A25" t="str">
        <v xml:space="preserve">4- Ruteo de Cables y  final </v>
      </c>
      <c r="B25">
        <v>47</v>
      </c>
      <c r="C25" t="s">
        <v>157</v>
      </c>
    </row>
    <row r="26" spans="1:3" x14ac:dyDescent="0.3">
      <c r="A26" t="str">
        <v>5- Empaque</v>
      </c>
      <c r="B26">
        <v>6</v>
      </c>
      <c r="C26" t="s">
        <v>156</v>
      </c>
    </row>
    <row r="28" spans="1:3" x14ac:dyDescent="0.3">
      <c r="A28" s="46" t="s">
        <v>126</v>
      </c>
    </row>
    <row r="29" spans="1:3" x14ac:dyDescent="0.3">
      <c r="A29" t="s">
        <v>127</v>
      </c>
    </row>
    <row r="31" spans="1:3" x14ac:dyDescent="0.3">
      <c r="A31" t="s">
        <v>128</v>
      </c>
    </row>
    <row r="32" spans="1:3" x14ac:dyDescent="0.3">
      <c r="A32" t="s">
        <v>129</v>
      </c>
    </row>
    <row r="33" spans="1:1" x14ac:dyDescent="0.3">
      <c r="A33" t="s">
        <v>130</v>
      </c>
    </row>
    <row r="34" spans="1:1" x14ac:dyDescent="0.3">
      <c r="A34" t="s">
        <v>131</v>
      </c>
    </row>
    <row r="35" spans="1:1" x14ac:dyDescent="0.3">
      <c r="A35" t="s">
        <v>132</v>
      </c>
    </row>
    <row r="36" spans="1:1" x14ac:dyDescent="0.3">
      <c r="A36" t="s">
        <v>133</v>
      </c>
    </row>
    <row r="37" spans="1:1" x14ac:dyDescent="0.3">
      <c r="A37" t="s">
        <v>134</v>
      </c>
    </row>
    <row r="39" spans="1:1" x14ac:dyDescent="0.3">
      <c r="A39" t="s">
        <v>135</v>
      </c>
    </row>
    <row r="40" spans="1:1" x14ac:dyDescent="0.3">
      <c r="A40" s="49" t="s">
        <v>136</v>
      </c>
    </row>
    <row r="41" spans="1:1" x14ac:dyDescent="0.3">
      <c r="A41" t="s">
        <v>137</v>
      </c>
    </row>
    <row r="42" spans="1:1" x14ac:dyDescent="0.3">
      <c r="A42" s="49" t="s">
        <v>138</v>
      </c>
    </row>
    <row r="44" spans="1:1" x14ac:dyDescent="0.3">
      <c r="A44" s="50" t="s">
        <v>139</v>
      </c>
    </row>
    <row r="45" spans="1:1" x14ac:dyDescent="0.3">
      <c r="A45" t="s">
        <v>140</v>
      </c>
    </row>
    <row r="47" spans="1:1" x14ac:dyDescent="0.3">
      <c r="A47" t="s">
        <v>141</v>
      </c>
    </row>
    <row r="48" spans="1:1" x14ac:dyDescent="0.3">
      <c r="A48" t="s">
        <v>142</v>
      </c>
    </row>
    <row r="49" spans="1:2" x14ac:dyDescent="0.3">
      <c r="A49" t="s">
        <v>143</v>
      </c>
    </row>
    <row r="50" spans="1:2" x14ac:dyDescent="0.3">
      <c r="A50" t="s">
        <v>144</v>
      </c>
    </row>
    <row r="51" spans="1:2" x14ac:dyDescent="0.3">
      <c r="A51" t="s">
        <v>145</v>
      </c>
    </row>
    <row r="52" spans="1:2" x14ac:dyDescent="0.3">
      <c r="A52" t="s">
        <v>146</v>
      </c>
    </row>
    <row r="53" spans="1:2" x14ac:dyDescent="0.3">
      <c r="A53" t="s">
        <v>147</v>
      </c>
    </row>
    <row r="55" spans="1:2" x14ac:dyDescent="0.3">
      <c r="A55" t="s">
        <v>148</v>
      </c>
    </row>
    <row r="56" spans="1:2" x14ac:dyDescent="0.3">
      <c r="A56" t="s">
        <v>149</v>
      </c>
    </row>
    <row r="57" spans="1:2" x14ac:dyDescent="0.3">
      <c r="A57" t="s">
        <v>150</v>
      </c>
      <c r="B57" t="s">
        <v>151</v>
      </c>
    </row>
    <row r="58" spans="1:2" x14ac:dyDescent="0.3">
      <c r="A58" t="s">
        <v>153</v>
      </c>
      <c r="B58" t="s">
        <v>152</v>
      </c>
    </row>
    <row r="59" spans="1:2" x14ac:dyDescent="0.3">
      <c r="A59" t="s">
        <v>154</v>
      </c>
      <c r="B59" t="s">
        <v>155</v>
      </c>
    </row>
    <row r="61" spans="1:2" x14ac:dyDescent="0.3">
      <c r="A61" s="46" t="s">
        <v>158</v>
      </c>
    </row>
    <row r="62" spans="1:2" x14ac:dyDescent="0.3">
      <c r="A62" t="s">
        <v>159</v>
      </c>
    </row>
    <row r="64" spans="1:2" x14ac:dyDescent="0.3">
      <c r="A64" t="s">
        <v>160</v>
      </c>
    </row>
    <row r="65" spans="1:1" x14ac:dyDescent="0.3">
      <c r="A65" t="s">
        <v>161</v>
      </c>
    </row>
    <row r="66" spans="1:1" x14ac:dyDescent="0.3">
      <c r="A66" t="s">
        <v>162</v>
      </c>
    </row>
    <row r="67" spans="1:1" x14ac:dyDescent="0.3">
      <c r="A67" t="s">
        <v>163</v>
      </c>
    </row>
    <row r="68" spans="1:1" x14ac:dyDescent="0.3">
      <c r="A68" t="s">
        <v>164</v>
      </c>
    </row>
    <row r="69" spans="1:1" x14ac:dyDescent="0.3">
      <c r="A69" t="s">
        <v>165</v>
      </c>
    </row>
    <row r="70" spans="1:1" x14ac:dyDescent="0.3">
      <c r="A70" t="s">
        <v>166</v>
      </c>
    </row>
    <row r="71" spans="1:1" x14ac:dyDescent="0.3">
      <c r="A71" t="s">
        <v>167</v>
      </c>
    </row>
    <row r="72" spans="1:1" x14ac:dyDescent="0.3">
      <c r="A72" t="s">
        <v>168</v>
      </c>
    </row>
    <row r="74" spans="1:1" x14ac:dyDescent="0.3">
      <c r="A74" t="s">
        <v>169</v>
      </c>
    </row>
    <row r="75" spans="1:1" x14ac:dyDescent="0.3">
      <c r="A75" t="s">
        <v>170</v>
      </c>
    </row>
    <row r="77" spans="1:1" x14ac:dyDescent="0.3">
      <c r="A77" t="s">
        <v>171</v>
      </c>
    </row>
    <row r="78" spans="1:1" x14ac:dyDescent="0.3">
      <c r="A78" t="s">
        <v>172</v>
      </c>
    </row>
    <row r="79" spans="1:1" x14ac:dyDescent="0.3">
      <c r="A79" t="s">
        <v>173</v>
      </c>
    </row>
    <row r="80" spans="1:1" x14ac:dyDescent="0.3">
      <c r="A80" t="s">
        <v>174</v>
      </c>
    </row>
    <row r="81" spans="1:1" x14ac:dyDescent="0.3">
      <c r="A81" t="s">
        <v>175</v>
      </c>
    </row>
    <row r="82" spans="1:1" x14ac:dyDescent="0.3">
      <c r="A82" t="s">
        <v>176</v>
      </c>
    </row>
    <row r="83" spans="1:1" x14ac:dyDescent="0.3">
      <c r="A83" t="s">
        <v>177</v>
      </c>
    </row>
    <row r="85" spans="1:1" x14ac:dyDescent="0.3">
      <c r="A85" t="s">
        <v>178</v>
      </c>
    </row>
    <row r="86" spans="1:1" x14ac:dyDescent="0.3">
      <c r="A86" t="s">
        <v>179</v>
      </c>
    </row>
    <row r="88" spans="1:1" x14ac:dyDescent="0.3">
      <c r="A88" t="s">
        <v>180</v>
      </c>
    </row>
    <row r="89" spans="1:1" x14ac:dyDescent="0.3">
      <c r="A89" t="s">
        <v>181</v>
      </c>
    </row>
    <row r="91" spans="1:1" x14ac:dyDescent="0.3">
      <c r="A91" t="s">
        <v>182</v>
      </c>
    </row>
    <row r="92" spans="1:1" x14ac:dyDescent="0.3">
      <c r="A92" t="s">
        <v>120</v>
      </c>
    </row>
    <row r="93" spans="1:1" x14ac:dyDescent="0.3">
      <c r="A93" t="s">
        <v>183</v>
      </c>
    </row>
    <row r="94" spans="1:1" x14ac:dyDescent="0.3">
      <c r="A94" t="s">
        <v>105</v>
      </c>
    </row>
    <row r="95" spans="1:1" x14ac:dyDescent="0.3">
      <c r="A95" t="s">
        <v>184</v>
      </c>
    </row>
    <row r="96" spans="1:1" x14ac:dyDescent="0.3">
      <c r="A96" t="s">
        <v>185</v>
      </c>
    </row>
    <row r="98" spans="1:1" x14ac:dyDescent="0.3">
      <c r="A98" t="s">
        <v>186</v>
      </c>
    </row>
    <row r="99" spans="1:1" x14ac:dyDescent="0.3">
      <c r="A99" t="s">
        <v>187</v>
      </c>
    </row>
    <row r="101" spans="1:1" x14ac:dyDescent="0.3">
      <c r="A101" t="s">
        <v>188</v>
      </c>
    </row>
    <row r="102" spans="1:1" x14ac:dyDescent="0.3">
      <c r="A102" t="s">
        <v>147</v>
      </c>
    </row>
    <row r="103" spans="1:1" x14ac:dyDescent="0.3">
      <c r="A103" t="s">
        <v>189</v>
      </c>
    </row>
    <row r="104" spans="1:1" x14ac:dyDescent="0.3">
      <c r="A104" t="s">
        <v>190</v>
      </c>
    </row>
    <row r="105" spans="1:1" x14ac:dyDescent="0.3">
      <c r="A105" t="s">
        <v>191</v>
      </c>
    </row>
    <row r="106" spans="1:1" x14ac:dyDescent="0.3">
      <c r="A106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0367-0D0D-4476-8C33-9D447D9AE3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Estudio de tiempos</vt:lpstr>
      <vt:lpstr>Estudio de tiempos (2)</vt:lpstr>
      <vt:lpstr>Estudio de tiempos (3)</vt:lpstr>
      <vt:lpstr>Sheet2</vt:lpstr>
      <vt:lpstr>Estudio de Tiempo por est.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Ramirez</dc:creator>
  <cp:lastModifiedBy>Adriana Ramirez</cp:lastModifiedBy>
  <dcterms:created xsi:type="dcterms:W3CDTF">2026-05-19T11:43:11Z</dcterms:created>
  <dcterms:modified xsi:type="dcterms:W3CDTF">2026-05-23T23:25:52Z</dcterms:modified>
</cp:coreProperties>
</file>