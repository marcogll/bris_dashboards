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0" documentId="8_{38E2487C-8C4D-48FF-AA3D-BFDE116DD0D4}" xr6:coauthVersionLast="47" xr6:coauthVersionMax="47" xr10:uidLastSave="{00000000-0000-0000-0000-000000000000}"/>
  <bookViews>
    <workbookView xWindow="-108" yWindow="-108" windowWidth="23256" windowHeight="13896" activeTab="3" xr2:uid="{096CA7FF-567E-4BC8-9F08-252EF75879C1}"/>
  </bookViews>
  <sheets>
    <sheet name="SIOP File" sheetId="1" r:id="rId1"/>
    <sheet name="Pivot" sheetId="3" r:id="rId2"/>
    <sheet name="PFM NON-SELL" sheetId="5" r:id="rId3"/>
    <sheet name="PFM NON-SELL (Draft Layers)" sheetId="6" r:id="rId4"/>
  </sheets>
  <definedNames>
    <definedName name="_xlnm._FilterDatabase" localSheetId="2" hidden="1">'PFM NON-SELL'!$A$5:$AV$98</definedName>
    <definedName name="_xlnm._FilterDatabase" localSheetId="3" hidden="1">'PFM NON-SELL (Draft Layers)'!$A$5:$AV$798</definedName>
    <definedName name="_xlnm._FilterDatabase" localSheetId="0" hidden="1">'SIOP File'!$A$5:$AW$298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X850" i="6" l="1"/>
  <c r="DX849" i="6"/>
  <c r="DX848" i="6"/>
  <c r="DX847" i="6"/>
  <c r="DX846" i="6"/>
  <c r="DX845" i="6"/>
  <c r="DX844" i="6"/>
  <c r="DX843" i="6"/>
  <c r="DX842" i="6"/>
  <c r="DX841" i="6"/>
  <c r="DX840" i="6"/>
  <c r="DX839" i="6"/>
  <c r="DX838" i="6"/>
  <c r="DX837" i="6"/>
  <c r="DX836" i="6"/>
  <c r="DX835" i="6"/>
  <c r="DX834" i="6"/>
  <c r="DX833" i="6"/>
  <c r="DX832" i="6"/>
  <c r="DX831" i="6"/>
  <c r="DX830" i="6"/>
  <c r="DX829" i="6"/>
  <c r="DX828" i="6"/>
  <c r="DX827" i="6"/>
  <c r="DX826" i="6"/>
  <c r="DX825" i="6"/>
  <c r="DX824" i="6"/>
  <c r="DX823" i="6"/>
  <c r="DX822" i="6"/>
  <c r="DX821" i="6"/>
  <c r="DX820" i="6"/>
  <c r="DX819" i="6"/>
  <c r="DX818" i="6"/>
  <c r="DX817" i="6"/>
  <c r="DX816" i="6"/>
  <c r="DX815" i="6"/>
  <c r="DX814" i="6"/>
  <c r="DX813" i="6"/>
  <c r="DX812" i="6"/>
  <c r="DX811" i="6"/>
  <c r="DX810" i="6"/>
  <c r="DX809" i="6"/>
  <c r="DX808" i="6"/>
  <c r="DX807" i="6"/>
  <c r="DX806" i="6"/>
  <c r="DX805" i="6"/>
  <c r="DX804" i="6"/>
  <c r="DX803" i="6"/>
  <c r="DX802" i="6"/>
  <c r="DX801" i="6"/>
  <c r="DX800" i="6"/>
  <c r="DX799" i="6"/>
  <c r="DX798" i="6"/>
  <c r="DX797" i="6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CU54" i="5"/>
  <c r="CV54" i="5"/>
  <c r="CW54" i="5"/>
  <c r="CX54" i="5"/>
  <c r="CY54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CU53" i="5"/>
  <c r="CV53" i="5"/>
  <c r="CW53" i="5"/>
  <c r="CX53" i="5"/>
  <c r="CY53" i="5"/>
  <c r="AW54" i="5"/>
  <c r="AW53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AW17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AW16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AW15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AW14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AW13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AW12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AW11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AW10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AW9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AW7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AW6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AW8" i="5"/>
  <c r="AY52" i="5" l="1"/>
  <c r="AZ52" i="5"/>
  <c r="BA52" i="5"/>
  <c r="BB52" i="5"/>
  <c r="BC52" i="5"/>
  <c r="BD52" i="5"/>
  <c r="BE52" i="5"/>
  <c r="BF52" i="5"/>
  <c r="BI52" i="5"/>
  <c r="BJ52" i="5"/>
  <c r="BK52" i="5"/>
  <c r="BL52" i="5"/>
  <c r="BM52" i="5"/>
  <c r="BN52" i="5"/>
  <c r="BO52" i="5"/>
  <c r="BP52" i="5"/>
  <c r="BQ52" i="5"/>
  <c r="BV52" i="5"/>
  <c r="BX52" i="5"/>
  <c r="BY52" i="5"/>
  <c r="BZ52" i="5"/>
  <c r="CA52" i="5"/>
  <c r="CB52" i="5"/>
  <c r="CC52" i="5"/>
  <c r="CD52" i="5"/>
  <c r="CE52" i="5"/>
  <c r="CF52" i="5"/>
  <c r="CG52" i="5"/>
  <c r="CH52" i="5"/>
  <c r="CM52" i="5"/>
  <c r="CN52" i="5"/>
  <c r="CO52" i="5"/>
  <c r="CP52" i="5"/>
  <c r="CQ52" i="5"/>
  <c r="CR52" i="5"/>
  <c r="CS52" i="5"/>
  <c r="CT52" i="5"/>
  <c r="CU52" i="5"/>
  <c r="CV52" i="5"/>
  <c r="CW52" i="5"/>
  <c r="CX52" i="5"/>
  <c r="CY52" i="5"/>
  <c r="CZ52" i="5"/>
  <c r="DA52" i="5"/>
  <c r="DB52" i="5"/>
  <c r="DC52" i="5"/>
  <c r="DD52" i="5"/>
  <c r="DE52" i="5"/>
  <c r="DF52" i="5"/>
  <c r="DG52" i="5"/>
  <c r="DH52" i="5"/>
  <c r="DI52" i="5"/>
  <c r="DJ52" i="5"/>
  <c r="DK52" i="5"/>
  <c r="DL52" i="5"/>
  <c r="AX51" i="5"/>
  <c r="AX52" i="5"/>
  <c r="AW52" i="5"/>
  <c r="AY50" i="5"/>
  <c r="AZ50" i="5"/>
  <c r="BA50" i="5"/>
  <c r="BB50" i="5"/>
  <c r="BC50" i="5"/>
  <c r="BD50" i="5"/>
  <c r="BE50" i="5"/>
  <c r="BF50" i="5"/>
  <c r="BI50" i="5"/>
  <c r="BJ50" i="5"/>
  <c r="BK50" i="5"/>
  <c r="BL50" i="5"/>
  <c r="BM50" i="5"/>
  <c r="BN50" i="5"/>
  <c r="BO50" i="5"/>
  <c r="BP50" i="5"/>
  <c r="BQ50" i="5"/>
  <c r="BV50" i="5"/>
  <c r="BX50" i="5"/>
  <c r="BY50" i="5"/>
  <c r="BZ50" i="5"/>
  <c r="CA50" i="5"/>
  <c r="CB50" i="5"/>
  <c r="CC50" i="5"/>
  <c r="CD50" i="5"/>
  <c r="CE50" i="5"/>
  <c r="CF50" i="5"/>
  <c r="CG50" i="5"/>
  <c r="CH50" i="5"/>
  <c r="CM50" i="5"/>
  <c r="CN50" i="5"/>
  <c r="CO50" i="5"/>
  <c r="CP50" i="5"/>
  <c r="CQ50" i="5"/>
  <c r="CR50" i="5"/>
  <c r="CS50" i="5"/>
  <c r="CT50" i="5"/>
  <c r="CU50" i="5"/>
  <c r="CV50" i="5"/>
  <c r="CW50" i="5"/>
  <c r="CX50" i="5"/>
  <c r="CY50" i="5"/>
  <c r="CZ50" i="5"/>
  <c r="DA50" i="5"/>
  <c r="DB50" i="5"/>
  <c r="DC50" i="5"/>
  <c r="DD50" i="5"/>
  <c r="DE50" i="5"/>
  <c r="DF50" i="5"/>
  <c r="DG50" i="5"/>
  <c r="DH50" i="5"/>
  <c r="DI50" i="5"/>
  <c r="DJ50" i="5"/>
  <c r="DK50" i="5"/>
  <c r="DL50" i="5"/>
  <c r="AY51" i="5"/>
  <c r="AZ51" i="5"/>
  <c r="BA51" i="5"/>
  <c r="BB51" i="5"/>
  <c r="BC51" i="5"/>
  <c r="BD51" i="5"/>
  <c r="BE51" i="5"/>
  <c r="BF51" i="5"/>
  <c r="BI51" i="5"/>
  <c r="BJ51" i="5"/>
  <c r="BK51" i="5"/>
  <c r="BL51" i="5"/>
  <c r="BM51" i="5"/>
  <c r="BN51" i="5"/>
  <c r="BO51" i="5"/>
  <c r="BP51" i="5"/>
  <c r="BQ51" i="5"/>
  <c r="BV51" i="5"/>
  <c r="BX51" i="5"/>
  <c r="BY51" i="5"/>
  <c r="BZ51" i="5"/>
  <c r="CA51" i="5"/>
  <c r="CB51" i="5"/>
  <c r="CC51" i="5"/>
  <c r="CD51" i="5"/>
  <c r="CE51" i="5"/>
  <c r="CF51" i="5"/>
  <c r="CG51" i="5"/>
  <c r="CH51" i="5"/>
  <c r="CM51" i="5"/>
  <c r="CN51" i="5"/>
  <c r="CO51" i="5"/>
  <c r="CP51" i="5"/>
  <c r="CQ51" i="5"/>
  <c r="CR51" i="5"/>
  <c r="CS51" i="5"/>
  <c r="CT51" i="5"/>
  <c r="CU51" i="5"/>
  <c r="CV51" i="5"/>
  <c r="CW51" i="5"/>
  <c r="CX51" i="5"/>
  <c r="CY51" i="5"/>
  <c r="CZ51" i="5"/>
  <c r="DA51" i="5"/>
  <c r="DB51" i="5"/>
  <c r="DC51" i="5"/>
  <c r="DD51" i="5"/>
  <c r="DE51" i="5"/>
  <c r="DF51" i="5"/>
  <c r="DG51" i="5"/>
  <c r="DH51" i="5"/>
  <c r="DI51" i="5"/>
  <c r="DJ51" i="5"/>
  <c r="DK51" i="5"/>
  <c r="DL51" i="5"/>
  <c r="AX50" i="5"/>
  <c r="AW51" i="5"/>
  <c r="AW50" i="5"/>
  <c r="AY48" i="5"/>
  <c r="AZ48" i="5"/>
  <c r="BA48" i="5"/>
  <c r="BB48" i="5"/>
  <c r="BC48" i="5"/>
  <c r="BD48" i="5"/>
  <c r="BE48" i="5"/>
  <c r="BF48" i="5"/>
  <c r="BI48" i="5"/>
  <c r="BJ48" i="5"/>
  <c r="BK48" i="5"/>
  <c r="BL48" i="5"/>
  <c r="BM48" i="5"/>
  <c r="BN48" i="5"/>
  <c r="BO48" i="5"/>
  <c r="BP48" i="5"/>
  <c r="BQ48" i="5"/>
  <c r="BV48" i="5"/>
  <c r="BX48" i="5"/>
  <c r="BY48" i="5"/>
  <c r="BZ48" i="5"/>
  <c r="CA48" i="5"/>
  <c r="CB48" i="5"/>
  <c r="CC48" i="5"/>
  <c r="CD48" i="5"/>
  <c r="CE48" i="5"/>
  <c r="CF48" i="5"/>
  <c r="CG48" i="5"/>
  <c r="CH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AY49" i="5"/>
  <c r="AZ49" i="5"/>
  <c r="BA49" i="5"/>
  <c r="BB49" i="5"/>
  <c r="BC49" i="5"/>
  <c r="BD49" i="5"/>
  <c r="BE49" i="5"/>
  <c r="BF49" i="5"/>
  <c r="BI49" i="5"/>
  <c r="BJ49" i="5"/>
  <c r="BK49" i="5"/>
  <c r="BL49" i="5"/>
  <c r="BM49" i="5"/>
  <c r="BN49" i="5"/>
  <c r="BO49" i="5"/>
  <c r="BP49" i="5"/>
  <c r="BQ49" i="5"/>
  <c r="BV49" i="5"/>
  <c r="BX49" i="5"/>
  <c r="BY49" i="5"/>
  <c r="BZ49" i="5"/>
  <c r="CA49" i="5"/>
  <c r="CB49" i="5"/>
  <c r="CC49" i="5"/>
  <c r="CD49" i="5"/>
  <c r="CE49" i="5"/>
  <c r="CF49" i="5"/>
  <c r="CG49" i="5"/>
  <c r="CH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AX49" i="5"/>
  <c r="AX48" i="5"/>
  <c r="AW49" i="5"/>
  <c r="AW48" i="5"/>
  <c r="AW44" i="5"/>
  <c r="AW45" i="5"/>
  <c r="AW46" i="5"/>
  <c r="AW47" i="5"/>
  <c r="AX44" i="5"/>
  <c r="AY44" i="5"/>
  <c r="AZ44" i="5"/>
  <c r="BA44" i="5"/>
  <c r="BB44" i="5"/>
  <c r="BC44" i="5"/>
  <c r="BD44" i="5"/>
  <c r="BE44" i="5"/>
  <c r="BF44" i="5"/>
  <c r="BI44" i="5"/>
  <c r="BJ44" i="5"/>
  <c r="BK44" i="5"/>
  <c r="BL44" i="5"/>
  <c r="BM44" i="5"/>
  <c r="BN44" i="5"/>
  <c r="BO44" i="5"/>
  <c r="BP44" i="5"/>
  <c r="BQ44" i="5"/>
  <c r="BV44" i="5"/>
  <c r="BX44" i="5"/>
  <c r="BY44" i="5"/>
  <c r="BZ44" i="5"/>
  <c r="CA44" i="5"/>
  <c r="CB44" i="5"/>
  <c r="CC44" i="5"/>
  <c r="CD44" i="5"/>
  <c r="CE44" i="5"/>
  <c r="CF44" i="5"/>
  <c r="CG44" i="5"/>
  <c r="CH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AX45" i="5"/>
  <c r="AY45" i="5"/>
  <c r="AZ45" i="5"/>
  <c r="BA45" i="5"/>
  <c r="BB45" i="5"/>
  <c r="BC45" i="5"/>
  <c r="BD45" i="5"/>
  <c r="BE45" i="5"/>
  <c r="BF45" i="5"/>
  <c r="BI45" i="5"/>
  <c r="BJ45" i="5"/>
  <c r="BK45" i="5"/>
  <c r="BL45" i="5"/>
  <c r="BM45" i="5"/>
  <c r="BN45" i="5"/>
  <c r="BO45" i="5"/>
  <c r="BP45" i="5"/>
  <c r="BQ45" i="5"/>
  <c r="BV45" i="5"/>
  <c r="BX45" i="5"/>
  <c r="BY45" i="5"/>
  <c r="BZ45" i="5"/>
  <c r="CA45" i="5"/>
  <c r="CB45" i="5"/>
  <c r="CC45" i="5"/>
  <c r="CD45" i="5"/>
  <c r="CE45" i="5"/>
  <c r="CF45" i="5"/>
  <c r="CG45" i="5"/>
  <c r="CH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AX46" i="5"/>
  <c r="AY46" i="5"/>
  <c r="AZ46" i="5"/>
  <c r="BA46" i="5"/>
  <c r="BB46" i="5"/>
  <c r="BC46" i="5"/>
  <c r="BD46" i="5"/>
  <c r="BE46" i="5"/>
  <c r="BF46" i="5"/>
  <c r="BI46" i="5"/>
  <c r="BJ46" i="5"/>
  <c r="BK46" i="5"/>
  <c r="BL46" i="5"/>
  <c r="BM46" i="5"/>
  <c r="BN46" i="5"/>
  <c r="BO46" i="5"/>
  <c r="BP46" i="5"/>
  <c r="BQ46" i="5"/>
  <c r="BV46" i="5"/>
  <c r="BX46" i="5"/>
  <c r="BY46" i="5"/>
  <c r="BZ46" i="5"/>
  <c r="CA46" i="5"/>
  <c r="CB46" i="5"/>
  <c r="CC46" i="5"/>
  <c r="CD46" i="5"/>
  <c r="CE46" i="5"/>
  <c r="CF46" i="5"/>
  <c r="CG46" i="5"/>
  <c r="CH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AX47" i="5"/>
  <c r="AY47" i="5"/>
  <c r="AZ47" i="5"/>
  <c r="BA47" i="5"/>
  <c r="BB47" i="5"/>
  <c r="BC47" i="5"/>
  <c r="BD47" i="5"/>
  <c r="BE47" i="5"/>
  <c r="BF47" i="5"/>
  <c r="BI47" i="5"/>
  <c r="BJ47" i="5"/>
  <c r="BK47" i="5"/>
  <c r="BL47" i="5"/>
  <c r="BM47" i="5"/>
  <c r="BN47" i="5"/>
  <c r="BO47" i="5"/>
  <c r="BP47" i="5"/>
  <c r="BQ47" i="5"/>
  <c r="BV47" i="5"/>
  <c r="BX47" i="5"/>
  <c r="BY47" i="5"/>
  <c r="BZ47" i="5"/>
  <c r="CA47" i="5"/>
  <c r="CB47" i="5"/>
  <c r="CC47" i="5"/>
  <c r="CD47" i="5"/>
  <c r="CE47" i="5"/>
  <c r="CF47" i="5"/>
  <c r="CG47" i="5"/>
  <c r="CH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AY43" i="5"/>
  <c r="AZ43" i="5"/>
  <c r="BA43" i="5"/>
  <c r="BB43" i="5"/>
  <c r="BC43" i="5"/>
  <c r="BD43" i="5"/>
  <c r="BE43" i="5"/>
  <c r="BF43" i="5"/>
  <c r="BI43" i="5"/>
  <c r="BJ43" i="5"/>
  <c r="BK43" i="5"/>
  <c r="BL43" i="5"/>
  <c r="BM43" i="5"/>
  <c r="BN43" i="5"/>
  <c r="BO43" i="5"/>
  <c r="BP43" i="5"/>
  <c r="BQ43" i="5"/>
  <c r="BV43" i="5"/>
  <c r="BX43" i="5"/>
  <c r="BY43" i="5"/>
  <c r="BZ43" i="5"/>
  <c r="CA43" i="5"/>
  <c r="CB43" i="5"/>
  <c r="CC43" i="5"/>
  <c r="CD43" i="5"/>
  <c r="CE43" i="5"/>
  <c r="CF43" i="5"/>
  <c r="CG43" i="5"/>
  <c r="CH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AX43" i="5"/>
  <c r="AW43" i="5"/>
  <c r="AW40" i="5"/>
  <c r="AX40" i="5"/>
  <c r="AY40" i="5"/>
  <c r="AZ40" i="5"/>
  <c r="BA40" i="5"/>
  <c r="BB40" i="5"/>
  <c r="BC40" i="5"/>
  <c r="BD40" i="5"/>
  <c r="BE40" i="5"/>
  <c r="BF40" i="5"/>
  <c r="BI40" i="5"/>
  <c r="BJ40" i="5"/>
  <c r="BK40" i="5"/>
  <c r="BL40" i="5"/>
  <c r="BM40" i="5"/>
  <c r="BN40" i="5"/>
  <c r="BO40" i="5"/>
  <c r="BP40" i="5"/>
  <c r="BQ40" i="5"/>
  <c r="BV40" i="5"/>
  <c r="BX40" i="5"/>
  <c r="BY40" i="5"/>
  <c r="BZ40" i="5"/>
  <c r="CA40" i="5"/>
  <c r="CB40" i="5"/>
  <c r="CC40" i="5"/>
  <c r="CD40" i="5"/>
  <c r="CE40" i="5"/>
  <c r="CF40" i="5"/>
  <c r="CG40" i="5"/>
  <c r="CH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AW41" i="5"/>
  <c r="AX41" i="5"/>
  <c r="AY41" i="5"/>
  <c r="AZ41" i="5"/>
  <c r="BA41" i="5"/>
  <c r="BB41" i="5"/>
  <c r="BC41" i="5"/>
  <c r="BD41" i="5"/>
  <c r="BE41" i="5"/>
  <c r="BF41" i="5"/>
  <c r="BI41" i="5"/>
  <c r="BJ41" i="5"/>
  <c r="BK41" i="5"/>
  <c r="BL41" i="5"/>
  <c r="BM41" i="5"/>
  <c r="BN41" i="5"/>
  <c r="BO41" i="5"/>
  <c r="BP41" i="5"/>
  <c r="BQ41" i="5"/>
  <c r="BV41" i="5"/>
  <c r="BX41" i="5"/>
  <c r="BY41" i="5"/>
  <c r="BZ41" i="5"/>
  <c r="CA41" i="5"/>
  <c r="CB41" i="5"/>
  <c r="CC41" i="5"/>
  <c r="CD41" i="5"/>
  <c r="CE41" i="5"/>
  <c r="CF41" i="5"/>
  <c r="CG41" i="5"/>
  <c r="CH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AW42" i="5"/>
  <c r="AX42" i="5"/>
  <c r="AY42" i="5"/>
  <c r="AZ42" i="5"/>
  <c r="BA42" i="5"/>
  <c r="BB42" i="5"/>
  <c r="BC42" i="5"/>
  <c r="BD42" i="5"/>
  <c r="BE42" i="5"/>
  <c r="BF42" i="5"/>
  <c r="BI42" i="5"/>
  <c r="BJ42" i="5"/>
  <c r="BK42" i="5"/>
  <c r="BL42" i="5"/>
  <c r="BM42" i="5"/>
  <c r="BN42" i="5"/>
  <c r="BO42" i="5"/>
  <c r="BP42" i="5"/>
  <c r="BQ42" i="5"/>
  <c r="BV42" i="5"/>
  <c r="BX42" i="5"/>
  <c r="BY42" i="5"/>
  <c r="BZ42" i="5"/>
  <c r="CA42" i="5"/>
  <c r="CB42" i="5"/>
  <c r="CC42" i="5"/>
  <c r="CD42" i="5"/>
  <c r="CE42" i="5"/>
  <c r="CF42" i="5"/>
  <c r="CG42" i="5"/>
  <c r="CH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AY39" i="5"/>
  <c r="AZ39" i="5"/>
  <c r="BA39" i="5"/>
  <c r="BB39" i="5"/>
  <c r="BC39" i="5"/>
  <c r="BD39" i="5"/>
  <c r="BE39" i="5"/>
  <c r="BF39" i="5"/>
  <c r="BI39" i="5"/>
  <c r="BJ39" i="5"/>
  <c r="BK39" i="5"/>
  <c r="BL39" i="5"/>
  <c r="BM39" i="5"/>
  <c r="BN39" i="5"/>
  <c r="BO39" i="5"/>
  <c r="BP39" i="5"/>
  <c r="BQ39" i="5"/>
  <c r="BV39" i="5"/>
  <c r="BX39" i="5"/>
  <c r="BY39" i="5"/>
  <c r="BZ39" i="5"/>
  <c r="CA39" i="5"/>
  <c r="CB39" i="5"/>
  <c r="CC39" i="5"/>
  <c r="CD39" i="5"/>
  <c r="CE39" i="5"/>
  <c r="CF39" i="5"/>
  <c r="CG39" i="5"/>
  <c r="CH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AX39" i="5"/>
  <c r="AW39" i="5"/>
  <c r="AY38" i="5"/>
  <c r="AZ38" i="5"/>
  <c r="BA38" i="5"/>
  <c r="BB38" i="5"/>
  <c r="BC38" i="5"/>
  <c r="BD38" i="5"/>
  <c r="BE38" i="5"/>
  <c r="BF38" i="5"/>
  <c r="BI38" i="5"/>
  <c r="BJ38" i="5"/>
  <c r="BK38" i="5"/>
  <c r="BL38" i="5"/>
  <c r="BM38" i="5"/>
  <c r="BN38" i="5"/>
  <c r="BO38" i="5"/>
  <c r="BP38" i="5"/>
  <c r="BQ38" i="5"/>
  <c r="BV38" i="5"/>
  <c r="BX38" i="5"/>
  <c r="BY38" i="5"/>
  <c r="BZ38" i="5"/>
  <c r="CA38" i="5"/>
  <c r="CB38" i="5"/>
  <c r="CC38" i="5"/>
  <c r="CD38" i="5"/>
  <c r="CE38" i="5"/>
  <c r="CF38" i="5"/>
  <c r="CG38" i="5"/>
  <c r="CH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AX38" i="5"/>
  <c r="AW38" i="5"/>
  <c r="BJ37" i="5"/>
  <c r="BK37" i="5"/>
  <c r="BL37" i="5"/>
  <c r="BM37" i="5"/>
  <c r="BN37" i="5"/>
  <c r="BO37" i="5"/>
  <c r="BP37" i="5"/>
  <c r="BQ37" i="5"/>
  <c r="BV37" i="5"/>
  <c r="BX37" i="5"/>
  <c r="BY37" i="5"/>
  <c r="BZ37" i="5"/>
  <c r="CA37" i="5"/>
  <c r="CB37" i="5"/>
  <c r="CC37" i="5"/>
  <c r="CD37" i="5"/>
  <c r="CE37" i="5"/>
  <c r="CF37" i="5"/>
  <c r="CG37" i="5"/>
  <c r="CH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AY37" i="5"/>
  <c r="AZ37" i="5"/>
  <c r="BA37" i="5"/>
  <c r="BB37" i="5"/>
  <c r="BC37" i="5"/>
  <c r="BD37" i="5"/>
  <c r="BE37" i="5"/>
  <c r="BF37" i="5"/>
  <c r="BI37" i="5"/>
  <c r="AW37" i="5"/>
  <c r="AX37" i="5"/>
  <c r="AY36" i="5"/>
  <c r="AZ36" i="5"/>
  <c r="BA36" i="5"/>
  <c r="BB36" i="5"/>
  <c r="BC36" i="5"/>
  <c r="BD36" i="5"/>
  <c r="BE36" i="5"/>
  <c r="BF36" i="5"/>
  <c r="BI36" i="5"/>
  <c r="BJ36" i="5"/>
  <c r="BK36" i="5"/>
  <c r="BL36" i="5"/>
  <c r="BM36" i="5"/>
  <c r="BN36" i="5"/>
  <c r="BO36" i="5"/>
  <c r="BP36" i="5"/>
  <c r="BQ36" i="5"/>
  <c r="BV36" i="5"/>
  <c r="BX36" i="5"/>
  <c r="BY36" i="5"/>
  <c r="BZ36" i="5"/>
  <c r="CA36" i="5"/>
  <c r="CB36" i="5"/>
  <c r="CC36" i="5"/>
  <c r="CD36" i="5"/>
  <c r="CE36" i="5"/>
  <c r="CF36" i="5"/>
  <c r="CG36" i="5"/>
  <c r="CH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AX36" i="5"/>
  <c r="AW36" i="5"/>
  <c r="AY35" i="5"/>
  <c r="AZ35" i="5"/>
  <c r="BA35" i="5"/>
  <c r="BB35" i="5"/>
  <c r="BC35" i="5"/>
  <c r="BD35" i="5"/>
  <c r="BE35" i="5"/>
  <c r="BF35" i="5"/>
  <c r="BI35" i="5"/>
  <c r="BJ35" i="5"/>
  <c r="BK35" i="5"/>
  <c r="BL35" i="5"/>
  <c r="BM35" i="5"/>
  <c r="BN35" i="5"/>
  <c r="BO35" i="5"/>
  <c r="BP35" i="5"/>
  <c r="BQ35" i="5"/>
  <c r="BV35" i="5"/>
  <c r="BX35" i="5"/>
  <c r="BY35" i="5"/>
  <c r="BZ35" i="5"/>
  <c r="CA35" i="5"/>
  <c r="CB35" i="5"/>
  <c r="CC35" i="5"/>
  <c r="CD35" i="5"/>
  <c r="CE35" i="5"/>
  <c r="CF35" i="5"/>
  <c r="CG35" i="5"/>
  <c r="CH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AX35" i="5"/>
  <c r="AW35" i="5"/>
  <c r="AW34" i="5"/>
  <c r="AX34" i="5"/>
  <c r="AY34" i="5"/>
  <c r="AZ34" i="5"/>
  <c r="BA34" i="5"/>
  <c r="BB34" i="5"/>
  <c r="BC34" i="5"/>
  <c r="BD34" i="5"/>
  <c r="BE34" i="5"/>
  <c r="BF34" i="5"/>
  <c r="BI34" i="5"/>
  <c r="BJ34" i="5"/>
  <c r="BK34" i="5"/>
  <c r="BL34" i="5"/>
  <c r="BM34" i="5"/>
  <c r="BN34" i="5"/>
  <c r="BO34" i="5"/>
  <c r="BP34" i="5"/>
  <c r="BQ34" i="5"/>
  <c r="BV34" i="5"/>
  <c r="BX34" i="5"/>
  <c r="BY34" i="5"/>
  <c r="BZ34" i="5"/>
  <c r="CA34" i="5"/>
  <c r="CB34" i="5"/>
  <c r="CC34" i="5"/>
  <c r="CD34" i="5"/>
  <c r="CE34" i="5"/>
  <c r="CF34" i="5"/>
  <c r="CG34" i="5"/>
  <c r="CH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AY33" i="5"/>
  <c r="AZ33" i="5"/>
  <c r="BA33" i="5"/>
  <c r="BB33" i="5"/>
  <c r="BC33" i="5"/>
  <c r="BD33" i="5"/>
  <c r="BE33" i="5"/>
  <c r="BF33" i="5"/>
  <c r="BI33" i="5"/>
  <c r="BJ33" i="5"/>
  <c r="BK33" i="5"/>
  <c r="BL33" i="5"/>
  <c r="BM33" i="5"/>
  <c r="BN33" i="5"/>
  <c r="BO33" i="5"/>
  <c r="BP33" i="5"/>
  <c r="BQ33" i="5"/>
  <c r="BV33" i="5"/>
  <c r="BX33" i="5"/>
  <c r="BY33" i="5"/>
  <c r="BZ33" i="5"/>
  <c r="CA33" i="5"/>
  <c r="CB33" i="5"/>
  <c r="CC33" i="5"/>
  <c r="CD33" i="5"/>
  <c r="CE33" i="5"/>
  <c r="CF33" i="5"/>
  <c r="CG33" i="5"/>
  <c r="CH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AX33" i="5"/>
  <c r="AW33" i="5"/>
  <c r="AY32" i="5"/>
  <c r="AZ32" i="5"/>
  <c r="BA32" i="5"/>
  <c r="BB32" i="5"/>
  <c r="BC32" i="5"/>
  <c r="BD32" i="5"/>
  <c r="BE32" i="5"/>
  <c r="BF32" i="5"/>
  <c r="BI32" i="5"/>
  <c r="BJ32" i="5"/>
  <c r="BK32" i="5"/>
  <c r="BL32" i="5"/>
  <c r="BM32" i="5"/>
  <c r="BN32" i="5"/>
  <c r="BO32" i="5"/>
  <c r="BP32" i="5"/>
  <c r="BQ32" i="5"/>
  <c r="BV32" i="5"/>
  <c r="BX32" i="5"/>
  <c r="BY32" i="5"/>
  <c r="BZ32" i="5"/>
  <c r="CA32" i="5"/>
  <c r="CB32" i="5"/>
  <c r="CC32" i="5"/>
  <c r="CD32" i="5"/>
  <c r="CE32" i="5"/>
  <c r="CF32" i="5"/>
  <c r="CG32" i="5"/>
  <c r="CH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AX32" i="5"/>
  <c r="AW32" i="5"/>
  <c r="AY31" i="5"/>
  <c r="AZ31" i="5"/>
  <c r="BA31" i="5"/>
  <c r="BB31" i="5"/>
  <c r="BC31" i="5"/>
  <c r="BD31" i="5"/>
  <c r="BE31" i="5"/>
  <c r="BF31" i="5"/>
  <c r="BI31" i="5"/>
  <c r="BJ31" i="5"/>
  <c r="BK31" i="5"/>
  <c r="BL31" i="5"/>
  <c r="BM31" i="5"/>
  <c r="BN31" i="5"/>
  <c r="BO31" i="5"/>
  <c r="BP31" i="5"/>
  <c r="BQ31" i="5"/>
  <c r="BV31" i="5"/>
  <c r="BX31" i="5"/>
  <c r="BY31" i="5"/>
  <c r="BZ31" i="5"/>
  <c r="CA31" i="5"/>
  <c r="CB31" i="5"/>
  <c r="CC31" i="5"/>
  <c r="CD31" i="5"/>
  <c r="CE31" i="5"/>
  <c r="CF31" i="5"/>
  <c r="CG31" i="5"/>
  <c r="CH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AX31" i="5"/>
  <c r="AW31" i="5"/>
  <c r="AY30" i="5"/>
  <c r="AZ30" i="5"/>
  <c r="BA30" i="5"/>
  <c r="BB30" i="5"/>
  <c r="BC30" i="5"/>
  <c r="BD30" i="5"/>
  <c r="BE30" i="5"/>
  <c r="BF30" i="5"/>
  <c r="BI30" i="5"/>
  <c r="BJ30" i="5"/>
  <c r="BK30" i="5"/>
  <c r="BL30" i="5"/>
  <c r="BM30" i="5"/>
  <c r="BN30" i="5"/>
  <c r="BO30" i="5"/>
  <c r="BP30" i="5"/>
  <c r="BQ30" i="5"/>
  <c r="BV30" i="5"/>
  <c r="BX30" i="5"/>
  <c r="BY30" i="5"/>
  <c r="BZ30" i="5"/>
  <c r="CA30" i="5"/>
  <c r="CB30" i="5"/>
  <c r="CC30" i="5"/>
  <c r="CD30" i="5"/>
  <c r="CE30" i="5"/>
  <c r="CF30" i="5"/>
  <c r="CG30" i="5"/>
  <c r="CH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AW30" i="5"/>
  <c r="AX30" i="5"/>
  <c r="AY29" i="5"/>
  <c r="AZ29" i="5"/>
  <c r="BA29" i="5"/>
  <c r="BB29" i="5"/>
  <c r="BC29" i="5"/>
  <c r="BD29" i="5"/>
  <c r="BE29" i="5"/>
  <c r="BF29" i="5"/>
  <c r="BI29" i="5"/>
  <c r="BJ29" i="5"/>
  <c r="BK29" i="5"/>
  <c r="BL29" i="5"/>
  <c r="BM29" i="5"/>
  <c r="BN29" i="5"/>
  <c r="BO29" i="5"/>
  <c r="BP29" i="5"/>
  <c r="BQ29" i="5"/>
  <c r="BV29" i="5"/>
  <c r="BX29" i="5"/>
  <c r="BY29" i="5"/>
  <c r="BZ29" i="5"/>
  <c r="CA29" i="5"/>
  <c r="CB29" i="5"/>
  <c r="CC29" i="5"/>
  <c r="CD29" i="5"/>
  <c r="CE29" i="5"/>
  <c r="CF29" i="5"/>
  <c r="CG29" i="5"/>
  <c r="CH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AX29" i="5"/>
  <c r="AW29" i="5"/>
  <c r="AY28" i="5"/>
  <c r="AZ28" i="5"/>
  <c r="BA28" i="5"/>
  <c r="BB28" i="5"/>
  <c r="BC28" i="5"/>
  <c r="BD28" i="5"/>
  <c r="BE28" i="5"/>
  <c r="BF28" i="5"/>
  <c r="BI28" i="5"/>
  <c r="BJ28" i="5"/>
  <c r="BK28" i="5"/>
  <c r="BL28" i="5"/>
  <c r="BM28" i="5"/>
  <c r="BN28" i="5"/>
  <c r="BO28" i="5"/>
  <c r="BP28" i="5"/>
  <c r="BQ28" i="5"/>
  <c r="BV28" i="5"/>
  <c r="BX28" i="5"/>
  <c r="BY28" i="5"/>
  <c r="BZ28" i="5"/>
  <c r="CA28" i="5"/>
  <c r="CB28" i="5"/>
  <c r="CC28" i="5"/>
  <c r="CD28" i="5"/>
  <c r="CE28" i="5"/>
  <c r="CF28" i="5"/>
  <c r="CG28" i="5"/>
  <c r="CH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AX28" i="5"/>
  <c r="AW28" i="5"/>
  <c r="BV27" i="5"/>
  <c r="BX27" i="5"/>
  <c r="BY27" i="5"/>
  <c r="BZ27" i="5"/>
  <c r="CA27" i="5"/>
  <c r="CB27" i="5"/>
  <c r="CC27" i="5"/>
  <c r="CD27" i="5"/>
  <c r="CE27" i="5"/>
  <c r="CF27" i="5"/>
  <c r="CG27" i="5"/>
  <c r="CH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AY27" i="5"/>
  <c r="AZ27" i="5"/>
  <c r="BA27" i="5"/>
  <c r="BB27" i="5"/>
  <c r="BC27" i="5"/>
  <c r="BD27" i="5"/>
  <c r="BE27" i="5"/>
  <c r="BF27" i="5"/>
  <c r="BI27" i="5"/>
  <c r="BJ27" i="5"/>
  <c r="BK27" i="5"/>
  <c r="BL27" i="5"/>
  <c r="BM27" i="5"/>
  <c r="BN27" i="5"/>
  <c r="BO27" i="5"/>
  <c r="BP27" i="5"/>
  <c r="BQ27" i="5"/>
  <c r="AX27" i="5"/>
  <c r="AW27" i="5"/>
  <c r="AW26" i="5"/>
  <c r="AX26" i="5"/>
  <c r="AY26" i="5"/>
  <c r="AZ26" i="5"/>
  <c r="BA26" i="5"/>
  <c r="BB26" i="5"/>
  <c r="BC26" i="5"/>
  <c r="BD26" i="5"/>
  <c r="BE26" i="5"/>
  <c r="BF26" i="5"/>
  <c r="BI26" i="5"/>
  <c r="BJ26" i="5"/>
  <c r="BK26" i="5"/>
  <c r="BL26" i="5"/>
  <c r="BM26" i="5"/>
  <c r="BN26" i="5"/>
  <c r="BO26" i="5"/>
  <c r="BP26" i="5"/>
  <c r="BQ26" i="5"/>
  <c r="BV26" i="5"/>
  <c r="BX26" i="5"/>
  <c r="BY26" i="5"/>
  <c r="BZ26" i="5"/>
  <c r="CA26" i="5"/>
  <c r="CB26" i="5"/>
  <c r="CC26" i="5"/>
  <c r="CD26" i="5"/>
  <c r="CE26" i="5"/>
  <c r="CF26" i="5"/>
  <c r="CG26" i="5"/>
  <c r="CH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AY25" i="5"/>
  <c r="AZ25" i="5"/>
  <c r="BA25" i="5"/>
  <c r="BB25" i="5"/>
  <c r="BC25" i="5"/>
  <c r="BD25" i="5"/>
  <c r="BE25" i="5"/>
  <c r="BF25" i="5"/>
  <c r="BI25" i="5"/>
  <c r="BJ25" i="5"/>
  <c r="BK25" i="5"/>
  <c r="BL25" i="5"/>
  <c r="BM25" i="5"/>
  <c r="BN25" i="5"/>
  <c r="BO25" i="5"/>
  <c r="BP25" i="5"/>
  <c r="BQ25" i="5"/>
  <c r="BV25" i="5"/>
  <c r="BX25" i="5"/>
  <c r="BY25" i="5"/>
  <c r="BZ25" i="5"/>
  <c r="CA25" i="5"/>
  <c r="CB25" i="5"/>
  <c r="CC25" i="5"/>
  <c r="CD25" i="5"/>
  <c r="CE25" i="5"/>
  <c r="CF25" i="5"/>
  <c r="CG25" i="5"/>
  <c r="CH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AX25" i="5"/>
  <c r="AW25" i="5"/>
  <c r="AW24" i="5"/>
  <c r="AX24" i="5"/>
  <c r="AY24" i="5"/>
  <c r="AZ24" i="5"/>
  <c r="BA24" i="5"/>
  <c r="BB24" i="5"/>
  <c r="BC24" i="5"/>
  <c r="BD24" i="5"/>
  <c r="BE24" i="5"/>
  <c r="BF24" i="5"/>
  <c r="BI24" i="5"/>
  <c r="BJ24" i="5"/>
  <c r="BK24" i="5"/>
  <c r="BL24" i="5"/>
  <c r="BM24" i="5"/>
  <c r="BN24" i="5"/>
  <c r="BO24" i="5"/>
  <c r="BP24" i="5"/>
  <c r="BQ24" i="5"/>
  <c r="BV24" i="5"/>
  <c r="BX24" i="5"/>
  <c r="BY24" i="5"/>
  <c r="BZ24" i="5"/>
  <c r="CA24" i="5"/>
  <c r="CB24" i="5"/>
  <c r="CC24" i="5"/>
  <c r="CD24" i="5"/>
  <c r="CE24" i="5"/>
  <c r="CF24" i="5"/>
  <c r="CG24" i="5"/>
  <c r="CH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AY23" i="5"/>
  <c r="AZ23" i="5"/>
  <c r="BA23" i="5"/>
  <c r="BB23" i="5"/>
  <c r="BC23" i="5"/>
  <c r="BD23" i="5"/>
  <c r="BE23" i="5"/>
  <c r="BF23" i="5"/>
  <c r="BI23" i="5"/>
  <c r="BJ23" i="5"/>
  <c r="BK23" i="5"/>
  <c r="BL23" i="5"/>
  <c r="BM23" i="5"/>
  <c r="BN23" i="5"/>
  <c r="BO23" i="5"/>
  <c r="BP23" i="5"/>
  <c r="BQ23" i="5"/>
  <c r="BV23" i="5"/>
  <c r="BX23" i="5"/>
  <c r="BY23" i="5"/>
  <c r="BZ23" i="5"/>
  <c r="CA23" i="5"/>
  <c r="CB23" i="5"/>
  <c r="CC23" i="5"/>
  <c r="CD23" i="5"/>
  <c r="CE23" i="5"/>
  <c r="CF23" i="5"/>
  <c r="CG23" i="5"/>
  <c r="CH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AW23" i="5"/>
  <c r="AX23" i="5"/>
  <c r="AY22" i="5"/>
  <c r="AZ22" i="5"/>
  <c r="BA22" i="5"/>
  <c r="BB22" i="5"/>
  <c r="BC22" i="5"/>
  <c r="BD22" i="5"/>
  <c r="BE22" i="5"/>
  <c r="BF22" i="5"/>
  <c r="BI22" i="5"/>
  <c r="BJ22" i="5"/>
  <c r="BK22" i="5"/>
  <c r="BL22" i="5"/>
  <c r="BM22" i="5"/>
  <c r="BN22" i="5"/>
  <c r="BO22" i="5"/>
  <c r="BP22" i="5"/>
  <c r="BQ22" i="5"/>
  <c r="BV22" i="5"/>
  <c r="BX22" i="5"/>
  <c r="BY22" i="5"/>
  <c r="BZ22" i="5"/>
  <c r="CA22" i="5"/>
  <c r="CB22" i="5"/>
  <c r="CC22" i="5"/>
  <c r="CD22" i="5"/>
  <c r="CE22" i="5"/>
  <c r="CF22" i="5"/>
  <c r="CG22" i="5"/>
  <c r="CH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AW22" i="5"/>
  <c r="AX22" i="5"/>
  <c r="AY21" i="5"/>
  <c r="AZ21" i="5"/>
  <c r="BA21" i="5"/>
  <c r="BB21" i="5"/>
  <c r="BC21" i="5"/>
  <c r="BD21" i="5"/>
  <c r="BE21" i="5"/>
  <c r="BF21" i="5"/>
  <c r="BI21" i="5"/>
  <c r="BJ21" i="5"/>
  <c r="BK21" i="5"/>
  <c r="BL21" i="5"/>
  <c r="BM21" i="5"/>
  <c r="BN21" i="5"/>
  <c r="BO21" i="5"/>
  <c r="BP21" i="5"/>
  <c r="BQ21" i="5"/>
  <c r="BV21" i="5"/>
  <c r="BX21" i="5"/>
  <c r="BY21" i="5"/>
  <c r="BZ21" i="5"/>
  <c r="CA21" i="5"/>
  <c r="CB21" i="5"/>
  <c r="CC21" i="5"/>
  <c r="CD21" i="5"/>
  <c r="CE21" i="5"/>
  <c r="CF21" i="5"/>
  <c r="CG21" i="5"/>
  <c r="CH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AX21" i="5"/>
  <c r="AW21" i="5"/>
  <c r="AY20" i="5"/>
  <c r="AZ20" i="5"/>
  <c r="BA20" i="5"/>
  <c r="BB20" i="5"/>
  <c r="BC20" i="5"/>
  <c r="BD20" i="5"/>
  <c r="BE20" i="5"/>
  <c r="BF20" i="5"/>
  <c r="BI20" i="5"/>
  <c r="BJ20" i="5"/>
  <c r="BK20" i="5"/>
  <c r="BL20" i="5"/>
  <c r="BM20" i="5"/>
  <c r="BN20" i="5"/>
  <c r="BO20" i="5"/>
  <c r="BP20" i="5"/>
  <c r="BQ20" i="5"/>
  <c r="BV20" i="5"/>
  <c r="BX20" i="5"/>
  <c r="BY20" i="5"/>
  <c r="BZ20" i="5"/>
  <c r="CA20" i="5"/>
  <c r="CB20" i="5"/>
  <c r="CC20" i="5"/>
  <c r="CD20" i="5"/>
  <c r="CE20" i="5"/>
  <c r="CF20" i="5"/>
  <c r="CG20" i="5"/>
  <c r="CH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AW20" i="5"/>
  <c r="AX20" i="5"/>
  <c r="AY19" i="5"/>
  <c r="AZ19" i="5"/>
  <c r="BA19" i="5"/>
  <c r="BB19" i="5"/>
  <c r="BC19" i="5"/>
  <c r="BD19" i="5"/>
  <c r="BE19" i="5"/>
  <c r="BF19" i="5"/>
  <c r="BI19" i="5"/>
  <c r="BJ19" i="5"/>
  <c r="BK19" i="5"/>
  <c r="BL19" i="5"/>
  <c r="BM19" i="5"/>
  <c r="BN19" i="5"/>
  <c r="BO19" i="5"/>
  <c r="BP19" i="5"/>
  <c r="BQ19" i="5"/>
  <c r="BV19" i="5"/>
  <c r="BX19" i="5"/>
  <c r="BY19" i="5"/>
  <c r="BZ19" i="5"/>
  <c r="CA19" i="5"/>
  <c r="CB19" i="5"/>
  <c r="CC19" i="5"/>
  <c r="CD19" i="5"/>
  <c r="CE19" i="5"/>
  <c r="CF19" i="5"/>
  <c r="CG19" i="5"/>
  <c r="CH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AX19" i="5"/>
  <c r="AW19" i="5"/>
  <c r="DF18" i="5"/>
  <c r="DG18" i="5"/>
  <c r="DH18" i="5"/>
  <c r="DI18" i="5"/>
  <c r="DJ18" i="5"/>
  <c r="DK18" i="5"/>
  <c r="DL18" i="5"/>
  <c r="CH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BP18" i="5"/>
  <c r="BQ18" i="5"/>
  <c r="BV18" i="5"/>
  <c r="BX18" i="5"/>
  <c r="BY18" i="5"/>
  <c r="BZ18" i="5"/>
  <c r="CA18" i="5"/>
  <c r="CB18" i="5"/>
  <c r="CC18" i="5"/>
  <c r="CD18" i="5"/>
  <c r="CE18" i="5"/>
  <c r="CF18" i="5"/>
  <c r="CG18" i="5"/>
  <c r="AY18" i="5"/>
  <c r="AZ18" i="5"/>
  <c r="BA18" i="5"/>
  <c r="BB18" i="5"/>
  <c r="BC18" i="5"/>
  <c r="BD18" i="5"/>
  <c r="BE18" i="5"/>
  <c r="BF18" i="5"/>
  <c r="BI18" i="5"/>
  <c r="BJ18" i="5"/>
  <c r="BK18" i="5"/>
  <c r="BL18" i="5"/>
  <c r="BM18" i="5"/>
  <c r="BN18" i="5"/>
  <c r="BO18" i="5"/>
  <c r="AX18" i="5"/>
  <c r="AW18" i="5"/>
  <c r="DX144" i="6"/>
  <c r="DO96" i="5" l="1"/>
  <c r="DO87" i="5"/>
  <c r="DO88" i="5"/>
  <c r="DO89" i="5"/>
  <c r="DO90" i="5"/>
  <c r="DO91" i="5"/>
  <c r="DO92" i="5"/>
  <c r="DO93" i="5"/>
  <c r="DO94" i="5"/>
  <c r="DO95" i="5"/>
  <c r="DO80" i="5"/>
  <c r="DO81" i="5"/>
  <c r="DO82" i="5"/>
  <c r="DO83" i="5"/>
  <c r="DO84" i="5"/>
  <c r="DO85" i="5"/>
  <c r="DO86" i="5"/>
  <c r="DO73" i="5"/>
  <c r="DO74" i="5"/>
  <c r="DO75" i="5"/>
  <c r="DO76" i="5"/>
  <c r="DO77" i="5"/>
  <c r="DO78" i="5"/>
  <c r="DO79" i="5"/>
  <c r="DO67" i="5"/>
  <c r="DO68" i="5"/>
  <c r="DO69" i="5"/>
  <c r="DO70" i="5"/>
  <c r="DO71" i="5"/>
  <c r="DO72" i="5"/>
  <c r="DO58" i="5"/>
  <c r="DO59" i="5"/>
  <c r="DO60" i="5"/>
  <c r="DO61" i="5"/>
  <c r="DO62" i="5"/>
  <c r="DO63" i="5"/>
  <c r="DO64" i="5"/>
  <c r="DO65" i="5"/>
  <c r="DO66" i="5"/>
  <c r="DO51" i="5"/>
  <c r="DO52" i="5"/>
  <c r="DO53" i="5"/>
  <c r="DO54" i="5"/>
  <c r="DO55" i="5"/>
  <c r="DO56" i="5"/>
  <c r="DO57" i="5"/>
  <c r="DX646" i="6"/>
  <c r="DX651" i="6"/>
  <c r="DX652" i="6"/>
  <c r="DX653" i="6"/>
  <c r="DX790" i="6"/>
  <c r="DX791" i="6"/>
  <c r="DX792" i="6"/>
  <c r="DX793" i="6"/>
  <c r="DX794" i="6"/>
  <c r="DX795" i="6"/>
  <c r="DX796" i="6"/>
  <c r="DX554" i="6"/>
  <c r="DX555" i="6"/>
  <c r="DX565" i="6"/>
  <c r="DX568" i="6"/>
  <c r="DX569" i="6"/>
  <c r="DX571" i="6"/>
  <c r="DX574" i="6"/>
  <c r="DX575" i="6"/>
  <c r="DX578" i="6"/>
  <c r="DX581" i="6"/>
  <c r="DX603" i="6"/>
  <c r="DX624" i="6"/>
  <c r="DX324" i="6"/>
  <c r="DX342" i="6"/>
  <c r="DX348" i="6"/>
  <c r="DX356" i="6"/>
  <c r="DX357" i="6"/>
  <c r="DX464" i="6"/>
  <c r="DX465" i="6"/>
  <c r="DX466" i="6"/>
  <c r="DX467" i="6"/>
  <c r="DX285" i="6"/>
  <c r="DX287" i="6"/>
  <c r="DX294" i="6"/>
  <c r="DX312" i="6"/>
  <c r="DX316" i="6"/>
  <c r="DX323" i="6"/>
  <c r="DX255" i="6"/>
  <c r="DX269" i="6"/>
  <c r="DX271" i="6"/>
  <c r="DX273" i="6"/>
  <c r="DX274" i="6"/>
  <c r="DX275" i="6"/>
  <c r="DX283" i="6"/>
  <c r="DX284" i="6"/>
  <c r="DO8" i="5"/>
  <c r="DO7" i="5"/>
  <c r="J796" i="6" l="1"/>
  <c r="K796" i="6" s="1"/>
  <c r="G796" i="6"/>
  <c r="H796" i="6" s="1"/>
  <c r="J795" i="6"/>
  <c r="K795" i="6" s="1"/>
  <c r="G795" i="6"/>
  <c r="H795" i="6" s="1"/>
  <c r="J794" i="6"/>
  <c r="K794" i="6" s="1"/>
  <c r="G794" i="6"/>
  <c r="H794" i="6" s="1"/>
  <c r="J793" i="6"/>
  <c r="I793" i="6" s="1"/>
  <c r="G793" i="6"/>
  <c r="H793" i="6" s="1"/>
  <c r="J792" i="6"/>
  <c r="I792" i="6" s="1"/>
  <c r="G792" i="6"/>
  <c r="F792" i="6" s="1"/>
  <c r="J791" i="6"/>
  <c r="K791" i="6" s="1"/>
  <c r="G791" i="6"/>
  <c r="H791" i="6" s="1"/>
  <c r="J790" i="6"/>
  <c r="K790" i="6" s="1"/>
  <c r="G790" i="6"/>
  <c r="H790" i="6" s="1"/>
  <c r="J653" i="6"/>
  <c r="I653" i="6" s="1"/>
  <c r="G653" i="6"/>
  <c r="H653" i="6" s="1"/>
  <c r="J652" i="6"/>
  <c r="K652" i="6" s="1"/>
  <c r="G652" i="6"/>
  <c r="H652" i="6" s="1"/>
  <c r="J651" i="6"/>
  <c r="K651" i="6" s="1"/>
  <c r="G651" i="6"/>
  <c r="H651" i="6" s="1"/>
  <c r="J646" i="6"/>
  <c r="K646" i="6" s="1"/>
  <c r="G646" i="6"/>
  <c r="H646" i="6" s="1"/>
  <c r="J624" i="6"/>
  <c r="I624" i="6" s="1"/>
  <c r="G624" i="6"/>
  <c r="H624" i="6" s="1"/>
  <c r="J603" i="6"/>
  <c r="I603" i="6" s="1"/>
  <c r="G603" i="6"/>
  <c r="H603" i="6" s="1"/>
  <c r="J581" i="6"/>
  <c r="K581" i="6" s="1"/>
  <c r="G581" i="6"/>
  <c r="H581" i="6" s="1"/>
  <c r="J578" i="6"/>
  <c r="K578" i="6" s="1"/>
  <c r="G578" i="6"/>
  <c r="H578" i="6" s="1"/>
  <c r="J575" i="6"/>
  <c r="I575" i="6" s="1"/>
  <c r="G575" i="6"/>
  <c r="H575" i="6" s="1"/>
  <c r="J574" i="6"/>
  <c r="K574" i="6" s="1"/>
  <c r="G574" i="6"/>
  <c r="H574" i="6" s="1"/>
  <c r="J571" i="6"/>
  <c r="K571" i="6" s="1"/>
  <c r="G571" i="6"/>
  <c r="H571" i="6" s="1"/>
  <c r="J569" i="6"/>
  <c r="K569" i="6" s="1"/>
  <c r="G569" i="6"/>
  <c r="H569" i="6" s="1"/>
  <c r="J568" i="6"/>
  <c r="I568" i="6" s="1"/>
  <c r="G568" i="6"/>
  <c r="H568" i="6" s="1"/>
  <c r="J565" i="6"/>
  <c r="K565" i="6" s="1"/>
  <c r="G565" i="6"/>
  <c r="H565" i="6" s="1"/>
  <c r="J555" i="6"/>
  <c r="K555" i="6" s="1"/>
  <c r="G555" i="6"/>
  <c r="H555" i="6" s="1"/>
  <c r="J554" i="6"/>
  <c r="K554" i="6" s="1"/>
  <c r="G554" i="6"/>
  <c r="H554" i="6" s="1"/>
  <c r="J467" i="6"/>
  <c r="I467" i="6" s="1"/>
  <c r="G467" i="6"/>
  <c r="H467" i="6" s="1"/>
  <c r="J466" i="6"/>
  <c r="K466" i="6" s="1"/>
  <c r="G466" i="6"/>
  <c r="H466" i="6" s="1"/>
  <c r="J465" i="6"/>
  <c r="K465" i="6" s="1"/>
  <c r="G465" i="6"/>
  <c r="H465" i="6" s="1"/>
  <c r="J464" i="6"/>
  <c r="K464" i="6" s="1"/>
  <c r="G464" i="6"/>
  <c r="H464" i="6" s="1"/>
  <c r="J357" i="6"/>
  <c r="I357" i="6" s="1"/>
  <c r="G357" i="6"/>
  <c r="H357" i="6" s="1"/>
  <c r="J356" i="6"/>
  <c r="K356" i="6" s="1"/>
  <c r="G356" i="6"/>
  <c r="H356" i="6" s="1"/>
  <c r="J348" i="6"/>
  <c r="K348" i="6" s="1"/>
  <c r="G348" i="6"/>
  <c r="H348" i="6" s="1"/>
  <c r="J342" i="6"/>
  <c r="K342" i="6" s="1"/>
  <c r="G342" i="6"/>
  <c r="H342" i="6" s="1"/>
  <c r="J324" i="6"/>
  <c r="I324" i="6" s="1"/>
  <c r="G324" i="6"/>
  <c r="H324" i="6" s="1"/>
  <c r="J323" i="6"/>
  <c r="K323" i="6" s="1"/>
  <c r="G323" i="6"/>
  <c r="H323" i="6" s="1"/>
  <c r="J316" i="6"/>
  <c r="K316" i="6" s="1"/>
  <c r="G316" i="6"/>
  <c r="H316" i="6" s="1"/>
  <c r="J312" i="6"/>
  <c r="K312" i="6" s="1"/>
  <c r="G312" i="6"/>
  <c r="H312" i="6" s="1"/>
  <c r="J294" i="6"/>
  <c r="I294" i="6" s="1"/>
  <c r="G294" i="6"/>
  <c r="H294" i="6" s="1"/>
  <c r="J287" i="6"/>
  <c r="I287" i="6" s="1"/>
  <c r="G287" i="6"/>
  <c r="H287" i="6" s="1"/>
  <c r="J285" i="6"/>
  <c r="K285" i="6" s="1"/>
  <c r="G285" i="6"/>
  <c r="H285" i="6" s="1"/>
  <c r="J284" i="6"/>
  <c r="K284" i="6" s="1"/>
  <c r="G284" i="6"/>
  <c r="H284" i="6" s="1"/>
  <c r="J283" i="6"/>
  <c r="I283" i="6" s="1"/>
  <c r="G283" i="6"/>
  <c r="H283" i="6" s="1"/>
  <c r="J275" i="6"/>
  <c r="K275" i="6" s="1"/>
  <c r="G275" i="6"/>
  <c r="H275" i="6" s="1"/>
  <c r="J274" i="6"/>
  <c r="K274" i="6" s="1"/>
  <c r="G274" i="6"/>
  <c r="H274" i="6" s="1"/>
  <c r="J273" i="6"/>
  <c r="K273" i="6" s="1"/>
  <c r="G273" i="6"/>
  <c r="H273" i="6" s="1"/>
  <c r="J271" i="6"/>
  <c r="I271" i="6" s="1"/>
  <c r="G271" i="6"/>
  <c r="H271" i="6" s="1"/>
  <c r="J269" i="6"/>
  <c r="K269" i="6" s="1"/>
  <c r="G269" i="6"/>
  <c r="H269" i="6" s="1"/>
  <c r="J255" i="6"/>
  <c r="K255" i="6" s="1"/>
  <c r="G255" i="6"/>
  <c r="H255" i="6" s="1"/>
  <c r="DX254" i="6"/>
  <c r="J254" i="6"/>
  <c r="K254" i="6" s="1"/>
  <c r="G254" i="6"/>
  <c r="F254" i="6" s="1"/>
  <c r="DX252" i="6"/>
  <c r="J252" i="6"/>
  <c r="K252" i="6" s="1"/>
  <c r="G252" i="6"/>
  <c r="H252" i="6" s="1"/>
  <c r="DX251" i="6"/>
  <c r="J251" i="6"/>
  <c r="I251" i="6" s="1"/>
  <c r="G251" i="6"/>
  <c r="H251" i="6" s="1"/>
  <c r="DX248" i="6"/>
  <c r="J248" i="6"/>
  <c r="I248" i="6" s="1"/>
  <c r="G248" i="6"/>
  <c r="H248" i="6" s="1"/>
  <c r="DX247" i="6"/>
  <c r="J247" i="6"/>
  <c r="K247" i="6" s="1"/>
  <c r="G247" i="6"/>
  <c r="H247" i="6" s="1"/>
  <c r="DX246" i="6"/>
  <c r="J246" i="6"/>
  <c r="I246" i="6" s="1"/>
  <c r="G246" i="6"/>
  <c r="H246" i="6" s="1"/>
  <c r="DX245" i="6"/>
  <c r="J245" i="6"/>
  <c r="K245" i="6" s="1"/>
  <c r="G245" i="6"/>
  <c r="F245" i="6" s="1"/>
  <c r="DX244" i="6"/>
  <c r="J244" i="6"/>
  <c r="K244" i="6" s="1"/>
  <c r="G244" i="6"/>
  <c r="H244" i="6" s="1"/>
  <c r="DX241" i="6"/>
  <c r="J241" i="6"/>
  <c r="K241" i="6" s="1"/>
  <c r="G241" i="6"/>
  <c r="F241" i="6" s="1"/>
  <c r="DX240" i="6"/>
  <c r="J240" i="6"/>
  <c r="K240" i="6" s="1"/>
  <c r="G240" i="6"/>
  <c r="H240" i="6" s="1"/>
  <c r="DX239" i="6"/>
  <c r="J239" i="6"/>
  <c r="I239" i="6" s="1"/>
  <c r="G239" i="6"/>
  <c r="H239" i="6" s="1"/>
  <c r="DX238" i="6"/>
  <c r="J238" i="6"/>
  <c r="I238" i="6" s="1"/>
  <c r="G238" i="6"/>
  <c r="H238" i="6" s="1"/>
  <c r="DX235" i="6"/>
  <c r="J235" i="6"/>
  <c r="K235" i="6" s="1"/>
  <c r="G235" i="6"/>
  <c r="H235" i="6" s="1"/>
  <c r="DX231" i="6"/>
  <c r="J231" i="6"/>
  <c r="I231" i="6" s="1"/>
  <c r="G231" i="6"/>
  <c r="H231" i="6" s="1"/>
  <c r="DX230" i="6"/>
  <c r="J230" i="6"/>
  <c r="K230" i="6" s="1"/>
  <c r="G230" i="6"/>
  <c r="F230" i="6" s="1"/>
  <c r="DX218" i="6"/>
  <c r="J218" i="6"/>
  <c r="I218" i="6" s="1"/>
  <c r="G218" i="6"/>
  <c r="H218" i="6" s="1"/>
  <c r="DX214" i="6"/>
  <c r="J214" i="6"/>
  <c r="K214" i="6" s="1"/>
  <c r="G214" i="6"/>
  <c r="F214" i="6" s="1"/>
  <c r="DX213" i="6"/>
  <c r="J213" i="6"/>
  <c r="K213" i="6" s="1"/>
  <c r="G213" i="6"/>
  <c r="H213" i="6" s="1"/>
  <c r="DX195" i="6"/>
  <c r="J195" i="6"/>
  <c r="I195" i="6" s="1"/>
  <c r="G195" i="6"/>
  <c r="F195" i="6" s="1"/>
  <c r="DX188" i="6"/>
  <c r="J188" i="6"/>
  <c r="I188" i="6" s="1"/>
  <c r="G188" i="6"/>
  <c r="H188" i="6" s="1"/>
  <c r="DX182" i="6"/>
  <c r="J182" i="6"/>
  <c r="K182" i="6" s="1"/>
  <c r="G182" i="6"/>
  <c r="H182" i="6" s="1"/>
  <c r="DX181" i="6"/>
  <c r="J181" i="6"/>
  <c r="K181" i="6" s="1"/>
  <c r="G181" i="6"/>
  <c r="H181" i="6" s="1"/>
  <c r="DX178" i="6"/>
  <c r="J178" i="6"/>
  <c r="K178" i="6" s="1"/>
  <c r="G178" i="6"/>
  <c r="F178" i="6" s="1"/>
  <c r="DX173" i="6"/>
  <c r="J173" i="6"/>
  <c r="K173" i="6" s="1"/>
  <c r="G173" i="6"/>
  <c r="H173" i="6" s="1"/>
  <c r="DX168" i="6"/>
  <c r="J168" i="6"/>
  <c r="K168" i="6" s="1"/>
  <c r="G168" i="6"/>
  <c r="F168" i="6" s="1"/>
  <c r="DX167" i="6"/>
  <c r="J167" i="6"/>
  <c r="K167" i="6" s="1"/>
  <c r="G167" i="6"/>
  <c r="H167" i="6" s="1"/>
  <c r="DX163" i="6"/>
  <c r="J163" i="6"/>
  <c r="I163" i="6" s="1"/>
  <c r="G163" i="6"/>
  <c r="H163" i="6" s="1"/>
  <c r="DX162" i="6"/>
  <c r="J162" i="6"/>
  <c r="I162" i="6" s="1"/>
  <c r="G162" i="6"/>
  <c r="H162" i="6" s="1"/>
  <c r="DX161" i="6"/>
  <c r="J161" i="6"/>
  <c r="K161" i="6" s="1"/>
  <c r="G161" i="6"/>
  <c r="H161" i="6" s="1"/>
  <c r="DX160" i="6"/>
  <c r="J160" i="6"/>
  <c r="I160" i="6" s="1"/>
  <c r="G160" i="6"/>
  <c r="H160" i="6" s="1"/>
  <c r="DX157" i="6"/>
  <c r="J157" i="6"/>
  <c r="K157" i="6" s="1"/>
  <c r="G157" i="6"/>
  <c r="F157" i="6" s="1"/>
  <c r="DX156" i="6"/>
  <c r="J156" i="6"/>
  <c r="K156" i="6" s="1"/>
  <c r="G156" i="6"/>
  <c r="H156" i="6" s="1"/>
  <c r="DX155" i="6"/>
  <c r="J155" i="6"/>
  <c r="K155" i="6" s="1"/>
  <c r="G155" i="6"/>
  <c r="F155" i="6" s="1"/>
  <c r="J144" i="6"/>
  <c r="K144" i="6" s="1"/>
  <c r="G144" i="6"/>
  <c r="H144" i="6" s="1"/>
  <c r="DX143" i="6"/>
  <c r="J143" i="6"/>
  <c r="K143" i="6" s="1"/>
  <c r="G143" i="6"/>
  <c r="H143" i="6" s="1"/>
  <c r="DX118" i="6"/>
  <c r="J118" i="6"/>
  <c r="I118" i="6" s="1"/>
  <c r="G118" i="6"/>
  <c r="H118" i="6" s="1"/>
  <c r="DX106" i="6"/>
  <c r="J106" i="6"/>
  <c r="K106" i="6" s="1"/>
  <c r="G106" i="6"/>
  <c r="H106" i="6" s="1"/>
  <c r="DX83" i="6"/>
  <c r="J83" i="6"/>
  <c r="I83" i="6" s="1"/>
  <c r="G83" i="6"/>
  <c r="H83" i="6" s="1"/>
  <c r="DX60" i="6"/>
  <c r="J60" i="6"/>
  <c r="K60" i="6" s="1"/>
  <c r="G60" i="6"/>
  <c r="F60" i="6" s="1"/>
  <c r="DX52" i="6"/>
  <c r="J52" i="6"/>
  <c r="K52" i="6" s="1"/>
  <c r="G52" i="6"/>
  <c r="H52" i="6" s="1"/>
  <c r="DX40" i="6"/>
  <c r="J40" i="6"/>
  <c r="K40" i="6" s="1"/>
  <c r="G40" i="6"/>
  <c r="H40" i="6" s="1"/>
  <c r="DX29" i="6"/>
  <c r="J29" i="6"/>
  <c r="K29" i="6" s="1"/>
  <c r="G29" i="6"/>
  <c r="H29" i="6" s="1"/>
  <c r="DX15" i="6"/>
  <c r="J15" i="6"/>
  <c r="K15" i="6" s="1"/>
  <c r="G15" i="6"/>
  <c r="F15" i="6" s="1"/>
  <c r="DX7" i="6"/>
  <c r="J7" i="6"/>
  <c r="I7" i="6" s="1"/>
  <c r="G7" i="6"/>
  <c r="H7" i="6" s="1"/>
  <c r="DX6" i="6"/>
  <c r="J6" i="6"/>
  <c r="I6" i="6" s="1"/>
  <c r="G6" i="6"/>
  <c r="H6" i="6" s="1"/>
  <c r="DO2" i="5"/>
  <c r="DO38" i="5"/>
  <c r="DO39" i="5"/>
  <c r="DO40" i="5"/>
  <c r="DO41" i="5"/>
  <c r="DO42" i="5"/>
  <c r="DO43" i="5"/>
  <c r="DO44" i="5"/>
  <c r="DO45" i="5"/>
  <c r="DO46" i="5"/>
  <c r="DO47" i="5"/>
  <c r="DO48" i="5"/>
  <c r="DO49" i="5"/>
  <c r="DO50" i="5"/>
  <c r="DO31" i="5"/>
  <c r="DO32" i="5"/>
  <c r="DO33" i="5"/>
  <c r="DO34" i="5"/>
  <c r="DO35" i="5"/>
  <c r="DO36" i="5"/>
  <c r="DO37" i="5"/>
  <c r="DO28" i="5"/>
  <c r="DO29" i="5"/>
  <c r="DO30" i="5"/>
  <c r="DO6" i="5"/>
  <c r="J96" i="5"/>
  <c r="K96" i="5" s="1"/>
  <c r="G96" i="5"/>
  <c r="H96" i="5" s="1"/>
  <c r="J95" i="5"/>
  <c r="K95" i="5" s="1"/>
  <c r="G95" i="5"/>
  <c r="F95" i="5" s="1"/>
  <c r="J94" i="5"/>
  <c r="K94" i="5" s="1"/>
  <c r="G94" i="5"/>
  <c r="H94" i="5" s="1"/>
  <c r="J93" i="5"/>
  <c r="K93" i="5" s="1"/>
  <c r="G93" i="5"/>
  <c r="H93" i="5" s="1"/>
  <c r="J92" i="5"/>
  <c r="K92" i="5" s="1"/>
  <c r="G92" i="5"/>
  <c r="F92" i="5" s="1"/>
  <c r="J91" i="5"/>
  <c r="K91" i="5" s="1"/>
  <c r="G91" i="5"/>
  <c r="H91" i="5" s="1"/>
  <c r="J90" i="5"/>
  <c r="K90" i="5" s="1"/>
  <c r="G90" i="5"/>
  <c r="H90" i="5" s="1"/>
  <c r="J89" i="5"/>
  <c r="G89" i="5"/>
  <c r="F89" i="5" s="1"/>
  <c r="J88" i="5"/>
  <c r="K88" i="5" s="1"/>
  <c r="G88" i="5"/>
  <c r="F88" i="5" s="1"/>
  <c r="J87" i="5"/>
  <c r="I87" i="5" s="1"/>
  <c r="G87" i="5"/>
  <c r="H87" i="5" s="1"/>
  <c r="J86" i="5"/>
  <c r="K86" i="5" s="1"/>
  <c r="G86" i="5"/>
  <c r="H86" i="5" s="1"/>
  <c r="J85" i="5"/>
  <c r="K85" i="5" s="1"/>
  <c r="G85" i="5"/>
  <c r="H85" i="5" s="1"/>
  <c r="J84" i="5"/>
  <c r="K84" i="5" s="1"/>
  <c r="G84" i="5"/>
  <c r="H84" i="5" s="1"/>
  <c r="J83" i="5"/>
  <c r="K83" i="5" s="1"/>
  <c r="G83" i="5"/>
  <c r="H83" i="5" s="1"/>
  <c r="J82" i="5"/>
  <c r="I82" i="5" s="1"/>
  <c r="G82" i="5"/>
  <c r="F82" i="5" s="1"/>
  <c r="J81" i="5"/>
  <c r="K81" i="5" s="1"/>
  <c r="G81" i="5"/>
  <c r="H81" i="5" s="1"/>
  <c r="J80" i="5"/>
  <c r="I80" i="5" s="1"/>
  <c r="G80" i="5"/>
  <c r="F80" i="5" s="1"/>
  <c r="J79" i="5"/>
  <c r="K79" i="5" s="1"/>
  <c r="G79" i="5"/>
  <c r="H79" i="5" s="1"/>
  <c r="J78" i="5"/>
  <c r="K78" i="5" s="1"/>
  <c r="G78" i="5"/>
  <c r="H78" i="5" s="1"/>
  <c r="J77" i="5"/>
  <c r="I77" i="5" s="1"/>
  <c r="G77" i="5"/>
  <c r="H77" i="5" s="1"/>
  <c r="J76" i="5"/>
  <c r="K76" i="5" s="1"/>
  <c r="G76" i="5"/>
  <c r="F76" i="5" s="1"/>
  <c r="J75" i="5"/>
  <c r="G75" i="5"/>
  <c r="F75" i="5" s="1"/>
  <c r="J74" i="5"/>
  <c r="K74" i="5" s="1"/>
  <c r="G74" i="5"/>
  <c r="H74" i="5" s="1"/>
  <c r="J73" i="5"/>
  <c r="K73" i="5" s="1"/>
  <c r="G73" i="5"/>
  <c r="H73" i="5" s="1"/>
  <c r="J72" i="5"/>
  <c r="K72" i="5" s="1"/>
  <c r="G72" i="5"/>
  <c r="H72" i="5" s="1"/>
  <c r="J71" i="5"/>
  <c r="I71" i="5" s="1"/>
  <c r="G71" i="5"/>
  <c r="F71" i="5" s="1"/>
  <c r="J70" i="5"/>
  <c r="K70" i="5" s="1"/>
  <c r="G70" i="5"/>
  <c r="H70" i="5" s="1"/>
  <c r="J69" i="5"/>
  <c r="K69" i="5" s="1"/>
  <c r="G69" i="5"/>
  <c r="F69" i="5" s="1"/>
  <c r="J68" i="5"/>
  <c r="I68" i="5" s="1"/>
  <c r="G68" i="5"/>
  <c r="H68" i="5" s="1"/>
  <c r="J67" i="5"/>
  <c r="K67" i="5" s="1"/>
  <c r="G67" i="5"/>
  <c r="F67" i="5" s="1"/>
  <c r="J66" i="5"/>
  <c r="K66" i="5" s="1"/>
  <c r="G66" i="5"/>
  <c r="H66" i="5" s="1"/>
  <c r="J65" i="5"/>
  <c r="K65" i="5" s="1"/>
  <c r="G65" i="5"/>
  <c r="H65" i="5" s="1"/>
  <c r="J64" i="5"/>
  <c r="K64" i="5" s="1"/>
  <c r="G64" i="5"/>
  <c r="H64" i="5" s="1"/>
  <c r="J63" i="5"/>
  <c r="I63" i="5" s="1"/>
  <c r="G63" i="5"/>
  <c r="F63" i="5" s="1"/>
  <c r="J62" i="5"/>
  <c r="K62" i="5" s="1"/>
  <c r="G62" i="5"/>
  <c r="H62" i="5" s="1"/>
  <c r="J61" i="5"/>
  <c r="I61" i="5" s="1"/>
  <c r="G61" i="5"/>
  <c r="H61" i="5" s="1"/>
  <c r="J60" i="5"/>
  <c r="K60" i="5" s="1"/>
  <c r="G60" i="5"/>
  <c r="F60" i="5" s="1"/>
  <c r="J59" i="5"/>
  <c r="K59" i="5" s="1"/>
  <c r="G59" i="5"/>
  <c r="F59" i="5" s="1"/>
  <c r="J58" i="5"/>
  <c r="I58" i="5" s="1"/>
  <c r="G58" i="5"/>
  <c r="H58" i="5" s="1"/>
  <c r="J57" i="5"/>
  <c r="I57" i="5" s="1"/>
  <c r="G57" i="5"/>
  <c r="H57" i="5" s="1"/>
  <c r="J56" i="5"/>
  <c r="I56" i="5" s="1"/>
  <c r="G56" i="5"/>
  <c r="H56" i="5" s="1"/>
  <c r="J55" i="5"/>
  <c r="K55" i="5" s="1"/>
  <c r="G55" i="5"/>
  <c r="F55" i="5" s="1"/>
  <c r="J54" i="5"/>
  <c r="I54" i="5" s="1"/>
  <c r="G54" i="5"/>
  <c r="H54" i="5" s="1"/>
  <c r="J53" i="5"/>
  <c r="I53" i="5" s="1"/>
  <c r="G53" i="5"/>
  <c r="H53" i="5" s="1"/>
  <c r="J52" i="5"/>
  <c r="K52" i="5" s="1"/>
  <c r="G52" i="5"/>
  <c r="F52" i="5" s="1"/>
  <c r="J51" i="5"/>
  <c r="K51" i="5" s="1"/>
  <c r="G51" i="5"/>
  <c r="F51" i="5" s="1"/>
  <c r="J50" i="5"/>
  <c r="I50" i="5" s="1"/>
  <c r="G50" i="5"/>
  <c r="H50" i="5" s="1"/>
  <c r="J49" i="5"/>
  <c r="I49" i="5" s="1"/>
  <c r="G49" i="5"/>
  <c r="H49" i="5" s="1"/>
  <c r="J48" i="5"/>
  <c r="K48" i="5" s="1"/>
  <c r="G48" i="5"/>
  <c r="F48" i="5" s="1"/>
  <c r="J47" i="5"/>
  <c r="I47" i="5" s="1"/>
  <c r="G47" i="5"/>
  <c r="H47" i="5" s="1"/>
  <c r="J46" i="5"/>
  <c r="K46" i="5" s="1"/>
  <c r="G46" i="5"/>
  <c r="F46" i="5" s="1"/>
  <c r="J45" i="5"/>
  <c r="I45" i="5" s="1"/>
  <c r="G45" i="5"/>
  <c r="H45" i="5" s="1"/>
  <c r="J44" i="5"/>
  <c r="I44" i="5" s="1"/>
  <c r="G44" i="5"/>
  <c r="H44" i="5" s="1"/>
  <c r="J43" i="5"/>
  <c r="K43" i="5" s="1"/>
  <c r="G43" i="5"/>
  <c r="F43" i="5" s="1"/>
  <c r="J42" i="5"/>
  <c r="I42" i="5" s="1"/>
  <c r="G42" i="5"/>
  <c r="H42" i="5" s="1"/>
  <c r="J41" i="5"/>
  <c r="I41" i="5" s="1"/>
  <c r="G41" i="5"/>
  <c r="H41" i="5" s="1"/>
  <c r="J40" i="5"/>
  <c r="I40" i="5" s="1"/>
  <c r="G40" i="5"/>
  <c r="F40" i="5" s="1"/>
  <c r="J39" i="5"/>
  <c r="I39" i="5" s="1"/>
  <c r="G39" i="5"/>
  <c r="H39" i="5" s="1"/>
  <c r="J38" i="5"/>
  <c r="K38" i="5" s="1"/>
  <c r="G38" i="5"/>
  <c r="F38" i="5" s="1"/>
  <c r="J37" i="5"/>
  <c r="I37" i="5" s="1"/>
  <c r="G37" i="5"/>
  <c r="H37" i="5" s="1"/>
  <c r="J36" i="5"/>
  <c r="K36" i="5" s="1"/>
  <c r="G36" i="5"/>
  <c r="F36" i="5" s="1"/>
  <c r="J35" i="5"/>
  <c r="I35" i="5" s="1"/>
  <c r="G35" i="5"/>
  <c r="H35" i="5" s="1"/>
  <c r="J34" i="5"/>
  <c r="K34" i="5" s="1"/>
  <c r="G34" i="5"/>
  <c r="F34" i="5" s="1"/>
  <c r="J33" i="5"/>
  <c r="K33" i="5" s="1"/>
  <c r="G33" i="5"/>
  <c r="H33" i="5" s="1"/>
  <c r="J32" i="5"/>
  <c r="K32" i="5" s="1"/>
  <c r="G32" i="5"/>
  <c r="H32" i="5" s="1"/>
  <c r="J31" i="5"/>
  <c r="K31" i="5" s="1"/>
  <c r="G31" i="5"/>
  <c r="F31" i="5" s="1"/>
  <c r="J30" i="5"/>
  <c r="I30" i="5" s="1"/>
  <c r="G30" i="5"/>
  <c r="H30" i="5" s="1"/>
  <c r="J29" i="5"/>
  <c r="K29" i="5" s="1"/>
  <c r="G29" i="5"/>
  <c r="F29" i="5" s="1"/>
  <c r="J28" i="5"/>
  <c r="I28" i="5" s="1"/>
  <c r="G28" i="5"/>
  <c r="DO27" i="5"/>
  <c r="J27" i="5"/>
  <c r="K27" i="5" s="1"/>
  <c r="G27" i="5"/>
  <c r="H27" i="5" s="1"/>
  <c r="DO26" i="5"/>
  <c r="J26" i="5"/>
  <c r="K26" i="5" s="1"/>
  <c r="G26" i="5"/>
  <c r="F26" i="5" s="1"/>
  <c r="DO25" i="5"/>
  <c r="J25" i="5"/>
  <c r="K25" i="5" s="1"/>
  <c r="G25" i="5"/>
  <c r="DO24" i="5"/>
  <c r="J24" i="5"/>
  <c r="K24" i="5" s="1"/>
  <c r="G24" i="5"/>
  <c r="H24" i="5" s="1"/>
  <c r="DO23" i="5"/>
  <c r="J23" i="5"/>
  <c r="I23" i="5" s="1"/>
  <c r="G23" i="5"/>
  <c r="H23" i="5" s="1"/>
  <c r="DO22" i="5"/>
  <c r="J22" i="5"/>
  <c r="K22" i="5" s="1"/>
  <c r="G22" i="5"/>
  <c r="H22" i="5" s="1"/>
  <c r="DO21" i="5"/>
  <c r="J21" i="5"/>
  <c r="K21" i="5" s="1"/>
  <c r="G21" i="5"/>
  <c r="H21" i="5" s="1"/>
  <c r="DO20" i="5"/>
  <c r="J20" i="5"/>
  <c r="K20" i="5" s="1"/>
  <c r="G20" i="5"/>
  <c r="DO19" i="5"/>
  <c r="J19" i="5"/>
  <c r="I19" i="5" s="1"/>
  <c r="G19" i="5"/>
  <c r="DO18" i="5"/>
  <c r="J18" i="5"/>
  <c r="I18" i="5" s="1"/>
  <c r="G18" i="5"/>
  <c r="F18" i="5" s="1"/>
  <c r="DO17" i="5"/>
  <c r="J17" i="5"/>
  <c r="K17" i="5" s="1"/>
  <c r="G17" i="5"/>
  <c r="H17" i="5" s="1"/>
  <c r="DO16" i="5"/>
  <c r="J16" i="5"/>
  <c r="K16" i="5" s="1"/>
  <c r="G16" i="5"/>
  <c r="F16" i="5" s="1"/>
  <c r="DO15" i="5"/>
  <c r="J15" i="5"/>
  <c r="I15" i="5" s="1"/>
  <c r="G15" i="5"/>
  <c r="H15" i="5" s="1"/>
  <c r="DO14" i="5"/>
  <c r="J14" i="5"/>
  <c r="K14" i="5" s="1"/>
  <c r="G14" i="5"/>
  <c r="DO13" i="5"/>
  <c r="J13" i="5"/>
  <c r="I13" i="5" s="1"/>
  <c r="G13" i="5"/>
  <c r="H13" i="5" s="1"/>
  <c r="DO12" i="5"/>
  <c r="J12" i="5"/>
  <c r="K12" i="5" s="1"/>
  <c r="G12" i="5"/>
  <c r="H12" i="5" s="1"/>
  <c r="DO11" i="5"/>
  <c r="J11" i="5"/>
  <c r="G11" i="5"/>
  <c r="H11" i="5" s="1"/>
  <c r="DO10" i="5"/>
  <c r="J10" i="5"/>
  <c r="K10" i="5" s="1"/>
  <c r="G10" i="5"/>
  <c r="H10" i="5" s="1"/>
  <c r="DO9" i="5"/>
  <c r="J9" i="5"/>
  <c r="K9" i="5" s="1"/>
  <c r="G9" i="5"/>
  <c r="F9" i="5" s="1"/>
  <c r="J8" i="5"/>
  <c r="K8" i="5" s="1"/>
  <c r="G8" i="5"/>
  <c r="H8" i="5" s="1"/>
  <c r="J7" i="5"/>
  <c r="K7" i="5" s="1"/>
  <c r="G7" i="5"/>
  <c r="F7" i="5" s="1"/>
  <c r="J6" i="5"/>
  <c r="K6" i="5" s="1"/>
  <c r="G6" i="5"/>
  <c r="F6" i="5" s="1"/>
  <c r="I213" i="6" l="1"/>
  <c r="F247" i="6"/>
  <c r="F581" i="6"/>
  <c r="F251" i="6"/>
  <c r="I240" i="6"/>
  <c r="F285" i="6"/>
  <c r="F52" i="6"/>
  <c r="H241" i="6"/>
  <c r="F356" i="6"/>
  <c r="I466" i="6"/>
  <c r="F574" i="6"/>
  <c r="K603" i="6"/>
  <c r="I273" i="6"/>
  <c r="I581" i="6"/>
  <c r="I29" i="6"/>
  <c r="I52" i="6"/>
  <c r="I143" i="6"/>
  <c r="H15" i="6"/>
  <c r="I275" i="6"/>
  <c r="I316" i="6"/>
  <c r="I464" i="6"/>
  <c r="F651" i="6"/>
  <c r="F466" i="6"/>
  <c r="F173" i="6"/>
  <c r="F269" i="6"/>
  <c r="I555" i="6"/>
  <c r="I578" i="6"/>
  <c r="H155" i="6"/>
  <c r="F6" i="6"/>
  <c r="H214" i="6"/>
  <c r="K287" i="6"/>
  <c r="I167" i="6"/>
  <c r="I173" i="6"/>
  <c r="I247" i="6"/>
  <c r="I269" i="6"/>
  <c r="F274" i="6"/>
  <c r="I285" i="6"/>
  <c r="F323" i="6"/>
  <c r="I342" i="6"/>
  <c r="I356" i="6"/>
  <c r="F465" i="6"/>
  <c r="F565" i="6"/>
  <c r="I569" i="6"/>
  <c r="I574" i="6"/>
  <c r="I651" i="6"/>
  <c r="F161" i="6"/>
  <c r="F163" i="6"/>
  <c r="F255" i="6"/>
  <c r="I274" i="6"/>
  <c r="F287" i="6"/>
  <c r="I312" i="6"/>
  <c r="I323" i="6"/>
  <c r="F348" i="6"/>
  <c r="I565" i="6"/>
  <c r="F571" i="6"/>
  <c r="I554" i="6"/>
  <c r="I161" i="6"/>
  <c r="K246" i="6"/>
  <c r="I252" i="6"/>
  <c r="I255" i="6"/>
  <c r="F275" i="6"/>
  <c r="I284" i="6"/>
  <c r="F316" i="6"/>
  <c r="I348" i="6"/>
  <c r="I571" i="6"/>
  <c r="F603" i="6"/>
  <c r="I646" i="6"/>
  <c r="F555" i="6"/>
  <c r="I15" i="6"/>
  <c r="F40" i="6"/>
  <c r="F106" i="6"/>
  <c r="F143" i="6"/>
  <c r="I144" i="6"/>
  <c r="F156" i="6"/>
  <c r="K163" i="6"/>
  <c r="H168" i="6"/>
  <c r="I182" i="6"/>
  <c r="H195" i="6"/>
  <c r="K218" i="6"/>
  <c r="F235" i="6"/>
  <c r="F239" i="6"/>
  <c r="I244" i="6"/>
  <c r="K251" i="6"/>
  <c r="H254" i="6"/>
  <c r="I652" i="6"/>
  <c r="F791" i="6"/>
  <c r="I106" i="6"/>
  <c r="I156" i="6"/>
  <c r="K195" i="6"/>
  <c r="I235" i="6"/>
  <c r="I791" i="6"/>
  <c r="I465" i="6"/>
  <c r="F218" i="6"/>
  <c r="K239" i="6"/>
  <c r="F182" i="6"/>
  <c r="F244" i="6"/>
  <c r="F652" i="6"/>
  <c r="I790" i="6"/>
  <c r="H792" i="6"/>
  <c r="F795" i="6"/>
  <c r="K231" i="6"/>
  <c r="F83" i="6"/>
  <c r="F160" i="6"/>
  <c r="F181" i="6"/>
  <c r="F231" i="6"/>
  <c r="F246" i="6"/>
  <c r="K792" i="6"/>
  <c r="I795" i="6"/>
  <c r="K83" i="6"/>
  <c r="K160" i="6"/>
  <c r="J798" i="6"/>
  <c r="I181" i="6"/>
  <c r="F796" i="6"/>
  <c r="I794" i="6"/>
  <c r="K7" i="6"/>
  <c r="H60" i="6"/>
  <c r="K118" i="6"/>
  <c r="H157" i="6"/>
  <c r="K162" i="6"/>
  <c r="H178" i="6"/>
  <c r="K188" i="6"/>
  <c r="H230" i="6"/>
  <c r="K238" i="6"/>
  <c r="H245" i="6"/>
  <c r="K248" i="6"/>
  <c r="K271" i="6"/>
  <c r="K283" i="6"/>
  <c r="K294" i="6"/>
  <c r="K324" i="6"/>
  <c r="K357" i="6"/>
  <c r="K467" i="6"/>
  <c r="K568" i="6"/>
  <c r="K575" i="6"/>
  <c r="K624" i="6"/>
  <c r="K653" i="6"/>
  <c r="K793" i="6"/>
  <c r="I796" i="6"/>
  <c r="K6" i="6"/>
  <c r="F29" i="6"/>
  <c r="I60" i="6"/>
  <c r="F144" i="6"/>
  <c r="I157" i="6"/>
  <c r="F167" i="6"/>
  <c r="I178" i="6"/>
  <c r="F213" i="6"/>
  <c r="I230" i="6"/>
  <c r="F240" i="6"/>
  <c r="I245" i="6"/>
  <c r="F252" i="6"/>
  <c r="F273" i="6"/>
  <c r="F284" i="6"/>
  <c r="F312" i="6"/>
  <c r="F342" i="6"/>
  <c r="F464" i="6"/>
  <c r="F554" i="6"/>
  <c r="F569" i="6"/>
  <c r="F578" i="6"/>
  <c r="F646" i="6"/>
  <c r="F790" i="6"/>
  <c r="F794" i="6"/>
  <c r="F7" i="6"/>
  <c r="I40" i="6"/>
  <c r="F118" i="6"/>
  <c r="I155" i="6"/>
  <c r="F162" i="6"/>
  <c r="I168" i="6"/>
  <c r="F188" i="6"/>
  <c r="I214" i="6"/>
  <c r="F238" i="6"/>
  <c r="I241" i="6"/>
  <c r="F248" i="6"/>
  <c r="I254" i="6"/>
  <c r="F271" i="6"/>
  <c r="F283" i="6"/>
  <c r="F294" i="6"/>
  <c r="F324" i="6"/>
  <c r="F357" i="6"/>
  <c r="F467" i="6"/>
  <c r="F568" i="6"/>
  <c r="F575" i="6"/>
  <c r="F624" i="6"/>
  <c r="F653" i="6"/>
  <c r="F793" i="6"/>
  <c r="H34" i="5"/>
  <c r="F41" i="5"/>
  <c r="F44" i="5"/>
  <c r="I32" i="5"/>
  <c r="I83" i="5"/>
  <c r="F11" i="5"/>
  <c r="F24" i="5"/>
  <c r="F53" i="5"/>
  <c r="I25" i="5"/>
  <c r="F47" i="5"/>
  <c r="K87" i="5"/>
  <c r="F17" i="5"/>
  <c r="F86" i="5"/>
  <c r="H52" i="5"/>
  <c r="I64" i="5"/>
  <c r="F68" i="5"/>
  <c r="I74" i="5"/>
  <c r="I48" i="5"/>
  <c r="I52" i="5"/>
  <c r="I67" i="5"/>
  <c r="I86" i="5"/>
  <c r="I72" i="5"/>
  <c r="I12" i="5"/>
  <c r="F22" i="5"/>
  <c r="F35" i="5"/>
  <c r="F90" i="5"/>
  <c r="I92" i="5"/>
  <c r="I7" i="5"/>
  <c r="I24" i="5"/>
  <c r="F30" i="5"/>
  <c r="F32" i="5"/>
  <c r="H67" i="5"/>
  <c r="F93" i="5"/>
  <c r="F21" i="5"/>
  <c r="K71" i="5"/>
  <c r="F10" i="5"/>
  <c r="I26" i="5"/>
  <c r="F27" i="5"/>
  <c r="I38" i="5"/>
  <c r="I46" i="5"/>
  <c r="H60" i="5"/>
  <c r="F81" i="5"/>
  <c r="F94" i="5"/>
  <c r="H40" i="5"/>
  <c r="H46" i="5"/>
  <c r="F54" i="5"/>
  <c r="I90" i="5"/>
  <c r="H92" i="5"/>
  <c r="I94" i="5"/>
  <c r="H7" i="5"/>
  <c r="I8" i="5"/>
  <c r="I20" i="5"/>
  <c r="K30" i="5"/>
  <c r="I33" i="5"/>
  <c r="K35" i="5"/>
  <c r="K40" i="5"/>
  <c r="I60" i="5"/>
  <c r="F78" i="5"/>
  <c r="F85" i="5"/>
  <c r="F15" i="5"/>
  <c r="I22" i="5"/>
  <c r="I31" i="5"/>
  <c r="I36" i="5"/>
  <c r="H55" i="5"/>
  <c r="F57" i="5"/>
  <c r="I59" i="5"/>
  <c r="F61" i="5"/>
  <c r="K68" i="5"/>
  <c r="F72" i="5"/>
  <c r="F73" i="5"/>
  <c r="H75" i="5"/>
  <c r="H43" i="5"/>
  <c r="I55" i="5"/>
  <c r="F62" i="5"/>
  <c r="I78" i="5"/>
  <c r="F84" i="5"/>
  <c r="I85" i="5"/>
  <c r="F87" i="5"/>
  <c r="I95" i="5"/>
  <c r="H9" i="5"/>
  <c r="I21" i="5"/>
  <c r="F65" i="5"/>
  <c r="H19" i="5"/>
  <c r="F19" i="5"/>
  <c r="H28" i="5"/>
  <c r="F28" i="5"/>
  <c r="K75" i="5"/>
  <c r="I75" i="5"/>
  <c r="H16" i="5"/>
  <c r="K11" i="5"/>
  <c r="I11" i="5"/>
  <c r="I16" i="5"/>
  <c r="H38" i="5"/>
  <c r="H48" i="5"/>
  <c r="H59" i="5"/>
  <c r="F74" i="5"/>
  <c r="I76" i="5"/>
  <c r="I6" i="5"/>
  <c r="F12" i="5"/>
  <c r="H51" i="5"/>
  <c r="K63" i="5"/>
  <c r="H69" i="5"/>
  <c r="K82" i="5"/>
  <c r="H14" i="5"/>
  <c r="F14" i="5"/>
  <c r="I9" i="5"/>
  <c r="K18" i="5"/>
  <c r="K19" i="5"/>
  <c r="F20" i="5"/>
  <c r="H20" i="5"/>
  <c r="H25" i="5"/>
  <c r="F25" i="5"/>
  <c r="K28" i="5"/>
  <c r="I51" i="5"/>
  <c r="F64" i="5"/>
  <c r="I65" i="5"/>
  <c r="I69" i="5"/>
  <c r="F83" i="5"/>
  <c r="I84" i="5"/>
  <c r="I96" i="5"/>
  <c r="I17" i="5"/>
  <c r="I34" i="5"/>
  <c r="I43" i="5"/>
  <c r="K89" i="5"/>
  <c r="I89" i="5"/>
  <c r="F91" i="5"/>
  <c r="I29" i="5"/>
  <c r="I88" i="5"/>
  <c r="I66" i="5"/>
  <c r="F77" i="5"/>
  <c r="I91" i="5"/>
  <c r="I93" i="5"/>
  <c r="K15" i="5"/>
  <c r="H18" i="5"/>
  <c r="K44" i="5"/>
  <c r="K47" i="5"/>
  <c r="K53" i="5"/>
  <c r="K54" i="5"/>
  <c r="K57" i="5"/>
  <c r="K61" i="5"/>
  <c r="F79" i="5"/>
  <c r="K41" i="5"/>
  <c r="J98" i="5"/>
  <c r="K13" i="5"/>
  <c r="H31" i="5"/>
  <c r="K37" i="5"/>
  <c r="K39" i="5"/>
  <c r="K42" i="5"/>
  <c r="K45" i="5"/>
  <c r="K49" i="5"/>
  <c r="K50" i="5"/>
  <c r="K56" i="5"/>
  <c r="K58" i="5"/>
  <c r="H63" i="5"/>
  <c r="H76" i="5"/>
  <c r="K77" i="5"/>
  <c r="K80" i="5"/>
  <c r="H82" i="5"/>
  <c r="H88" i="5"/>
  <c r="H95" i="5"/>
  <c r="F8" i="5"/>
  <c r="H71" i="5"/>
  <c r="K23" i="5"/>
  <c r="I10" i="5"/>
  <c r="F13" i="5"/>
  <c r="I14" i="5"/>
  <c r="F23" i="5"/>
  <c r="I79" i="5"/>
  <c r="H6" i="5"/>
  <c r="H36" i="5"/>
  <c r="I27" i="5"/>
  <c r="F33" i="5"/>
  <c r="F37" i="5"/>
  <c r="F39" i="5"/>
  <c r="F42" i="5"/>
  <c r="F45" i="5"/>
  <c r="F49" i="5"/>
  <c r="F50" i="5"/>
  <c r="F56" i="5"/>
  <c r="F58" i="5"/>
  <c r="I62" i="5"/>
  <c r="F66" i="5"/>
  <c r="F70" i="5"/>
  <c r="I73" i="5"/>
  <c r="I81" i="5"/>
  <c r="H26" i="5"/>
  <c r="H29" i="5"/>
  <c r="H80" i="5"/>
  <c r="I70" i="5"/>
  <c r="H89" i="5"/>
  <c r="F96" i="5"/>
  <c r="I798" i="6" l="1"/>
  <c r="I799" i="6" s="1"/>
  <c r="K798" i="6"/>
  <c r="I98" i="5"/>
  <c r="I99" i="5" s="1"/>
  <c r="K98" i="5"/>
  <c r="DP54" i="1" l="1"/>
  <c r="DP51" i="1"/>
  <c r="DP49" i="1"/>
  <c r="DP48" i="1"/>
  <c r="DP47" i="1"/>
  <c r="DP46" i="1"/>
  <c r="DP45" i="1"/>
  <c r="DP42" i="1"/>
  <c r="DP39" i="1"/>
  <c r="DP37" i="1"/>
  <c r="DP33" i="1"/>
  <c r="DP32" i="1"/>
  <c r="DP25" i="1"/>
  <c r="DP24" i="1"/>
  <c r="DP18" i="1"/>
  <c r="DP17" i="1"/>
  <c r="DP16" i="1"/>
  <c r="DP14" i="1"/>
  <c r="DP10" i="1"/>
  <c r="DP13" i="1"/>
  <c r="DP12" i="1"/>
  <c r="DP9" i="1"/>
  <c r="H205" i="1"/>
  <c r="G205" i="1" s="1"/>
  <c r="K205" i="1"/>
  <c r="J205" i="1" s="1"/>
  <c r="H206" i="1"/>
  <c r="I206" i="1" s="1"/>
  <c r="K206" i="1"/>
  <c r="J206" i="1" s="1"/>
  <c r="H207" i="1"/>
  <c r="G207" i="1" s="1"/>
  <c r="K207" i="1"/>
  <c r="L207" i="1" s="1"/>
  <c r="H208" i="1"/>
  <c r="G208" i="1" s="1"/>
  <c r="K208" i="1"/>
  <c r="J208" i="1" s="1"/>
  <c r="H209" i="1"/>
  <c r="G209" i="1" s="1"/>
  <c r="K209" i="1"/>
  <c r="J209" i="1" s="1"/>
  <c r="H210" i="1"/>
  <c r="I210" i="1" s="1"/>
  <c r="K210" i="1"/>
  <c r="J210" i="1" s="1"/>
  <c r="H211" i="1"/>
  <c r="G211" i="1" s="1"/>
  <c r="K211" i="1"/>
  <c r="J211" i="1" s="1"/>
  <c r="H212" i="1"/>
  <c r="G212" i="1" s="1"/>
  <c r="K212" i="1"/>
  <c r="J212" i="1" s="1"/>
  <c r="H213" i="1"/>
  <c r="G213" i="1" s="1"/>
  <c r="K213" i="1"/>
  <c r="J213" i="1" s="1"/>
  <c r="H214" i="1"/>
  <c r="I214" i="1" s="1"/>
  <c r="K214" i="1"/>
  <c r="J214" i="1" s="1"/>
  <c r="H215" i="1"/>
  <c r="G215" i="1" s="1"/>
  <c r="K215" i="1"/>
  <c r="J215" i="1" s="1"/>
  <c r="H216" i="1"/>
  <c r="G216" i="1" s="1"/>
  <c r="K216" i="1"/>
  <c r="J216" i="1" s="1"/>
  <c r="H217" i="1"/>
  <c r="G217" i="1" s="1"/>
  <c r="K217" i="1"/>
  <c r="J217" i="1" s="1"/>
  <c r="H218" i="1"/>
  <c r="I218" i="1" s="1"/>
  <c r="K218" i="1"/>
  <c r="J218" i="1" s="1"/>
  <c r="H219" i="1"/>
  <c r="G219" i="1" s="1"/>
  <c r="K219" i="1"/>
  <c r="J219" i="1" s="1"/>
  <c r="H220" i="1"/>
  <c r="G220" i="1" s="1"/>
  <c r="K220" i="1"/>
  <c r="J220" i="1" s="1"/>
  <c r="H221" i="1"/>
  <c r="G221" i="1" s="1"/>
  <c r="K221" i="1"/>
  <c r="J221" i="1" s="1"/>
  <c r="H222" i="1"/>
  <c r="I222" i="1" s="1"/>
  <c r="K222" i="1"/>
  <c r="J222" i="1" s="1"/>
  <c r="H223" i="1"/>
  <c r="G223" i="1" s="1"/>
  <c r="K223" i="1"/>
  <c r="J223" i="1" s="1"/>
  <c r="H224" i="1"/>
  <c r="G224" i="1" s="1"/>
  <c r="K224" i="1"/>
  <c r="J224" i="1" s="1"/>
  <c r="H225" i="1"/>
  <c r="G225" i="1" s="1"/>
  <c r="K225" i="1"/>
  <c r="J225" i="1" s="1"/>
  <c r="H226" i="1"/>
  <c r="I226" i="1" s="1"/>
  <c r="K226" i="1"/>
  <c r="J226" i="1" s="1"/>
  <c r="H227" i="1"/>
  <c r="G227" i="1" s="1"/>
  <c r="K227" i="1"/>
  <c r="L227" i="1" s="1"/>
  <c r="H228" i="1"/>
  <c r="G228" i="1" s="1"/>
  <c r="K228" i="1"/>
  <c r="J228" i="1" s="1"/>
  <c r="H229" i="1"/>
  <c r="G229" i="1" s="1"/>
  <c r="K229" i="1"/>
  <c r="J229" i="1" s="1"/>
  <c r="H230" i="1"/>
  <c r="I230" i="1" s="1"/>
  <c r="K230" i="1"/>
  <c r="J230" i="1" s="1"/>
  <c r="H231" i="1"/>
  <c r="G231" i="1" s="1"/>
  <c r="K231" i="1"/>
  <c r="J231" i="1" s="1"/>
  <c r="H232" i="1"/>
  <c r="G232" i="1" s="1"/>
  <c r="K232" i="1"/>
  <c r="J232" i="1" s="1"/>
  <c r="H233" i="1"/>
  <c r="G233" i="1" s="1"/>
  <c r="K233" i="1"/>
  <c r="J233" i="1" s="1"/>
  <c r="H234" i="1"/>
  <c r="I234" i="1" s="1"/>
  <c r="K234" i="1"/>
  <c r="J234" i="1" s="1"/>
  <c r="H235" i="1"/>
  <c r="G235" i="1" s="1"/>
  <c r="K235" i="1"/>
  <c r="J235" i="1" s="1"/>
  <c r="H236" i="1"/>
  <c r="G236" i="1" s="1"/>
  <c r="K236" i="1"/>
  <c r="J236" i="1" s="1"/>
  <c r="H237" i="1"/>
  <c r="G237" i="1" s="1"/>
  <c r="K237" i="1"/>
  <c r="J237" i="1" s="1"/>
  <c r="H238" i="1"/>
  <c r="I238" i="1" s="1"/>
  <c r="K238" i="1"/>
  <c r="J238" i="1" s="1"/>
  <c r="H239" i="1"/>
  <c r="G239" i="1" s="1"/>
  <c r="K239" i="1"/>
  <c r="J239" i="1" s="1"/>
  <c r="H240" i="1"/>
  <c r="G240" i="1" s="1"/>
  <c r="K240" i="1"/>
  <c r="J240" i="1" s="1"/>
  <c r="H241" i="1"/>
  <c r="G241" i="1" s="1"/>
  <c r="K241" i="1"/>
  <c r="J241" i="1" s="1"/>
  <c r="H242" i="1"/>
  <c r="I242" i="1" s="1"/>
  <c r="K242" i="1"/>
  <c r="J242" i="1" s="1"/>
  <c r="H243" i="1"/>
  <c r="G243" i="1" s="1"/>
  <c r="K243" i="1"/>
  <c r="J243" i="1" s="1"/>
  <c r="H244" i="1"/>
  <c r="G244" i="1" s="1"/>
  <c r="K244" i="1"/>
  <c r="J244" i="1" s="1"/>
  <c r="H245" i="1"/>
  <c r="G245" i="1" s="1"/>
  <c r="K245" i="1"/>
  <c r="J245" i="1" s="1"/>
  <c r="H246" i="1"/>
  <c r="I246" i="1" s="1"/>
  <c r="K246" i="1"/>
  <c r="J246" i="1" s="1"/>
  <c r="H247" i="1"/>
  <c r="G247" i="1" s="1"/>
  <c r="K247" i="1"/>
  <c r="J247" i="1" s="1"/>
  <c r="H248" i="1"/>
  <c r="G248" i="1" s="1"/>
  <c r="K248" i="1"/>
  <c r="J248" i="1" s="1"/>
  <c r="H249" i="1"/>
  <c r="G249" i="1" s="1"/>
  <c r="K249" i="1"/>
  <c r="J249" i="1" s="1"/>
  <c r="H250" i="1"/>
  <c r="I250" i="1" s="1"/>
  <c r="K250" i="1"/>
  <c r="J250" i="1" s="1"/>
  <c r="H251" i="1"/>
  <c r="G251" i="1" s="1"/>
  <c r="K251" i="1"/>
  <c r="J251" i="1" s="1"/>
  <c r="H252" i="1"/>
  <c r="G252" i="1" s="1"/>
  <c r="K252" i="1"/>
  <c r="J252" i="1" s="1"/>
  <c r="H253" i="1"/>
  <c r="G253" i="1" s="1"/>
  <c r="K253" i="1"/>
  <c r="J253" i="1" s="1"/>
  <c r="H254" i="1"/>
  <c r="I254" i="1" s="1"/>
  <c r="K254" i="1"/>
  <c r="J254" i="1" s="1"/>
  <c r="H255" i="1"/>
  <c r="G255" i="1" s="1"/>
  <c r="K255" i="1"/>
  <c r="J255" i="1" s="1"/>
  <c r="H256" i="1"/>
  <c r="G256" i="1" s="1"/>
  <c r="K256" i="1"/>
  <c r="J256" i="1" s="1"/>
  <c r="H257" i="1"/>
  <c r="G257" i="1" s="1"/>
  <c r="K257" i="1"/>
  <c r="J257" i="1" s="1"/>
  <c r="H258" i="1"/>
  <c r="I258" i="1" s="1"/>
  <c r="K258" i="1"/>
  <c r="J258" i="1" s="1"/>
  <c r="H259" i="1"/>
  <c r="G259" i="1" s="1"/>
  <c r="K259" i="1"/>
  <c r="L259" i="1" s="1"/>
  <c r="H260" i="1"/>
  <c r="G260" i="1" s="1"/>
  <c r="K260" i="1"/>
  <c r="J260" i="1" s="1"/>
  <c r="H261" i="1"/>
  <c r="G261" i="1" s="1"/>
  <c r="K261" i="1"/>
  <c r="J261" i="1" s="1"/>
  <c r="H262" i="1"/>
  <c r="I262" i="1" s="1"/>
  <c r="K262" i="1"/>
  <c r="J262" i="1" s="1"/>
  <c r="H263" i="1"/>
  <c r="G263" i="1" s="1"/>
  <c r="K263" i="1"/>
  <c r="J263" i="1" s="1"/>
  <c r="H264" i="1"/>
  <c r="G264" i="1" s="1"/>
  <c r="K264" i="1"/>
  <c r="J264" i="1" s="1"/>
  <c r="H265" i="1"/>
  <c r="G265" i="1" s="1"/>
  <c r="K265" i="1"/>
  <c r="J265" i="1" s="1"/>
  <c r="H266" i="1"/>
  <c r="I266" i="1" s="1"/>
  <c r="K266" i="1"/>
  <c r="J266" i="1" s="1"/>
  <c r="H267" i="1"/>
  <c r="G267" i="1" s="1"/>
  <c r="K267" i="1"/>
  <c r="J267" i="1" s="1"/>
  <c r="H268" i="1"/>
  <c r="G268" i="1" s="1"/>
  <c r="K268" i="1"/>
  <c r="J268" i="1" s="1"/>
  <c r="H269" i="1"/>
  <c r="G269" i="1" s="1"/>
  <c r="K269" i="1"/>
  <c r="J269" i="1" s="1"/>
  <c r="H270" i="1"/>
  <c r="I270" i="1" s="1"/>
  <c r="K270" i="1"/>
  <c r="J270" i="1" s="1"/>
  <c r="H271" i="1"/>
  <c r="G271" i="1" s="1"/>
  <c r="K271" i="1"/>
  <c r="J271" i="1" s="1"/>
  <c r="H272" i="1"/>
  <c r="G272" i="1" s="1"/>
  <c r="K272" i="1"/>
  <c r="J272" i="1" s="1"/>
  <c r="H273" i="1"/>
  <c r="G273" i="1" s="1"/>
  <c r="K273" i="1"/>
  <c r="J273" i="1" s="1"/>
  <c r="H274" i="1"/>
  <c r="I274" i="1" s="1"/>
  <c r="K274" i="1"/>
  <c r="J274" i="1" s="1"/>
  <c r="H275" i="1"/>
  <c r="G275" i="1" s="1"/>
  <c r="K275" i="1"/>
  <c r="J275" i="1" s="1"/>
  <c r="H276" i="1"/>
  <c r="G276" i="1" s="1"/>
  <c r="K276" i="1"/>
  <c r="J276" i="1" s="1"/>
  <c r="H277" i="1"/>
  <c r="G277" i="1" s="1"/>
  <c r="K277" i="1"/>
  <c r="J277" i="1" s="1"/>
  <c r="H278" i="1"/>
  <c r="I278" i="1" s="1"/>
  <c r="K278" i="1"/>
  <c r="J278" i="1" s="1"/>
  <c r="H279" i="1"/>
  <c r="G279" i="1" s="1"/>
  <c r="K279" i="1"/>
  <c r="J279" i="1" s="1"/>
  <c r="H280" i="1"/>
  <c r="G280" i="1" s="1"/>
  <c r="K280" i="1"/>
  <c r="J280" i="1" s="1"/>
  <c r="H281" i="1"/>
  <c r="G281" i="1" s="1"/>
  <c r="K281" i="1"/>
  <c r="J281" i="1" s="1"/>
  <c r="H282" i="1"/>
  <c r="I282" i="1" s="1"/>
  <c r="K282" i="1"/>
  <c r="J282" i="1" s="1"/>
  <c r="H283" i="1"/>
  <c r="G283" i="1" s="1"/>
  <c r="K283" i="1"/>
  <c r="J283" i="1" s="1"/>
  <c r="K294" i="1"/>
  <c r="J294" i="1" s="1"/>
  <c r="K7" i="1"/>
  <c r="J7" i="1" s="1"/>
  <c r="K8" i="1"/>
  <c r="J8" i="1" s="1"/>
  <c r="K9" i="1"/>
  <c r="K10" i="1"/>
  <c r="J10" i="1" s="1"/>
  <c r="K11" i="1"/>
  <c r="K12" i="1"/>
  <c r="L12" i="1" s="1"/>
  <c r="K13" i="1"/>
  <c r="L13" i="1" s="1"/>
  <c r="K14" i="1"/>
  <c r="J14" i="1" s="1"/>
  <c r="K15" i="1"/>
  <c r="L15" i="1" s="1"/>
  <c r="K16" i="1"/>
  <c r="J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J22" i="1" s="1"/>
  <c r="K23" i="1"/>
  <c r="J23" i="1" s="1"/>
  <c r="K24" i="1"/>
  <c r="J24" i="1" s="1"/>
  <c r="K25" i="1"/>
  <c r="K26" i="1"/>
  <c r="K27" i="1"/>
  <c r="L27" i="1" s="1"/>
  <c r="K28" i="1"/>
  <c r="L28" i="1" s="1"/>
  <c r="K29" i="1"/>
  <c r="L29" i="1" s="1"/>
  <c r="K30" i="1"/>
  <c r="J30" i="1" s="1"/>
  <c r="K31" i="1"/>
  <c r="J31" i="1" s="1"/>
  <c r="K32" i="1"/>
  <c r="K33" i="1"/>
  <c r="K34" i="1"/>
  <c r="L34" i="1" s="1"/>
  <c r="K35" i="1"/>
  <c r="L35" i="1" s="1"/>
  <c r="K36" i="1"/>
  <c r="L36" i="1" s="1"/>
  <c r="K37" i="1"/>
  <c r="L37" i="1" s="1"/>
  <c r="K38" i="1"/>
  <c r="J38" i="1" s="1"/>
  <c r="K39" i="1"/>
  <c r="J39" i="1" s="1"/>
  <c r="K40" i="1"/>
  <c r="J40" i="1" s="1"/>
  <c r="K41" i="1"/>
  <c r="J41" i="1" s="1"/>
  <c r="K42" i="1"/>
  <c r="K43" i="1"/>
  <c r="L43" i="1" s="1"/>
  <c r="K44" i="1"/>
  <c r="L44" i="1" s="1"/>
  <c r="K45" i="1"/>
  <c r="L45" i="1" s="1"/>
  <c r="K46" i="1"/>
  <c r="J46" i="1" s="1"/>
  <c r="K47" i="1"/>
  <c r="J47" i="1" s="1"/>
  <c r="K48" i="1"/>
  <c r="K49" i="1"/>
  <c r="L49" i="1" s="1"/>
  <c r="K50" i="1"/>
  <c r="K51" i="1"/>
  <c r="K52" i="1"/>
  <c r="L52" i="1" s="1"/>
  <c r="K53" i="1"/>
  <c r="L53" i="1" s="1"/>
  <c r="K54" i="1"/>
  <c r="J54" i="1" s="1"/>
  <c r="K55" i="1"/>
  <c r="L55" i="1" s="1"/>
  <c r="K56" i="1"/>
  <c r="L56" i="1" s="1"/>
  <c r="K57" i="1"/>
  <c r="K58" i="1"/>
  <c r="L58" i="1" s="1"/>
  <c r="K59" i="1"/>
  <c r="K60" i="1"/>
  <c r="L60" i="1" s="1"/>
  <c r="K61" i="1"/>
  <c r="L61" i="1" s="1"/>
  <c r="K62" i="1"/>
  <c r="J62" i="1" s="1"/>
  <c r="K63" i="1"/>
  <c r="J63" i="1" s="1"/>
  <c r="K64" i="1"/>
  <c r="L64" i="1" s="1"/>
  <c r="K65" i="1"/>
  <c r="L65" i="1" s="1"/>
  <c r="K66" i="1"/>
  <c r="K67" i="1"/>
  <c r="K68" i="1"/>
  <c r="L68" i="1" s="1"/>
  <c r="K69" i="1"/>
  <c r="L69" i="1" s="1"/>
  <c r="K70" i="1"/>
  <c r="J70" i="1" s="1"/>
  <c r="K71" i="1"/>
  <c r="J71" i="1" s="1"/>
  <c r="K72" i="1"/>
  <c r="K73" i="1"/>
  <c r="K74" i="1"/>
  <c r="L74" i="1" s="1"/>
  <c r="K75" i="1"/>
  <c r="L75" i="1" s="1"/>
  <c r="K76" i="1"/>
  <c r="L76" i="1" s="1"/>
  <c r="K77" i="1"/>
  <c r="L77" i="1" s="1"/>
  <c r="K78" i="1"/>
  <c r="J78" i="1" s="1"/>
  <c r="K79" i="1"/>
  <c r="J79" i="1" s="1"/>
  <c r="K80" i="1"/>
  <c r="J80" i="1" s="1"/>
  <c r="K81" i="1"/>
  <c r="K82" i="1"/>
  <c r="K83" i="1"/>
  <c r="L83" i="1" s="1"/>
  <c r="K84" i="1"/>
  <c r="L84" i="1" s="1"/>
  <c r="K85" i="1"/>
  <c r="L85" i="1" s="1"/>
  <c r="K86" i="1"/>
  <c r="J86" i="1" s="1"/>
  <c r="K87" i="1"/>
  <c r="L87" i="1" s="1"/>
  <c r="K88" i="1"/>
  <c r="J88" i="1" s="1"/>
  <c r="K89" i="1"/>
  <c r="K90" i="1"/>
  <c r="K91" i="1"/>
  <c r="L91" i="1" s="1"/>
  <c r="K92" i="1"/>
  <c r="L92" i="1" s="1"/>
  <c r="K93" i="1"/>
  <c r="L93" i="1" s="1"/>
  <c r="K94" i="1"/>
  <c r="J94" i="1" s="1"/>
  <c r="K95" i="1"/>
  <c r="J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J102" i="1" s="1"/>
  <c r="K103" i="1"/>
  <c r="L103" i="1" s="1"/>
  <c r="K104" i="1"/>
  <c r="K105" i="1"/>
  <c r="J105" i="1" s="1"/>
  <c r="K106" i="1"/>
  <c r="K107" i="1"/>
  <c r="L107" i="1" s="1"/>
  <c r="K108" i="1"/>
  <c r="L108" i="1" s="1"/>
  <c r="K109" i="1"/>
  <c r="L109" i="1" s="1"/>
  <c r="K110" i="1"/>
  <c r="J110" i="1" s="1"/>
  <c r="K111" i="1"/>
  <c r="K112" i="1"/>
  <c r="J112" i="1" s="1"/>
  <c r="K113" i="1"/>
  <c r="K114" i="1"/>
  <c r="K115" i="1"/>
  <c r="K116" i="1"/>
  <c r="L116" i="1" s="1"/>
  <c r="K117" i="1"/>
  <c r="L117" i="1" s="1"/>
  <c r="K118" i="1"/>
  <c r="J118" i="1" s="1"/>
  <c r="K119" i="1"/>
  <c r="J119" i="1" s="1"/>
  <c r="K120" i="1"/>
  <c r="K121" i="1"/>
  <c r="L121" i="1" s="1"/>
  <c r="K122" i="1"/>
  <c r="K123" i="1"/>
  <c r="K124" i="1"/>
  <c r="L124" i="1" s="1"/>
  <c r="K125" i="1"/>
  <c r="L125" i="1" s="1"/>
  <c r="K126" i="1"/>
  <c r="J126" i="1" s="1"/>
  <c r="K127" i="1"/>
  <c r="J127" i="1" s="1"/>
  <c r="K128" i="1"/>
  <c r="L128" i="1" s="1"/>
  <c r="K129" i="1"/>
  <c r="J129" i="1" s="1"/>
  <c r="K130" i="1"/>
  <c r="K131" i="1"/>
  <c r="K132" i="1"/>
  <c r="L132" i="1" s="1"/>
  <c r="K133" i="1"/>
  <c r="L133" i="1" s="1"/>
  <c r="K134" i="1"/>
  <c r="J134" i="1" s="1"/>
  <c r="K135" i="1"/>
  <c r="J135" i="1" s="1"/>
  <c r="K136" i="1"/>
  <c r="J136" i="1" s="1"/>
  <c r="K137" i="1"/>
  <c r="L137" i="1" s="1"/>
  <c r="K138" i="1"/>
  <c r="L138" i="1" s="1"/>
  <c r="K139" i="1"/>
  <c r="K140" i="1"/>
  <c r="L140" i="1" s="1"/>
  <c r="K141" i="1"/>
  <c r="L141" i="1" s="1"/>
  <c r="K142" i="1"/>
  <c r="J142" i="1" s="1"/>
  <c r="K143" i="1"/>
  <c r="L143" i="1" s="1"/>
  <c r="K144" i="1"/>
  <c r="L144" i="1" s="1"/>
  <c r="K145" i="1"/>
  <c r="K146" i="1"/>
  <c r="K147" i="1"/>
  <c r="L147" i="1" s="1"/>
  <c r="K148" i="1"/>
  <c r="L148" i="1" s="1"/>
  <c r="K149" i="1"/>
  <c r="L149" i="1" s="1"/>
  <c r="K150" i="1"/>
  <c r="J150" i="1" s="1"/>
  <c r="K151" i="1"/>
  <c r="J151" i="1" s="1"/>
  <c r="K152" i="1"/>
  <c r="J152" i="1" s="1"/>
  <c r="K153" i="1"/>
  <c r="J153" i="1" s="1"/>
  <c r="K154" i="1"/>
  <c r="K155" i="1"/>
  <c r="L155" i="1" s="1"/>
  <c r="K156" i="1"/>
  <c r="L156" i="1" s="1"/>
  <c r="K157" i="1"/>
  <c r="L157" i="1" s="1"/>
  <c r="K158" i="1"/>
  <c r="J158" i="1" s="1"/>
  <c r="K159" i="1"/>
  <c r="L159" i="1" s="1"/>
  <c r="K160" i="1"/>
  <c r="L160" i="1" s="1"/>
  <c r="K161" i="1"/>
  <c r="J161" i="1" s="1"/>
  <c r="K162" i="1"/>
  <c r="K163" i="1"/>
  <c r="L163" i="1" s="1"/>
  <c r="K164" i="1"/>
  <c r="L164" i="1" s="1"/>
  <c r="K165" i="1"/>
  <c r="L165" i="1" s="1"/>
  <c r="K166" i="1"/>
  <c r="J166" i="1" s="1"/>
  <c r="K167" i="1"/>
  <c r="J167" i="1" s="1"/>
  <c r="K168" i="1"/>
  <c r="K169" i="1"/>
  <c r="K170" i="1"/>
  <c r="K171" i="1"/>
  <c r="L171" i="1" s="1"/>
  <c r="K172" i="1"/>
  <c r="L172" i="1" s="1"/>
  <c r="K173" i="1"/>
  <c r="L173" i="1" s="1"/>
  <c r="K174" i="1"/>
  <c r="J174" i="1" s="1"/>
  <c r="K175" i="1"/>
  <c r="L175" i="1" s="1"/>
  <c r="K176" i="1"/>
  <c r="J176" i="1" s="1"/>
  <c r="K177" i="1"/>
  <c r="K178" i="1"/>
  <c r="L178" i="1" s="1"/>
  <c r="K179" i="1"/>
  <c r="L179" i="1" s="1"/>
  <c r="K180" i="1"/>
  <c r="L180" i="1" s="1"/>
  <c r="K181" i="1"/>
  <c r="L181" i="1" s="1"/>
  <c r="K182" i="1"/>
  <c r="J182" i="1" s="1"/>
  <c r="K183" i="1"/>
  <c r="K184" i="1"/>
  <c r="L184" i="1" s="1"/>
  <c r="K185" i="1"/>
  <c r="J185" i="1" s="1"/>
  <c r="K186" i="1"/>
  <c r="K187" i="1"/>
  <c r="K188" i="1"/>
  <c r="L188" i="1" s="1"/>
  <c r="K189" i="1"/>
  <c r="L189" i="1" s="1"/>
  <c r="K190" i="1"/>
  <c r="J190" i="1" s="1"/>
  <c r="K191" i="1"/>
  <c r="L191" i="1" s="1"/>
  <c r="K192" i="1"/>
  <c r="L192" i="1" s="1"/>
  <c r="K193" i="1"/>
  <c r="K194" i="1"/>
  <c r="K195" i="1"/>
  <c r="K196" i="1"/>
  <c r="L196" i="1" s="1"/>
  <c r="K197" i="1"/>
  <c r="L197" i="1" s="1"/>
  <c r="K198" i="1"/>
  <c r="J198" i="1" s="1"/>
  <c r="K199" i="1"/>
  <c r="J199" i="1" s="1"/>
  <c r="K200" i="1"/>
  <c r="K201" i="1"/>
  <c r="L201" i="1" s="1"/>
  <c r="K202" i="1"/>
  <c r="K203" i="1"/>
  <c r="L203" i="1" s="1"/>
  <c r="K204" i="1"/>
  <c r="L204" i="1" s="1"/>
  <c r="K284" i="1"/>
  <c r="L284" i="1" s="1"/>
  <c r="K285" i="1"/>
  <c r="J285" i="1" s="1"/>
  <c r="K286" i="1"/>
  <c r="J286" i="1" s="1"/>
  <c r="K287" i="1"/>
  <c r="L287" i="1" s="1"/>
  <c r="K288" i="1"/>
  <c r="L288" i="1" s="1"/>
  <c r="K289" i="1"/>
  <c r="L289" i="1" s="1"/>
  <c r="K290" i="1"/>
  <c r="K291" i="1"/>
  <c r="L291" i="1" s="1"/>
  <c r="K292" i="1"/>
  <c r="L292" i="1" s="1"/>
  <c r="K293" i="1"/>
  <c r="L293" i="1" s="1"/>
  <c r="K295" i="1"/>
  <c r="J295" i="1" s="1"/>
  <c r="K296" i="1"/>
  <c r="L296" i="1" s="1"/>
  <c r="J65" i="1"/>
  <c r="K6" i="1"/>
  <c r="H12" i="1"/>
  <c r="H10" i="1"/>
  <c r="H11" i="1"/>
  <c r="H13" i="1"/>
  <c r="I13" i="1" s="1"/>
  <c r="H14" i="1"/>
  <c r="G14" i="1" s="1"/>
  <c r="H15" i="1"/>
  <c r="G15" i="1" s="1"/>
  <c r="H16" i="1"/>
  <c r="H17" i="1"/>
  <c r="H18" i="1"/>
  <c r="G18" i="1" s="1"/>
  <c r="H19" i="1"/>
  <c r="I19" i="1" s="1"/>
  <c r="H20" i="1"/>
  <c r="G20" i="1" s="1"/>
  <c r="H21" i="1"/>
  <c r="H22" i="1"/>
  <c r="H23" i="1"/>
  <c r="I23" i="1" s="1"/>
  <c r="H24" i="1"/>
  <c r="G24" i="1" s="1"/>
  <c r="H25" i="1"/>
  <c r="G25" i="1" s="1"/>
  <c r="H26" i="1"/>
  <c r="G26" i="1" s="1"/>
  <c r="H27" i="1"/>
  <c r="H28" i="1"/>
  <c r="H29" i="1"/>
  <c r="I29" i="1" s="1"/>
  <c r="H30" i="1"/>
  <c r="G30" i="1" s="1"/>
  <c r="H31" i="1"/>
  <c r="G31" i="1" s="1"/>
  <c r="H32" i="1"/>
  <c r="H33" i="1"/>
  <c r="H34" i="1"/>
  <c r="I34" i="1" s="1"/>
  <c r="H35" i="1"/>
  <c r="I35" i="1" s="1"/>
  <c r="H36" i="1"/>
  <c r="G36" i="1" s="1"/>
  <c r="H37" i="1"/>
  <c r="I37" i="1" s="1"/>
  <c r="H38" i="1"/>
  <c r="G38" i="1" s="1"/>
  <c r="H39" i="1"/>
  <c r="I39" i="1" s="1"/>
  <c r="H40" i="1"/>
  <c r="G40" i="1" s="1"/>
  <c r="H41" i="1"/>
  <c r="H42" i="1"/>
  <c r="H43" i="1"/>
  <c r="H44" i="1"/>
  <c r="H45" i="1"/>
  <c r="I45" i="1" s="1"/>
  <c r="H46" i="1"/>
  <c r="G46" i="1" s="1"/>
  <c r="H47" i="1"/>
  <c r="I47" i="1" s="1"/>
  <c r="H48" i="1"/>
  <c r="G48" i="1" s="1"/>
  <c r="H49" i="1"/>
  <c r="I49" i="1" s="1"/>
  <c r="H50" i="1"/>
  <c r="I50" i="1" s="1"/>
  <c r="H51" i="1"/>
  <c r="I51" i="1" s="1"/>
  <c r="H52" i="1"/>
  <c r="G52" i="1" s="1"/>
  <c r="H53" i="1"/>
  <c r="H54" i="1"/>
  <c r="H55" i="1"/>
  <c r="I55" i="1" s="1"/>
  <c r="H56" i="1"/>
  <c r="G56" i="1" s="1"/>
  <c r="H57" i="1"/>
  <c r="H58" i="1"/>
  <c r="H59" i="1"/>
  <c r="H60" i="1"/>
  <c r="I60" i="1" s="1"/>
  <c r="H61" i="1"/>
  <c r="I61" i="1" s="1"/>
  <c r="H62" i="1"/>
  <c r="G62" i="1" s="1"/>
  <c r="H63" i="1"/>
  <c r="G63" i="1" s="1"/>
  <c r="H64" i="1"/>
  <c r="H65" i="1"/>
  <c r="H66" i="1"/>
  <c r="I66" i="1" s="1"/>
  <c r="H67" i="1"/>
  <c r="I67" i="1" s="1"/>
  <c r="H68" i="1"/>
  <c r="G68" i="1" s="1"/>
  <c r="H69" i="1"/>
  <c r="I69" i="1" s="1"/>
  <c r="H70" i="1"/>
  <c r="G70" i="1" s="1"/>
  <c r="H71" i="1"/>
  <c r="G71" i="1" s="1"/>
  <c r="H72" i="1"/>
  <c r="H73" i="1"/>
  <c r="H74" i="1"/>
  <c r="H75" i="1"/>
  <c r="H76" i="1"/>
  <c r="I76" i="1" s="1"/>
  <c r="H77" i="1"/>
  <c r="I77" i="1" s="1"/>
  <c r="H78" i="1"/>
  <c r="G78" i="1" s="1"/>
  <c r="H79" i="1"/>
  <c r="G79" i="1" s="1"/>
  <c r="H80" i="1"/>
  <c r="G80" i="1" s="1"/>
  <c r="H81" i="1"/>
  <c r="I81" i="1" s="1"/>
  <c r="H82" i="1"/>
  <c r="G82" i="1" s="1"/>
  <c r="H83" i="1"/>
  <c r="H84" i="1"/>
  <c r="H85" i="1"/>
  <c r="H86" i="1"/>
  <c r="H87" i="1"/>
  <c r="I87" i="1" s="1"/>
  <c r="H88" i="1"/>
  <c r="H89" i="1"/>
  <c r="H90" i="1"/>
  <c r="G90" i="1" s="1"/>
  <c r="H91" i="1"/>
  <c r="I91" i="1" s="1"/>
  <c r="H92" i="1"/>
  <c r="G92" i="1" s="1"/>
  <c r="H93" i="1"/>
  <c r="I93" i="1" s="1"/>
  <c r="H94" i="1"/>
  <c r="G94" i="1" s="1"/>
  <c r="H95" i="1"/>
  <c r="G95" i="1" s="1"/>
  <c r="H96" i="1"/>
  <c r="H97" i="1"/>
  <c r="H98" i="1"/>
  <c r="G98" i="1" s="1"/>
  <c r="H99" i="1"/>
  <c r="H100" i="1"/>
  <c r="H101" i="1"/>
  <c r="I101" i="1" s="1"/>
  <c r="H102" i="1"/>
  <c r="G102" i="1" s="1"/>
  <c r="H103" i="1"/>
  <c r="I103" i="1" s="1"/>
  <c r="H104" i="1"/>
  <c r="G104" i="1" s="1"/>
  <c r="H105" i="1"/>
  <c r="I105" i="1" s="1"/>
  <c r="H106" i="1"/>
  <c r="H107" i="1"/>
  <c r="H108" i="1"/>
  <c r="G108" i="1" s="1"/>
  <c r="H109" i="1"/>
  <c r="I109" i="1" s="1"/>
  <c r="H110" i="1"/>
  <c r="G110" i="1" s="1"/>
  <c r="H111" i="1"/>
  <c r="I111" i="1" s="1"/>
  <c r="H112" i="1"/>
  <c r="H113" i="1"/>
  <c r="H114" i="1"/>
  <c r="H115" i="1"/>
  <c r="H116" i="1"/>
  <c r="H117" i="1"/>
  <c r="H118" i="1"/>
  <c r="G118" i="1" s="1"/>
  <c r="H119" i="1"/>
  <c r="G119" i="1" s="1"/>
  <c r="H120" i="1"/>
  <c r="G120" i="1" s="1"/>
  <c r="H121" i="1"/>
  <c r="G121" i="1" s="1"/>
  <c r="H122" i="1"/>
  <c r="I122" i="1" s="1"/>
  <c r="H123" i="1"/>
  <c r="I123" i="1" s="1"/>
  <c r="H124" i="1"/>
  <c r="H125" i="1"/>
  <c r="I125" i="1" s="1"/>
  <c r="H126" i="1"/>
  <c r="G126" i="1" s="1"/>
  <c r="H127" i="1"/>
  <c r="G127" i="1" s="1"/>
  <c r="H128" i="1"/>
  <c r="G128" i="1" s="1"/>
  <c r="H129" i="1"/>
  <c r="G129" i="1" s="1"/>
  <c r="H130" i="1"/>
  <c r="G130" i="1" s="1"/>
  <c r="H131" i="1"/>
  <c r="G131" i="1" s="1"/>
  <c r="H132" i="1"/>
  <c r="I132" i="1" s="1"/>
  <c r="H133" i="1"/>
  <c r="I133" i="1" s="1"/>
  <c r="H134" i="1"/>
  <c r="G134" i="1" s="1"/>
  <c r="H135" i="1"/>
  <c r="G135" i="1" s="1"/>
  <c r="H136" i="1"/>
  <c r="H137" i="1"/>
  <c r="I137" i="1" s="1"/>
  <c r="H138" i="1"/>
  <c r="G138" i="1" s="1"/>
  <c r="H139" i="1"/>
  <c r="G139" i="1" s="1"/>
  <c r="H140" i="1"/>
  <c r="H141" i="1"/>
  <c r="I141" i="1" s="1"/>
  <c r="H142" i="1"/>
  <c r="G142" i="1" s="1"/>
  <c r="H143" i="1"/>
  <c r="G143" i="1" s="1"/>
  <c r="H144" i="1"/>
  <c r="G144" i="1" s="1"/>
  <c r="H145" i="1"/>
  <c r="H146" i="1"/>
  <c r="I146" i="1" s="1"/>
  <c r="H147" i="1"/>
  <c r="I147" i="1" s="1"/>
  <c r="H148" i="1"/>
  <c r="H149" i="1"/>
  <c r="H150" i="1"/>
  <c r="G150" i="1" s="1"/>
  <c r="H151" i="1"/>
  <c r="I151" i="1" s="1"/>
  <c r="H152" i="1"/>
  <c r="G152" i="1" s="1"/>
  <c r="H153" i="1"/>
  <c r="G153" i="1" s="1"/>
  <c r="H154" i="1"/>
  <c r="G154" i="1" s="1"/>
  <c r="H155" i="1"/>
  <c r="H156" i="1"/>
  <c r="H157" i="1"/>
  <c r="I157" i="1" s="1"/>
  <c r="H158" i="1"/>
  <c r="G158" i="1" s="1"/>
  <c r="H159" i="1"/>
  <c r="G159" i="1" s="1"/>
  <c r="H160" i="1"/>
  <c r="G160" i="1" s="1"/>
  <c r="H161" i="1"/>
  <c r="G161" i="1" s="1"/>
  <c r="H162" i="1"/>
  <c r="I162" i="1" s="1"/>
  <c r="H163" i="1"/>
  <c r="G163" i="1" s="1"/>
  <c r="H164" i="1"/>
  <c r="I164" i="1" s="1"/>
  <c r="H165" i="1"/>
  <c r="I165" i="1" s="1"/>
  <c r="H166" i="1"/>
  <c r="G166" i="1" s="1"/>
  <c r="H167" i="1"/>
  <c r="I167" i="1" s="1"/>
  <c r="H168" i="1"/>
  <c r="H169" i="1"/>
  <c r="H170" i="1"/>
  <c r="G170" i="1" s="1"/>
  <c r="H171" i="1"/>
  <c r="G171" i="1" s="1"/>
  <c r="H172" i="1"/>
  <c r="H173" i="1"/>
  <c r="I173" i="1" s="1"/>
  <c r="H174" i="1"/>
  <c r="G174" i="1" s="1"/>
  <c r="H175" i="1"/>
  <c r="G175" i="1" s="1"/>
  <c r="H176" i="1"/>
  <c r="G176" i="1" s="1"/>
  <c r="H177" i="1"/>
  <c r="I177" i="1" s="1"/>
  <c r="H178" i="1"/>
  <c r="I178" i="1" s="1"/>
  <c r="H179" i="1"/>
  <c r="I179" i="1" s="1"/>
  <c r="H180" i="1"/>
  <c r="H181" i="1"/>
  <c r="H182" i="1"/>
  <c r="G182" i="1" s="1"/>
  <c r="H183" i="1"/>
  <c r="I183" i="1" s="1"/>
  <c r="H184" i="1"/>
  <c r="G184" i="1" s="1"/>
  <c r="H185" i="1"/>
  <c r="G185" i="1" s="1"/>
  <c r="H186" i="1"/>
  <c r="G186" i="1" s="1"/>
  <c r="H187" i="1"/>
  <c r="H188" i="1"/>
  <c r="I188" i="1" s="1"/>
  <c r="H189" i="1"/>
  <c r="I189" i="1" s="1"/>
  <c r="H190" i="1"/>
  <c r="G190" i="1" s="1"/>
  <c r="H191" i="1"/>
  <c r="G191" i="1" s="1"/>
  <c r="H192" i="1"/>
  <c r="G192" i="1" s="1"/>
  <c r="H193" i="1"/>
  <c r="G193" i="1" s="1"/>
  <c r="H194" i="1"/>
  <c r="I194" i="1" s="1"/>
  <c r="H195" i="1"/>
  <c r="I195" i="1" s="1"/>
  <c r="H196" i="1"/>
  <c r="H197" i="1"/>
  <c r="I197" i="1" s="1"/>
  <c r="H198" i="1"/>
  <c r="G198" i="1" s="1"/>
  <c r="H199" i="1"/>
  <c r="G199" i="1" s="1"/>
  <c r="H200" i="1"/>
  <c r="H201" i="1"/>
  <c r="H202" i="1"/>
  <c r="G202" i="1" s="1"/>
  <c r="H203" i="1"/>
  <c r="G203" i="1" s="1"/>
  <c r="H204" i="1"/>
  <c r="I204" i="1" s="1"/>
  <c r="H284" i="1"/>
  <c r="H285" i="1"/>
  <c r="I285" i="1" s="1"/>
  <c r="H286" i="1"/>
  <c r="G286" i="1" s="1"/>
  <c r="H287" i="1"/>
  <c r="G287" i="1" s="1"/>
  <c r="H288" i="1"/>
  <c r="G288" i="1" s="1"/>
  <c r="H289" i="1"/>
  <c r="G289" i="1" s="1"/>
  <c r="H290" i="1"/>
  <c r="I290" i="1" s="1"/>
  <c r="H291" i="1"/>
  <c r="I291" i="1" s="1"/>
  <c r="H292" i="1"/>
  <c r="I292" i="1" s="1"/>
  <c r="H293" i="1"/>
  <c r="I293" i="1" s="1"/>
  <c r="H294" i="1"/>
  <c r="G294" i="1" s="1"/>
  <c r="H295" i="1"/>
  <c r="I295" i="1" s="1"/>
  <c r="H296" i="1"/>
  <c r="H7" i="1"/>
  <c r="G7" i="1" s="1"/>
  <c r="H8" i="1"/>
  <c r="G8" i="1" s="1"/>
  <c r="H9" i="1"/>
  <c r="G9" i="1" s="1"/>
  <c r="H6" i="1"/>
  <c r="G6" i="1" s="1"/>
  <c r="L210" i="1" l="1"/>
  <c r="L206" i="1"/>
  <c r="L255" i="1"/>
  <c r="I248" i="1"/>
  <c r="L216" i="1"/>
  <c r="L262" i="1"/>
  <c r="L258" i="1"/>
  <c r="L223" i="1"/>
  <c r="L283" i="1"/>
  <c r="I280" i="1"/>
  <c r="L276" i="1"/>
  <c r="L268" i="1"/>
  <c r="L271" i="1"/>
  <c r="L238" i="1"/>
  <c r="L270" i="1"/>
  <c r="L230" i="1"/>
  <c r="I256" i="1"/>
  <c r="L215" i="1"/>
  <c r="L16" i="1"/>
  <c r="J96" i="1"/>
  <c r="L236" i="1"/>
  <c r="L226" i="1"/>
  <c r="J184" i="1"/>
  <c r="I212" i="1"/>
  <c r="L23" i="1"/>
  <c r="J64" i="1"/>
  <c r="I236" i="1"/>
  <c r="L232" i="1"/>
  <c r="L274" i="1"/>
  <c r="L214" i="1"/>
  <c r="L211" i="1"/>
  <c r="L208" i="1"/>
  <c r="L280" i="1"/>
  <c r="I264" i="1"/>
  <c r="L247" i="1"/>
  <c r="I244" i="1"/>
  <c r="L240" i="1"/>
  <c r="I224" i="1"/>
  <c r="L198" i="1"/>
  <c r="J68" i="1"/>
  <c r="J259" i="1"/>
  <c r="J207" i="1"/>
  <c r="J227" i="1"/>
  <c r="L295" i="1"/>
  <c r="L119" i="1"/>
  <c r="I276" i="1"/>
  <c r="L248" i="1"/>
  <c r="L246" i="1"/>
  <c r="L243" i="1"/>
  <c r="L234" i="1"/>
  <c r="L231" i="1"/>
  <c r="L228" i="1"/>
  <c r="L219" i="1"/>
  <c r="L118" i="1"/>
  <c r="L278" i="1"/>
  <c r="L272" i="1"/>
  <c r="L266" i="1"/>
  <c r="L263" i="1"/>
  <c r="L260" i="1"/>
  <c r="L251" i="1"/>
  <c r="I240" i="1"/>
  <c r="I216" i="1"/>
  <c r="I56" i="1"/>
  <c r="L127" i="1"/>
  <c r="L31" i="1"/>
  <c r="J143" i="1"/>
  <c r="L279" i="1"/>
  <c r="I272" i="1"/>
  <c r="L256" i="1"/>
  <c r="L254" i="1"/>
  <c r="L239" i="1"/>
  <c r="I232" i="1"/>
  <c r="L224" i="1"/>
  <c r="L222" i="1"/>
  <c r="L86" i="1"/>
  <c r="L182" i="1"/>
  <c r="L79" i="1"/>
  <c r="L152" i="1"/>
  <c r="L71" i="1"/>
  <c r="J175" i="1"/>
  <c r="L275" i="1"/>
  <c r="I268" i="1"/>
  <c r="I260" i="1"/>
  <c r="L252" i="1"/>
  <c r="L250" i="1"/>
  <c r="L235" i="1"/>
  <c r="I228" i="1"/>
  <c r="L220" i="1"/>
  <c r="L218" i="1"/>
  <c r="I208" i="1"/>
  <c r="L151" i="1"/>
  <c r="L70" i="1"/>
  <c r="J160" i="1"/>
  <c r="J15" i="1"/>
  <c r="L7" i="1"/>
  <c r="L135" i="1"/>
  <c r="L38" i="1"/>
  <c r="J159" i="1"/>
  <c r="J296" i="1"/>
  <c r="L282" i="1"/>
  <c r="L267" i="1"/>
  <c r="L264" i="1"/>
  <c r="I252" i="1"/>
  <c r="L244" i="1"/>
  <c r="L242" i="1"/>
  <c r="I220" i="1"/>
  <c r="L212" i="1"/>
  <c r="L281" i="1"/>
  <c r="L277" i="1"/>
  <c r="L273" i="1"/>
  <c r="L269" i="1"/>
  <c r="L265" i="1"/>
  <c r="L261" i="1"/>
  <c r="L257" i="1"/>
  <c r="L253" i="1"/>
  <c r="L249" i="1"/>
  <c r="L245" i="1"/>
  <c r="L241" i="1"/>
  <c r="L237" i="1"/>
  <c r="L233" i="1"/>
  <c r="L229" i="1"/>
  <c r="L225" i="1"/>
  <c r="L221" i="1"/>
  <c r="L217" i="1"/>
  <c r="L213" i="1"/>
  <c r="L209" i="1"/>
  <c r="L205" i="1"/>
  <c r="I283" i="1"/>
  <c r="I279" i="1"/>
  <c r="I275" i="1"/>
  <c r="I271" i="1"/>
  <c r="I267" i="1"/>
  <c r="I263" i="1"/>
  <c r="I259" i="1"/>
  <c r="I255" i="1"/>
  <c r="I251" i="1"/>
  <c r="I247" i="1"/>
  <c r="I243" i="1"/>
  <c r="I239" i="1"/>
  <c r="I235" i="1"/>
  <c r="I231" i="1"/>
  <c r="I227" i="1"/>
  <c r="I223" i="1"/>
  <c r="I219" i="1"/>
  <c r="I215" i="1"/>
  <c r="I211" i="1"/>
  <c r="I207" i="1"/>
  <c r="G282" i="1"/>
  <c r="G278" i="1"/>
  <c r="G274" i="1"/>
  <c r="G258" i="1"/>
  <c r="G254" i="1"/>
  <c r="G250" i="1"/>
  <c r="G238" i="1"/>
  <c r="L176" i="1"/>
  <c r="L47" i="1"/>
  <c r="J288" i="1"/>
  <c r="J55" i="1"/>
  <c r="I281" i="1"/>
  <c r="I277" i="1"/>
  <c r="I273" i="1"/>
  <c r="I269" i="1"/>
  <c r="I265" i="1"/>
  <c r="I261" i="1"/>
  <c r="I257" i="1"/>
  <c r="I253" i="1"/>
  <c r="I249" i="1"/>
  <c r="I245" i="1"/>
  <c r="I241" i="1"/>
  <c r="I237" i="1"/>
  <c r="I233" i="1"/>
  <c r="I229" i="1"/>
  <c r="I225" i="1"/>
  <c r="I221" i="1"/>
  <c r="I217" i="1"/>
  <c r="I213" i="1"/>
  <c r="I209" i="1"/>
  <c r="I205" i="1"/>
  <c r="G266" i="1"/>
  <c r="G262" i="1"/>
  <c r="G246" i="1"/>
  <c r="G242" i="1"/>
  <c r="G234" i="1"/>
  <c r="G210" i="1"/>
  <c r="I108" i="1"/>
  <c r="L95" i="1"/>
  <c r="L40" i="1"/>
  <c r="J287" i="1"/>
  <c r="G270" i="1"/>
  <c r="G230" i="1"/>
  <c r="G226" i="1"/>
  <c r="G222" i="1"/>
  <c r="G218" i="1"/>
  <c r="G214" i="1"/>
  <c r="G206" i="1"/>
  <c r="J56" i="1"/>
  <c r="I80" i="1"/>
  <c r="L167" i="1"/>
  <c r="L88" i="1"/>
  <c r="L39" i="1"/>
  <c r="J191" i="1"/>
  <c r="J103" i="1"/>
  <c r="G189" i="1"/>
  <c r="L199" i="1"/>
  <c r="L63" i="1"/>
  <c r="J97" i="1"/>
  <c r="J141" i="1"/>
  <c r="L153" i="1"/>
  <c r="I36" i="1"/>
  <c r="G77" i="1"/>
  <c r="I150" i="1"/>
  <c r="L185" i="1"/>
  <c r="L41" i="1"/>
  <c r="I199" i="1"/>
  <c r="I143" i="1"/>
  <c r="G39" i="1"/>
  <c r="I142" i="1"/>
  <c r="G167" i="1"/>
  <c r="I78" i="1"/>
  <c r="I174" i="1"/>
  <c r="I119" i="1"/>
  <c r="I71" i="1"/>
  <c r="G292" i="1"/>
  <c r="G29" i="1"/>
  <c r="I170" i="1"/>
  <c r="I118" i="1"/>
  <c r="L129" i="1"/>
  <c r="G285" i="1"/>
  <c r="G111" i="1"/>
  <c r="J197" i="1"/>
  <c r="G109" i="1"/>
  <c r="G183" i="1"/>
  <c r="I198" i="1"/>
  <c r="I79" i="1"/>
  <c r="G37" i="1"/>
  <c r="I175" i="1"/>
  <c r="I135" i="1"/>
  <c r="G295" i="1"/>
  <c r="G165" i="1"/>
  <c r="I288" i="1"/>
  <c r="I166" i="1"/>
  <c r="I110" i="1"/>
  <c r="I38" i="1"/>
  <c r="L161" i="1"/>
  <c r="J196" i="1"/>
  <c r="J69" i="1"/>
  <c r="J34" i="1"/>
  <c r="G204" i="1"/>
  <c r="I185" i="1"/>
  <c r="J188" i="1"/>
  <c r="G157" i="1"/>
  <c r="G76" i="1"/>
  <c r="I138" i="1"/>
  <c r="I6" i="1"/>
  <c r="I184" i="1"/>
  <c r="I153" i="1"/>
  <c r="I134" i="1"/>
  <c r="I104" i="1"/>
  <c r="I70" i="1"/>
  <c r="I20" i="1"/>
  <c r="L150" i="1"/>
  <c r="L102" i="1"/>
  <c r="J140" i="1"/>
  <c r="J60" i="1"/>
  <c r="G178" i="1"/>
  <c r="G151" i="1"/>
  <c r="G105" i="1"/>
  <c r="G61" i="1"/>
  <c r="G23" i="1"/>
  <c r="I152" i="1"/>
  <c r="I121" i="1"/>
  <c r="I95" i="1"/>
  <c r="I63" i="1"/>
  <c r="I15" i="1"/>
  <c r="L54" i="1"/>
  <c r="L22" i="1"/>
  <c r="J133" i="1"/>
  <c r="J77" i="1"/>
  <c r="J13" i="1"/>
  <c r="G177" i="1"/>
  <c r="G103" i="1"/>
  <c r="G55" i="1"/>
  <c r="G162" i="1"/>
  <c r="I289" i="1"/>
  <c r="I182" i="1"/>
  <c r="I120" i="1"/>
  <c r="I94" i="1"/>
  <c r="I62" i="1"/>
  <c r="I14" i="1"/>
  <c r="L166" i="1"/>
  <c r="L134" i="1"/>
  <c r="J132" i="1"/>
  <c r="J76" i="1"/>
  <c r="J12" i="1"/>
  <c r="G133" i="1"/>
  <c r="G101" i="1"/>
  <c r="G47" i="1"/>
  <c r="I92" i="1"/>
  <c r="J204" i="1"/>
  <c r="G173" i="1"/>
  <c r="G132" i="1"/>
  <c r="G93" i="1"/>
  <c r="G45" i="1"/>
  <c r="I202" i="1"/>
  <c r="I52" i="1"/>
  <c r="J124" i="1"/>
  <c r="G293" i="1"/>
  <c r="G81" i="1"/>
  <c r="I155" i="1"/>
  <c r="G155" i="1"/>
  <c r="I75" i="1"/>
  <c r="G75" i="1"/>
  <c r="G114" i="1"/>
  <c r="I114" i="1"/>
  <c r="I58" i="1"/>
  <c r="G58" i="1"/>
  <c r="I12" i="1"/>
  <c r="G12" i="1"/>
  <c r="G51" i="1"/>
  <c r="L187" i="1"/>
  <c r="J187" i="1"/>
  <c r="L123" i="1"/>
  <c r="J123" i="1"/>
  <c r="L115" i="1"/>
  <c r="J115" i="1"/>
  <c r="L59" i="1"/>
  <c r="J59" i="1"/>
  <c r="G169" i="1"/>
  <c r="I169" i="1"/>
  <c r="I89" i="1"/>
  <c r="G89" i="1"/>
  <c r="G65" i="1"/>
  <c r="I65" i="1"/>
  <c r="G33" i="1"/>
  <c r="I33" i="1"/>
  <c r="I17" i="1"/>
  <c r="G17" i="1"/>
  <c r="I9" i="1"/>
  <c r="G195" i="1"/>
  <c r="G123" i="1"/>
  <c r="G34" i="1"/>
  <c r="L290" i="1"/>
  <c r="J290" i="1"/>
  <c r="L122" i="1"/>
  <c r="J122" i="1"/>
  <c r="L66" i="1"/>
  <c r="J66" i="1"/>
  <c r="L50" i="1"/>
  <c r="J50" i="1"/>
  <c r="L42" i="1"/>
  <c r="J42" i="1"/>
  <c r="G296" i="1"/>
  <c r="I296" i="1"/>
  <c r="G200" i="1"/>
  <c r="I200" i="1"/>
  <c r="G32" i="1"/>
  <c r="I32" i="1"/>
  <c r="I26" i="1"/>
  <c r="I8" i="1"/>
  <c r="J179" i="1"/>
  <c r="G194" i="1"/>
  <c r="G122" i="1"/>
  <c r="G49" i="1"/>
  <c r="J169" i="1"/>
  <c r="L169" i="1"/>
  <c r="L145" i="1"/>
  <c r="J145" i="1"/>
  <c r="J81" i="1"/>
  <c r="L81" i="1"/>
  <c r="J57" i="1"/>
  <c r="L57" i="1"/>
  <c r="I176" i="1"/>
  <c r="I144" i="1"/>
  <c r="I130" i="1"/>
  <c r="I25" i="1"/>
  <c r="I7" i="1"/>
  <c r="L105" i="1"/>
  <c r="J203" i="1"/>
  <c r="J178" i="1"/>
  <c r="J121" i="1"/>
  <c r="J75" i="1"/>
  <c r="J58" i="1"/>
  <c r="G147" i="1"/>
  <c r="G67" i="1"/>
  <c r="I193" i="1"/>
  <c r="I161" i="1"/>
  <c r="I129" i="1"/>
  <c r="I90" i="1"/>
  <c r="I68" i="1"/>
  <c r="I48" i="1"/>
  <c r="I24" i="1"/>
  <c r="J289" i="1"/>
  <c r="J201" i="1"/>
  <c r="J74" i="1"/>
  <c r="J18" i="1"/>
  <c r="G291" i="1"/>
  <c r="G188" i="1"/>
  <c r="G146" i="1"/>
  <c r="G66" i="1"/>
  <c r="I115" i="1"/>
  <c r="G115" i="1"/>
  <c r="G107" i="1"/>
  <c r="I107" i="1"/>
  <c r="I99" i="1"/>
  <c r="G99" i="1"/>
  <c r="I83" i="1"/>
  <c r="G83" i="1"/>
  <c r="I27" i="1"/>
  <c r="G27" i="1"/>
  <c r="G10" i="1"/>
  <c r="I10" i="1"/>
  <c r="G74" i="1"/>
  <c r="I74" i="1"/>
  <c r="I98" i="1"/>
  <c r="G35" i="1"/>
  <c r="L195" i="1"/>
  <c r="J195" i="1"/>
  <c r="L131" i="1"/>
  <c r="J131" i="1"/>
  <c r="I201" i="1"/>
  <c r="G201" i="1"/>
  <c r="I145" i="1"/>
  <c r="G145" i="1"/>
  <c r="G97" i="1"/>
  <c r="I97" i="1"/>
  <c r="I73" i="1"/>
  <c r="G73" i="1"/>
  <c r="J6" i="1"/>
  <c r="L6" i="1"/>
  <c r="L202" i="1"/>
  <c r="J202" i="1"/>
  <c r="L194" i="1"/>
  <c r="J194" i="1"/>
  <c r="L186" i="1"/>
  <c r="J186" i="1"/>
  <c r="L170" i="1"/>
  <c r="J170" i="1"/>
  <c r="L162" i="1"/>
  <c r="J162" i="1"/>
  <c r="L154" i="1"/>
  <c r="J154" i="1"/>
  <c r="L146" i="1"/>
  <c r="J146" i="1"/>
  <c r="L130" i="1"/>
  <c r="J130" i="1"/>
  <c r="L114" i="1"/>
  <c r="J114" i="1"/>
  <c r="L106" i="1"/>
  <c r="J106" i="1"/>
  <c r="L90" i="1"/>
  <c r="J90" i="1"/>
  <c r="L82" i="1"/>
  <c r="J82" i="1"/>
  <c r="L26" i="1"/>
  <c r="J26" i="1"/>
  <c r="G136" i="1"/>
  <c r="I136" i="1"/>
  <c r="G112" i="1"/>
  <c r="I112" i="1"/>
  <c r="G88" i="1"/>
  <c r="I88" i="1"/>
  <c r="G64" i="1"/>
  <c r="I64" i="1"/>
  <c r="G16" i="1"/>
  <c r="I16" i="1"/>
  <c r="L25" i="1"/>
  <c r="J25" i="1"/>
  <c r="I192" i="1"/>
  <c r="I160" i="1"/>
  <c r="I128" i="1"/>
  <c r="I82" i="1"/>
  <c r="I40" i="1"/>
  <c r="J138" i="1"/>
  <c r="J17" i="1"/>
  <c r="G290" i="1"/>
  <c r="G164" i="1"/>
  <c r="G137" i="1"/>
  <c r="G91" i="1"/>
  <c r="G19" i="1"/>
  <c r="I187" i="1"/>
  <c r="G187" i="1"/>
  <c r="I59" i="1"/>
  <c r="G59" i="1"/>
  <c r="I43" i="1"/>
  <c r="G43" i="1"/>
  <c r="G106" i="1"/>
  <c r="I106" i="1"/>
  <c r="G42" i="1"/>
  <c r="I42" i="1"/>
  <c r="L139" i="1"/>
  <c r="J139" i="1"/>
  <c r="L67" i="1"/>
  <c r="J67" i="1"/>
  <c r="L51" i="1"/>
  <c r="J51" i="1"/>
  <c r="L11" i="1"/>
  <c r="J11" i="1"/>
  <c r="G113" i="1"/>
  <c r="I113" i="1"/>
  <c r="I57" i="1"/>
  <c r="G57" i="1"/>
  <c r="I41" i="1"/>
  <c r="G41" i="1"/>
  <c r="G50" i="1"/>
  <c r="G168" i="1"/>
  <c r="I168" i="1"/>
  <c r="G96" i="1"/>
  <c r="I96" i="1"/>
  <c r="G72" i="1"/>
  <c r="I72" i="1"/>
  <c r="I163" i="1"/>
  <c r="I131" i="1"/>
  <c r="J193" i="1"/>
  <c r="L193" i="1"/>
  <c r="L177" i="1"/>
  <c r="J177" i="1"/>
  <c r="J113" i="1"/>
  <c r="L113" i="1"/>
  <c r="J89" i="1"/>
  <c r="L89" i="1"/>
  <c r="J73" i="1"/>
  <c r="L73" i="1"/>
  <c r="L33" i="1"/>
  <c r="J33" i="1"/>
  <c r="J9" i="1"/>
  <c r="L9" i="1"/>
  <c r="I284" i="1"/>
  <c r="G284" i="1"/>
  <c r="I196" i="1"/>
  <c r="G196" i="1"/>
  <c r="G180" i="1"/>
  <c r="I180" i="1"/>
  <c r="I172" i="1"/>
  <c r="G172" i="1"/>
  <c r="I156" i="1"/>
  <c r="G156" i="1"/>
  <c r="G148" i="1"/>
  <c r="I148" i="1"/>
  <c r="I140" i="1"/>
  <c r="G140" i="1"/>
  <c r="I124" i="1"/>
  <c r="G124" i="1"/>
  <c r="G116" i="1"/>
  <c r="I116" i="1"/>
  <c r="I100" i="1"/>
  <c r="G100" i="1"/>
  <c r="G84" i="1"/>
  <c r="I84" i="1"/>
  <c r="I44" i="1"/>
  <c r="G44" i="1"/>
  <c r="I28" i="1"/>
  <c r="G28" i="1"/>
  <c r="I11" i="1"/>
  <c r="G11" i="1"/>
  <c r="I203" i="1"/>
  <c r="I186" i="1"/>
  <c r="I171" i="1"/>
  <c r="I154" i="1"/>
  <c r="I139" i="1"/>
  <c r="I18" i="1"/>
  <c r="L24" i="1"/>
  <c r="J137" i="1"/>
  <c r="J98" i="1"/>
  <c r="J49" i="1"/>
  <c r="G179" i="1"/>
  <c r="G60" i="1"/>
  <c r="L200" i="1"/>
  <c r="J200" i="1"/>
  <c r="J168" i="1"/>
  <c r="L168" i="1"/>
  <c r="J120" i="1"/>
  <c r="L120" i="1"/>
  <c r="L104" i="1"/>
  <c r="J104" i="1"/>
  <c r="L72" i="1"/>
  <c r="J72" i="1"/>
  <c r="J48" i="1"/>
  <c r="L48" i="1"/>
  <c r="L32" i="1"/>
  <c r="J32" i="1"/>
  <c r="I287" i="1"/>
  <c r="I191" i="1"/>
  <c r="I159" i="1"/>
  <c r="I127" i="1"/>
  <c r="I31" i="1"/>
  <c r="L8" i="1"/>
  <c r="J144" i="1"/>
  <c r="G87" i="1"/>
  <c r="G86" i="1"/>
  <c r="I86" i="1"/>
  <c r="G54" i="1"/>
  <c r="I54" i="1"/>
  <c r="G22" i="1"/>
  <c r="I22" i="1"/>
  <c r="I286" i="1"/>
  <c r="I190" i="1"/>
  <c r="I158" i="1"/>
  <c r="I126" i="1"/>
  <c r="I102" i="1"/>
  <c r="I46" i="1"/>
  <c r="I30" i="1"/>
  <c r="J192" i="1"/>
  <c r="G197" i="1"/>
  <c r="G141" i="1"/>
  <c r="G125" i="1"/>
  <c r="G69" i="1"/>
  <c r="G13" i="1"/>
  <c r="G181" i="1"/>
  <c r="I181" i="1"/>
  <c r="G149" i="1"/>
  <c r="I149" i="1"/>
  <c r="I117" i="1"/>
  <c r="G117" i="1"/>
  <c r="I85" i="1"/>
  <c r="G85" i="1"/>
  <c r="I53" i="1"/>
  <c r="G53" i="1"/>
  <c r="I21" i="1"/>
  <c r="G21" i="1"/>
  <c r="I294" i="1"/>
  <c r="L136" i="1"/>
  <c r="L112" i="1"/>
  <c r="L80" i="1"/>
  <c r="J128" i="1"/>
  <c r="J183" i="1"/>
  <c r="L183" i="1"/>
  <c r="J111" i="1"/>
  <c r="L111" i="1"/>
  <c r="J87" i="1"/>
  <c r="J157" i="1"/>
  <c r="J20" i="1"/>
  <c r="L285" i="1"/>
  <c r="L190" i="1"/>
  <c r="L174" i="1"/>
  <c r="L158" i="1"/>
  <c r="L142" i="1"/>
  <c r="L126" i="1"/>
  <c r="L110" i="1"/>
  <c r="L94" i="1"/>
  <c r="L78" i="1"/>
  <c r="L62" i="1"/>
  <c r="L46" i="1"/>
  <c r="L30" i="1"/>
  <c r="L14" i="1"/>
  <c r="J293" i="1"/>
  <c r="J284" i="1"/>
  <c r="J165" i="1"/>
  <c r="J156" i="1"/>
  <c r="J147" i="1"/>
  <c r="J101" i="1"/>
  <c r="J92" i="1"/>
  <c r="J83" i="1"/>
  <c r="J37" i="1"/>
  <c r="J28" i="1"/>
  <c r="J19" i="1"/>
  <c r="L10" i="1"/>
  <c r="K298" i="1"/>
  <c r="J292" i="1"/>
  <c r="J173" i="1"/>
  <c r="J164" i="1"/>
  <c r="J155" i="1"/>
  <c r="J109" i="1"/>
  <c r="J100" i="1"/>
  <c r="J91" i="1"/>
  <c r="J45" i="1"/>
  <c r="J36" i="1"/>
  <c r="J27" i="1"/>
  <c r="J85" i="1"/>
  <c r="L294" i="1"/>
  <c r="J291" i="1"/>
  <c r="J181" i="1"/>
  <c r="J172" i="1"/>
  <c r="J163" i="1"/>
  <c r="J117" i="1"/>
  <c r="J108" i="1"/>
  <c r="J99" i="1"/>
  <c r="J53" i="1"/>
  <c r="J44" i="1"/>
  <c r="J35" i="1"/>
  <c r="J149" i="1"/>
  <c r="J21" i="1"/>
  <c r="L286" i="1"/>
  <c r="J148" i="1"/>
  <c r="J93" i="1"/>
  <c r="J84" i="1"/>
  <c r="J29" i="1"/>
  <c r="J189" i="1"/>
  <c r="J180" i="1"/>
  <c r="J171" i="1"/>
  <c r="J125" i="1"/>
  <c r="J116" i="1"/>
  <c r="J107" i="1"/>
  <c r="J61" i="1"/>
  <c r="J52" i="1"/>
  <c r="J43" i="1"/>
  <c r="L298" i="1" l="1"/>
  <c r="J298" i="1"/>
  <c r="J2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Torres</author>
  </authors>
  <commentList>
    <comment ref="BH5" authorId="0" shapeId="0" xr:uid="{A1FC7E39-5F72-439A-8B92-1B140E8457AB}">
      <text>
        <r>
          <rPr>
            <b/>
            <sz val="9"/>
            <color indexed="81"/>
            <rFont val="Tahoma"/>
            <family val="2"/>
          </rPr>
          <t>Edgar Torres:</t>
        </r>
        <r>
          <rPr>
            <sz val="9"/>
            <color indexed="81"/>
            <rFont val="Tahoma"/>
            <family val="2"/>
          </rPr>
          <t xml:space="preserve">
Proceso se realiza en area de trabajo de la prensa, cada máquina tiene un set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Torres</author>
  </authors>
  <commentList>
    <comment ref="CF5" authorId="0" shapeId="0" xr:uid="{76411812-CDF9-4DDD-8984-CA57ED15961E}">
      <text>
        <r>
          <rPr>
            <b/>
            <sz val="9"/>
            <color indexed="81"/>
            <rFont val="Tahoma"/>
            <family val="2"/>
          </rPr>
          <t>Edgar Torres:</t>
        </r>
        <r>
          <rPr>
            <sz val="9"/>
            <color indexed="81"/>
            <rFont val="Tahoma"/>
            <family val="2"/>
          </rPr>
          <t xml:space="preserve">
Proceso se realiza en area de trabajo de la prensa, cada máquina tiene un set</t>
        </r>
      </text>
    </comment>
  </commentList>
</comments>
</file>

<file path=xl/sharedStrings.xml><?xml version="1.0" encoding="utf-8"?>
<sst xmlns="http://schemas.openxmlformats.org/spreadsheetml/2006/main" count="8648" uniqueCount="1290">
  <si>
    <t>Loc</t>
  </si>
  <si>
    <t>Cust. Code</t>
  </si>
  <si>
    <t>Program</t>
  </si>
  <si>
    <t>Part Number</t>
  </si>
  <si>
    <t>Description</t>
  </si>
  <si>
    <t>Price</t>
  </si>
  <si>
    <t>x</t>
  </si>
  <si>
    <t>MX</t>
  </si>
  <si>
    <t>AFL</t>
  </si>
  <si>
    <t>864CABINET</t>
  </si>
  <si>
    <t>EA000461;7</t>
  </si>
  <si>
    <t>CABINET WELDMENT EDC 8</t>
  </si>
  <si>
    <t>EA000464;4</t>
  </si>
  <si>
    <t>SIDE, TRANSITION AREA,</t>
  </si>
  <si>
    <t>FM004071;2</t>
  </si>
  <si>
    <t>SPLICE ONLY COVER, LL-</t>
  </si>
  <si>
    <t>AFL HYPER</t>
  </si>
  <si>
    <t>HCF-48U-ODF-003;5</t>
  </si>
  <si>
    <t>48U ODF WITH SPLICE CA</t>
  </si>
  <si>
    <t>HCF-48U-SPL-001;6</t>
  </si>
  <si>
    <t>48U ODF - SIDE PANEL K</t>
  </si>
  <si>
    <t>AFL-TMX</t>
  </si>
  <si>
    <t>OCM-12;4</t>
  </si>
  <si>
    <t>OCM-12 BRACKET KIT WIT</t>
  </si>
  <si>
    <t>ASCEND</t>
  </si>
  <si>
    <t>ASCND-1RU-12RT;23</t>
  </si>
  <si>
    <t xml:space="preserve">1RU BASE 12 RT ASCEND </t>
  </si>
  <si>
    <t>Ascend</t>
  </si>
  <si>
    <t>ASCND-1RU-8RT;23</t>
  </si>
  <si>
    <t>1RU-8RT ASCEND ASSY</t>
  </si>
  <si>
    <t>ASCND-2RU-12RT;23</t>
  </si>
  <si>
    <t>2RU BASE 12 RAMP ASCEN</t>
  </si>
  <si>
    <t>ASCND-2RU-24RT;23</t>
  </si>
  <si>
    <t>2RU BASE 24 RAMP ASCEN</t>
  </si>
  <si>
    <t>ASCND-2RU-8RT;23</t>
  </si>
  <si>
    <t>2RU BASE 8 RAMP ASCEND</t>
  </si>
  <si>
    <t>ASCND-4RU-12RT;23</t>
  </si>
  <si>
    <t>4RU-12RT ASCEND ASSY</t>
  </si>
  <si>
    <t>ASCND-4RU-8RT;23</t>
  </si>
  <si>
    <t>4RU-8RT ASCEND ASSY</t>
  </si>
  <si>
    <t>CS017324;0</t>
  </si>
  <si>
    <t>FRONT DOOR MAGNET PAIR</t>
  </si>
  <si>
    <t>FM003957;7</t>
  </si>
  <si>
    <t>1RU DOOR (REAR)</t>
  </si>
  <si>
    <t>ASCND 2RU</t>
  </si>
  <si>
    <t>FM004574;0</t>
  </si>
  <si>
    <t>2RU 23" MOUNTING BRACK</t>
  </si>
  <si>
    <t>EDC 864</t>
  </si>
  <si>
    <t>EA000458;5</t>
  </si>
  <si>
    <t>PANEL, LEFT IDEAA MODU</t>
  </si>
  <si>
    <t>EA000549;5</t>
  </si>
  <si>
    <t>PANEL, RIGHT IDEAA MOD</t>
  </si>
  <si>
    <t>HYPERSCALE</t>
  </si>
  <si>
    <t>HCF-48U-ODF002;11</t>
  </si>
  <si>
    <t>48U FRAME ASSEMBLY</t>
  </si>
  <si>
    <t>HCF-48U-ODF-004;4</t>
  </si>
  <si>
    <t>LL-550</t>
  </si>
  <si>
    <t>FM004072;3</t>
  </si>
  <si>
    <t>SKIRT KIT, LL-550, TEL</t>
  </si>
  <si>
    <t>FM004264;0</t>
  </si>
  <si>
    <t>LL-550-AT, PLATE, BLAN</t>
  </si>
  <si>
    <t>LL-580</t>
  </si>
  <si>
    <t>FM004211;0</t>
  </si>
  <si>
    <t xml:space="preserve">LL-580 SKIRT STANDOFF </t>
  </si>
  <si>
    <t>FM004240;0</t>
  </si>
  <si>
    <t>LL-580-AT</t>
  </si>
  <si>
    <t>FM002895;9</t>
  </si>
  <si>
    <t>LL-580-AT SKIRT</t>
  </si>
  <si>
    <t>FM002895-3;5</t>
  </si>
  <si>
    <t xml:space="preserve">KO PLATE FOR 2", 1.5" </t>
  </si>
  <si>
    <t>AMAT</t>
  </si>
  <si>
    <t/>
  </si>
  <si>
    <t>0022-13130;04</t>
  </si>
  <si>
    <t>BRACKET H2 SENSOR C3</t>
  </si>
  <si>
    <t>0010-59216;07</t>
  </si>
  <si>
    <t>ASSEMBLY,LOWER DOOR,MI</t>
  </si>
  <si>
    <t>0020-63454;002</t>
  </si>
  <si>
    <t>BRACKET CATCH CCT/WATL</t>
  </si>
  <si>
    <t>0020-64627;003</t>
  </si>
  <si>
    <t>BRACE, SHIPPING, SIDE,</t>
  </si>
  <si>
    <t>0021-82164;02</t>
  </si>
  <si>
    <t xml:space="preserve">BRACKET, FI SHIPPING, </t>
  </si>
  <si>
    <t>0021-96687;05</t>
  </si>
  <si>
    <t>BRACKET,FRONT SIDE BRA</t>
  </si>
  <si>
    <t>0022-08095;06</t>
  </si>
  <si>
    <t xml:space="preserve">BRACKET, BOTTOM SHELF </t>
  </si>
  <si>
    <t>0040-01983;AD</t>
  </si>
  <si>
    <t>PANEL, WATER DISTRIBUT</t>
  </si>
  <si>
    <t>0040-96763;002</t>
  </si>
  <si>
    <t>BRACKET,MOUNT FORELINE</t>
  </si>
  <si>
    <t>0041-12984;03</t>
  </si>
  <si>
    <t>PANEL, BACK GAS PLATTE</t>
  </si>
  <si>
    <t>0041-61872;06</t>
  </si>
  <si>
    <t>ENCLOSURE, FACILITY MA</t>
  </si>
  <si>
    <t>0041-77896;08</t>
  </si>
  <si>
    <t>BRACKET, GASLINES, C3o</t>
  </si>
  <si>
    <t>0041-81684;03</t>
  </si>
  <si>
    <t>BRACKET, MAGNETIC SW M</t>
  </si>
  <si>
    <t>0041-81685;02</t>
  </si>
  <si>
    <t>BRACKET, MACNETIC SW M</t>
  </si>
  <si>
    <t>0041-81686;02</t>
  </si>
  <si>
    <t>0041-83309;01</t>
  </si>
  <si>
    <t>PLATE,BOTTOM,W/EXHAUST</t>
  </si>
  <si>
    <t>0041-99611;03</t>
  </si>
  <si>
    <t>PALLET GAS STICKS NAPA</t>
  </si>
  <si>
    <t>0042-06060;03</t>
  </si>
  <si>
    <t>REAR HEATER PANEL NAPA</t>
  </si>
  <si>
    <t>0042-15857;03</t>
  </si>
  <si>
    <t>BOTTOM INLET PLATE RIV</t>
  </si>
  <si>
    <t>0042-16783;04</t>
  </si>
  <si>
    <t>ENCLOSURE RIVETED SYM3</t>
  </si>
  <si>
    <t>0042-18208;04</t>
  </si>
  <si>
    <t>REAR MOUNTING PLATE, S</t>
  </si>
  <si>
    <t>0042-24513;03</t>
  </si>
  <si>
    <t>BRACKET, DRIP PAN MOUN</t>
  </si>
  <si>
    <t>0042-32661;05</t>
  </si>
  <si>
    <t>REMOVABLE UPPER BAR, C</t>
  </si>
  <si>
    <t>0042-32991;05</t>
  </si>
  <si>
    <t>ICHOR</t>
  </si>
  <si>
    <t>0022-12699;05</t>
  </si>
  <si>
    <t>AMPH</t>
  </si>
  <si>
    <t>AMPHENOL</t>
  </si>
  <si>
    <t>1025176;D1</t>
  </si>
  <si>
    <t>FS3, ASSEMBLY, TOP LEV</t>
  </si>
  <si>
    <t>150483-3N+03;A3</t>
  </si>
  <si>
    <t>REAR DOOR C2X 2RU 15.5</t>
  </si>
  <si>
    <t>ARIS</t>
  </si>
  <si>
    <t>ARIS MISC</t>
  </si>
  <si>
    <t>ASY-06327-02;A0</t>
  </si>
  <si>
    <t>ASY,DNL,FC,FAN,PCB,STI</t>
  </si>
  <si>
    <t>ASY-06331-05;A0</t>
  </si>
  <si>
    <t>ASY,DN,FC,COVER REAR,A</t>
  </si>
  <si>
    <t>ARISTA Y8</t>
  </si>
  <si>
    <t>ASY-52295-122;B0</t>
  </si>
  <si>
    <t>ASY TOP LEVEL (TAN) EL</t>
  </si>
  <si>
    <t>AURORA</t>
  </si>
  <si>
    <t>ASY-08367-01;A0</t>
  </si>
  <si>
    <t>ASY,DN,FC,TRAY,AURORA</t>
  </si>
  <si>
    <t>ASY-08377-01;A0</t>
  </si>
  <si>
    <t>ASY,DN,FC,AURORA,STIFF</t>
  </si>
  <si>
    <t>ASY-08379-01;A0</t>
  </si>
  <si>
    <t xml:space="preserve">ASY,MTL,DN,FC,FAN PCB </t>
  </si>
  <si>
    <t>ASY-08380-01;A0</t>
  </si>
  <si>
    <t>BEARPAW</t>
  </si>
  <si>
    <t>ASY-04606-05;A0</t>
  </si>
  <si>
    <t>ASY,LC,BOTTOM COVER,BE</t>
  </si>
  <si>
    <t>ASY-06123-05;A0</t>
  </si>
  <si>
    <t>ASY, DN, LC, CHAS, BEA</t>
  </si>
  <si>
    <t>ASY-06134-03;A0</t>
  </si>
  <si>
    <t>ASY, ACCESSORY KIT, 78</t>
  </si>
  <si>
    <t>BROOK</t>
  </si>
  <si>
    <t>ASY-03911-03;A0</t>
  </si>
  <si>
    <t>ASM,DN,HSNK,BRKT,LF,BR</t>
  </si>
  <si>
    <t>ASY-03912-03;A2</t>
  </si>
  <si>
    <t>ASY,DN,FC,COVER REAR,B</t>
  </si>
  <si>
    <t>ASY-03913-11;C0</t>
  </si>
  <si>
    <t>ASY,DN,FC,TRAY ASM,BRO</t>
  </si>
  <si>
    <t>ASY-03916-02;A1</t>
  </si>
  <si>
    <t>ASY,DN,FC,BRACKET,BROO</t>
  </si>
  <si>
    <t>ASY-03918-03;B0</t>
  </si>
  <si>
    <t>ASY,DN,FC,STIFFENER,TP</t>
  </si>
  <si>
    <t>CALICO</t>
  </si>
  <si>
    <t>ASY-03403-04;B0</t>
  </si>
  <si>
    <t>ASY, DN, LC, CALICO, S</t>
  </si>
  <si>
    <t>ASY-03404-03;A1</t>
  </si>
  <si>
    <t>ASY-03405-05;A1</t>
  </si>
  <si>
    <t>ASY, LC, CHASSIS, CALI</t>
  </si>
  <si>
    <t>CALICO 112</t>
  </si>
  <si>
    <t>ASY-08080-01;A0</t>
  </si>
  <si>
    <t>ASY-08113-01;B0</t>
  </si>
  <si>
    <t>CAMP</t>
  </si>
  <si>
    <t>ASY-53843-110;C0</t>
  </si>
  <si>
    <t>ASY,DN4,CHASSIS,CAMP (</t>
  </si>
  <si>
    <t>CLEARWATER</t>
  </si>
  <si>
    <t>ASY-03305-05;A0</t>
  </si>
  <si>
    <t>ASY, DN, LC, CONNECTOR</t>
  </si>
  <si>
    <t>ASY-03834-03;A0</t>
  </si>
  <si>
    <t>ASY,LC,STIFFENER,FRONT</t>
  </si>
  <si>
    <t>ASY-03835-04;A0</t>
  </si>
  <si>
    <t>ASY, LC, TOP COVER, CL</t>
  </si>
  <si>
    <t>ASY-03837-03;B0</t>
  </si>
  <si>
    <t>ASY,LC,BOTTOM COVER, C</t>
  </si>
  <si>
    <t>ASY-04161-01;A0</t>
  </si>
  <si>
    <t>ASY,LC,STNR,CLEARWATER</t>
  </si>
  <si>
    <t>ASY-05325-02;A0</t>
  </si>
  <si>
    <t>ASY DN LC CPU REAR CON</t>
  </si>
  <si>
    <t>ASY-05326-05;B0</t>
  </si>
  <si>
    <t>ASY LC BOTTOM COVER CL</t>
  </si>
  <si>
    <t>ASY-05327-03;A0</t>
  </si>
  <si>
    <t>ASY DN LC STIFFENER RI</t>
  </si>
  <si>
    <t>ASY-05328-05;A0</t>
  </si>
  <si>
    <t>ASY DN LC STIFFENER LE</t>
  </si>
  <si>
    <t>ASY-05330-03;A0</t>
  </si>
  <si>
    <t>ASY DN LC STIFFENER MI</t>
  </si>
  <si>
    <t>ASY-05331-05;A0</t>
  </si>
  <si>
    <t>MTL,DN,LC,TOP COVER, C</t>
  </si>
  <si>
    <t>ASY-05688-04;A0</t>
  </si>
  <si>
    <t>ASY, DN, LC, FACEPLATE</t>
  </si>
  <si>
    <t>ASY-05739-04;A0</t>
  </si>
  <si>
    <t>ASY,DN,LC,CHASSIS,CLEA</t>
  </si>
  <si>
    <t>ASY-05741-04;A0</t>
  </si>
  <si>
    <t>ASY-05859-02;B0</t>
  </si>
  <si>
    <t>ASY, DN, LC, STIFFENER</t>
  </si>
  <si>
    <t>ASY-05860-01;A0</t>
  </si>
  <si>
    <t>ASY, DN, LC, BOTTOM CO</t>
  </si>
  <si>
    <t>ASY-05922-02;A0</t>
  </si>
  <si>
    <t>ASY, DN, LC, AIR BAFFL</t>
  </si>
  <si>
    <t>ASY-06019-01;A2</t>
  </si>
  <si>
    <t>ASY DN LC AIR BAFFLE W</t>
  </si>
  <si>
    <t>MTL-04129-05;A1</t>
  </si>
  <si>
    <t>MTL, DN,LC, TOP COVER,</t>
  </si>
  <si>
    <t>MTL-05782-03;A0</t>
  </si>
  <si>
    <t>LYT,BRKT,PDU,CUSTOM,SM</t>
  </si>
  <si>
    <t>DALL</t>
  </si>
  <si>
    <t>ASY-04979-06;B0</t>
  </si>
  <si>
    <t>ASY,DN,FC,TRAY ASM,DAL</t>
  </si>
  <si>
    <t>ASY-04985-04;B0</t>
  </si>
  <si>
    <t>ASY-04989-03;A0</t>
  </si>
  <si>
    <t>ASY,DN,FC,COVER REAR,D</t>
  </si>
  <si>
    <t>ASY-05513-02;A0</t>
  </si>
  <si>
    <t>ASY,DN,FC,STIFFENER,PC</t>
  </si>
  <si>
    <t>ASY-05514-03;A0</t>
  </si>
  <si>
    <t>ASY,DN,FC,FAN BRACKET,</t>
  </si>
  <si>
    <t>DAWN</t>
  </si>
  <si>
    <t>ASY-08164-01;A0</t>
  </si>
  <si>
    <t>ASY,DN,FC,TRAY,ECLIPSE</t>
  </si>
  <si>
    <t>ASY-08174-01;A0</t>
  </si>
  <si>
    <t xml:space="preserve">ASY,DN,FC,ECLIPSE,TOP </t>
  </si>
  <si>
    <t>ASY-08176-01;A0</t>
  </si>
  <si>
    <t>ASY-08239-01;A0</t>
  </si>
  <si>
    <t>ASY,DN,FC2,DAWN,STIFFE</t>
  </si>
  <si>
    <t>ASY-08243-01;A0</t>
  </si>
  <si>
    <t>ASY,DN,FC,TRAY,DAWN,AS</t>
  </si>
  <si>
    <t>ASY-08246-01;A0</t>
  </si>
  <si>
    <t xml:space="preserve">ASY,DN,FC,DAWN,CENTER </t>
  </si>
  <si>
    <t>ASY-08248-01;A0</t>
  </si>
  <si>
    <t>ASY-08249-01;A0</t>
  </si>
  <si>
    <t>ASY,DN,FC2,DAWN,GUIDEP</t>
  </si>
  <si>
    <t>DENALI</t>
  </si>
  <si>
    <t>ASY-03947-05;A0</t>
  </si>
  <si>
    <t>ASY,DN,OTTER LAKE,TEST</t>
  </si>
  <si>
    <t>ASY-04106-02;A0</t>
  </si>
  <si>
    <t>ASY,DN,FILLER,PSU</t>
  </si>
  <si>
    <t>ASY-04339-06;A0</t>
  </si>
  <si>
    <t>ASY,DN,LC,TOP,COVER,SI</t>
  </si>
  <si>
    <t>ASY-04720-02;A1</t>
  </si>
  <si>
    <t>ASY,DN,LC,STIFFENER,MI</t>
  </si>
  <si>
    <t>ASY-04958-03;A0</t>
  </si>
  <si>
    <t>ASY, DENALI, RACK KIT,</t>
  </si>
  <si>
    <t>ASY-04959-03;A0</t>
  </si>
  <si>
    <t>ASY-05236-02;A0</t>
  </si>
  <si>
    <t xml:space="preserve">ASY MTL DN FC BRACKET </t>
  </si>
  <si>
    <t>ASY-05237-02;A0</t>
  </si>
  <si>
    <t>ASY,DN,FC,BRACKET,TMP3</t>
  </si>
  <si>
    <t>ASY-05238-02;A0</t>
  </si>
  <si>
    <t>ASY MTL DN FC STIFFENE</t>
  </si>
  <si>
    <t>ASY-05240-02;A0</t>
  </si>
  <si>
    <t>ASY DN STIFFENER PCB D</t>
  </si>
  <si>
    <t>ASY-05360-01;A0</t>
  </si>
  <si>
    <t>ASY DN FC BRACKET TMP3</t>
  </si>
  <si>
    <t>ASY-05719-01;B1</t>
  </si>
  <si>
    <t>ASY,DN,LC,BLANK, PAINT</t>
  </si>
  <si>
    <t>MTL-03561-02;A0</t>
  </si>
  <si>
    <t>MTL,DN16,FC,TEST CARD,</t>
  </si>
  <si>
    <t>DRAGONFLY</t>
  </si>
  <si>
    <t>ASY-05241-02;A0</t>
  </si>
  <si>
    <t>ASY,DN,FC,COVER,REAR,D</t>
  </si>
  <si>
    <t>ASY-05266-05;D0</t>
  </si>
  <si>
    <t>ASY,DN,FC,TRAY ASM,DRA</t>
  </si>
  <si>
    <t>MTL-03945-02;A0</t>
  </si>
  <si>
    <t>MTL,DN,FC,COVER,REAR,D</t>
  </si>
  <si>
    <t>ECLIPSE</t>
  </si>
  <si>
    <t>ASY-08172-01;A0</t>
  </si>
  <si>
    <t>ASY,DN,FC,ECLIPSE,STIF</t>
  </si>
  <si>
    <t>ASY-08178-01;A0</t>
  </si>
  <si>
    <t>ASY,DN,FC,BRACKET,ECLI</t>
  </si>
  <si>
    <t>ASY-08180-01;A0</t>
  </si>
  <si>
    <t>ASY,DN,FC,COVER REAR,E</t>
  </si>
  <si>
    <t>ASY-08181-01;A0</t>
  </si>
  <si>
    <t>ASY,DN,FC,COVER,ECLIPS</t>
  </si>
  <si>
    <t>ASY-08392-01;A0</t>
  </si>
  <si>
    <t>ASY,DN,FC2,MIDNIGHT,ST</t>
  </si>
  <si>
    <t>ELDRIDGE</t>
  </si>
  <si>
    <t>ASY-03410-04;A1</t>
  </si>
  <si>
    <t>ASY-03420-05;A0</t>
  </si>
  <si>
    <t>ASY-03750-05;A0</t>
  </si>
  <si>
    <t>ASY,DN,FC,STIFFENER,EL</t>
  </si>
  <si>
    <t>ASY-03792-09;D0</t>
  </si>
  <si>
    <t>ASY DN FC TRAY ASM ELD</t>
  </si>
  <si>
    <t>ASY-05354-01;B0</t>
  </si>
  <si>
    <t>ASY DN FC STIFFENER TP</t>
  </si>
  <si>
    <t>ASY-05359-01;A0</t>
  </si>
  <si>
    <t>ASY DN FC COVER REAR E</t>
  </si>
  <si>
    <t>ASY-54781-109;A0</t>
  </si>
  <si>
    <t xml:space="preserve">ASY, TOP LEVEL, NORTH </t>
  </si>
  <si>
    <t>ELDRIDGE-S</t>
  </si>
  <si>
    <t>ASY-05366-05;A1</t>
  </si>
  <si>
    <t>ASY,DN,FC,TRAY ASM,ELD</t>
  </si>
  <si>
    <t>HOGAN</t>
  </si>
  <si>
    <t>ASY-07642-01;A0</t>
  </si>
  <si>
    <t>ASY,DN LC,TOP COVER AS</t>
  </si>
  <si>
    <t>ASY-07643-01;A0</t>
  </si>
  <si>
    <t>ASY,DN LC,BOTTOM COVER</t>
  </si>
  <si>
    <t>ASY-07650-01;A0</t>
  </si>
  <si>
    <t>ASY, DN, LC, CPU, REAR</t>
  </si>
  <si>
    <t>ASY-08047-01;A1</t>
  </si>
  <si>
    <t>ASY,DN,LC,HOGAN,BB,NUT</t>
  </si>
  <si>
    <t>KANTISHNA</t>
  </si>
  <si>
    <t>ASY-55672-106;A0</t>
  </si>
  <si>
    <t>ASY, DN12, CHASSIS, TO</t>
  </si>
  <si>
    <t>MCKINLEY</t>
  </si>
  <si>
    <t>ASY-03297-06;B0</t>
  </si>
  <si>
    <t>ASY, LC, TOP COVER, CA</t>
  </si>
  <si>
    <t>ASY-03298-08;A1</t>
  </si>
  <si>
    <t>ASY, LC, BOTTOM COVER,</t>
  </si>
  <si>
    <t>ASY-04850-01;A0</t>
  </si>
  <si>
    <t>ASY, LC, STIFFENER, LA</t>
  </si>
  <si>
    <t>MIDNIGHT</t>
  </si>
  <si>
    <t>ASY-07126-02;A0</t>
  </si>
  <si>
    <t>NORTHFACE</t>
  </si>
  <si>
    <t>ASY-56832-124;B0</t>
  </si>
  <si>
    <t>ASY, DN8, TOP LEVEL, C</t>
  </si>
  <si>
    <t>OOB-FC12</t>
  </si>
  <si>
    <t>ASY-03523-12;A0</t>
  </si>
  <si>
    <t>ASY,DN,OOB-FC8,TRAY, T</t>
  </si>
  <si>
    <t>ASY-04000-01;A0</t>
  </si>
  <si>
    <t>ASY,DN,FC,FAN PCB BRAC</t>
  </si>
  <si>
    <t>ASY-04002-02;B1</t>
  </si>
  <si>
    <t>ASY-04004-07;B0</t>
  </si>
  <si>
    <t>ASY,DN,OOB-FC4,TRAY, T</t>
  </si>
  <si>
    <t>ASY-04686-05;A0</t>
  </si>
  <si>
    <t>ASY,DN,OOB-FC16,TEST C</t>
  </si>
  <si>
    <t>ASY-04693-01;A0</t>
  </si>
  <si>
    <t>ASY,DN16,FC,TEST CARD,</t>
  </si>
  <si>
    <t>OTHER</t>
  </si>
  <si>
    <t>ASY-03299-06;A0</t>
  </si>
  <si>
    <t>ASY, LC, STIFFENER, FR</t>
  </si>
  <si>
    <t>ASY-04948-06;A0</t>
  </si>
  <si>
    <t>ASY, LC, CHASSIS, MICR</t>
  </si>
  <si>
    <t>OTTER LAKE</t>
  </si>
  <si>
    <t>ASY-03271-01;A0</t>
  </si>
  <si>
    <t>ASY,DENALI,OTTER LAKE,</t>
  </si>
  <si>
    <t>ASY-03272-01;A0</t>
  </si>
  <si>
    <t>ASY-03579-03;A0</t>
  </si>
  <si>
    <t>ASY,DN,OL,SSD,COVER,PL</t>
  </si>
  <si>
    <t>ASY-04142-02;A0</t>
  </si>
  <si>
    <t>ASY,DENALI,HORSESHOE L</t>
  </si>
  <si>
    <t>ASY-04143-01;B0</t>
  </si>
  <si>
    <t>ASY-05733-04;A0</t>
  </si>
  <si>
    <t>ASY,OTTER LAKE,CHASSIS</t>
  </si>
  <si>
    <t>ASY-05735-04;A0</t>
  </si>
  <si>
    <t>ASY,HS LAKE, CHAS, BAS</t>
  </si>
  <si>
    <t>SAVAGE 112</t>
  </si>
  <si>
    <t>ASY-08121-02;B0</t>
  </si>
  <si>
    <t>ASY,DN,FC,TRAY ASM,SAV</t>
  </si>
  <si>
    <t>ASY-08159-01;A0</t>
  </si>
  <si>
    <t>ASY,DN,FC,TRAY,SAVAGE1</t>
  </si>
  <si>
    <t>SHADE</t>
  </si>
  <si>
    <t>ASY-07111-04;A0</t>
  </si>
  <si>
    <t>ASY,DN,FC,TRAY ASM,MID</t>
  </si>
  <si>
    <t>ASY-07122-01;02</t>
  </si>
  <si>
    <t>ASY,DN,FC,TRAY ASM,SHA</t>
  </si>
  <si>
    <t>ASY-07123-03;A1</t>
  </si>
  <si>
    <t>ASY-07125-03;A0</t>
  </si>
  <si>
    <t>ASY,DN,FC,COVER REAR,S</t>
  </si>
  <si>
    <t>ASY-07816-02;A0</t>
  </si>
  <si>
    <t>ASY,DN,FC,SHADE,CENTER</t>
  </si>
  <si>
    <t>ASY-07850-03;A0</t>
  </si>
  <si>
    <t>ASY-07868-03;A0</t>
  </si>
  <si>
    <t>ASY,DN,FC,COVER,SHADE</t>
  </si>
  <si>
    <t>SKYLINE</t>
  </si>
  <si>
    <t>ASY-04548-02;A0</t>
  </si>
  <si>
    <t>ASY,DN16,OOB MP NUT PL</t>
  </si>
  <si>
    <t>ASY-04549-03;A0</t>
  </si>
  <si>
    <t xml:space="preserve">ASY,DN16,OOB NORTH MP </t>
  </si>
  <si>
    <t>ASY-05750-02;A0</t>
  </si>
  <si>
    <t>ASY,DN16,HTC,CCB,CC,FI</t>
  </si>
  <si>
    <t>ASY-05756-02;A0</t>
  </si>
  <si>
    <t>ASY,DN16,HTC,PLENUM, C</t>
  </si>
  <si>
    <t>ASY-07212-01;A0</t>
  </si>
  <si>
    <t>ASY, DN16, OOB NORTH M</t>
  </si>
  <si>
    <t>ASY-07213-01;A0</t>
  </si>
  <si>
    <t xml:space="preserve">ASY, DN16, OOB MP NUT </t>
  </si>
  <si>
    <t>ASY-07534-01;A0</t>
  </si>
  <si>
    <t>ASY,DENALI,SKYINE,LT,W</t>
  </si>
  <si>
    <t>ASY-07537-01;A0</t>
  </si>
  <si>
    <t>ASY-54577-108;A0</t>
  </si>
  <si>
    <t>ASY DN16 CHASSIS TOP L</t>
  </si>
  <si>
    <t>SLVRTHRONE</t>
  </si>
  <si>
    <t>ASY-04331-08;A0</t>
  </si>
  <si>
    <t>ASY,DN,LC,STIFFENER,RI</t>
  </si>
  <si>
    <t>ASY-04332-08;A0</t>
  </si>
  <si>
    <t>ASY,DN,LC,STIFFENER,LE</t>
  </si>
  <si>
    <t>ASY-04338-03;A1</t>
  </si>
  <si>
    <t>ASY,DN,LC,BOTTOM,COVER</t>
  </si>
  <si>
    <t>ASY-04719-02;A1</t>
  </si>
  <si>
    <t>WOLVERINE</t>
  </si>
  <si>
    <t>ASY-05418-03;A0</t>
  </si>
  <si>
    <t>ASY,DN, LC, BOTTOM COV</t>
  </si>
  <si>
    <t>ASY-05420-05;B0</t>
  </si>
  <si>
    <t>ASY, DN, LC, TOP COVER</t>
  </si>
  <si>
    <t>ASY-05421-04;A1</t>
  </si>
  <si>
    <t>ASY-07580-01;A0</t>
  </si>
  <si>
    <t>ASY-07980-01;A0</t>
  </si>
  <si>
    <t>MTL-05552-01;A0</t>
  </si>
  <si>
    <t>MTL,DN,CALICO112,FAN B</t>
  </si>
  <si>
    <t>Y12</t>
  </si>
  <si>
    <t>ASY-52415-114;A0</t>
  </si>
  <si>
    <t>ASY,TOP LEVEL(TAN),BIS</t>
  </si>
  <si>
    <t>Y4</t>
  </si>
  <si>
    <t>ASY-52298-117;B0</t>
  </si>
  <si>
    <t>ASY,TOP LEVEL (TAN) PR</t>
  </si>
  <si>
    <t>FUJI</t>
  </si>
  <si>
    <t>FUJIKURA</t>
  </si>
  <si>
    <t>N754000-11;A</t>
  </si>
  <si>
    <t>FDF-102-RACK-UNIT</t>
  </si>
  <si>
    <t>JMA</t>
  </si>
  <si>
    <t>43500241-01;D</t>
  </si>
  <si>
    <t>RET TRAY MB/LB MX14665</t>
  </si>
  <si>
    <t>43500242-01;C</t>
  </si>
  <si>
    <t>RET TRAY HB MX14665 NO</t>
  </si>
  <si>
    <t>45601195-01;A</t>
  </si>
  <si>
    <t>HOUSING ASSY,SX-165 AN</t>
  </si>
  <si>
    <t>45601197-01;B</t>
  </si>
  <si>
    <t>HOUSING,SX-128</t>
  </si>
  <si>
    <t>45700440-01;B</t>
  </si>
  <si>
    <t>ROTATIONAL MOUNTING BR</t>
  </si>
  <si>
    <t>45700514-01;A</t>
  </si>
  <si>
    <t xml:space="preserve">RET ADAPTER, LUX, MBX </t>
  </si>
  <si>
    <t>S&amp;C ELECT</t>
  </si>
  <si>
    <t>B-20851;007</t>
  </si>
  <si>
    <t>CHANNEL BASE</t>
  </si>
  <si>
    <t>SEL</t>
  </si>
  <si>
    <t>ADASTRA</t>
  </si>
  <si>
    <t>1080536-01;A</t>
  </si>
  <si>
    <t>SUPPORT BUSBAR RIGHT A</t>
  </si>
  <si>
    <t>1092510;A</t>
  </si>
  <si>
    <t>ASSY FILLER 40IN TAYGE</t>
  </si>
  <si>
    <t>1112089;A</t>
  </si>
  <si>
    <t>FILLER 2GRU X 336IN IK</t>
  </si>
  <si>
    <t>1125780-03;A</t>
  </si>
  <si>
    <t>ASSY LUNA BAR LEFT CAB</t>
  </si>
  <si>
    <t>1125780-03;B</t>
  </si>
  <si>
    <t>1125781-03;B</t>
  </si>
  <si>
    <t>ASSY LUNA BAR RIGHT CA</t>
  </si>
  <si>
    <t>1125782;1</t>
  </si>
  <si>
    <t>ASM, VERTICAL PDBB ADA</t>
  </si>
  <si>
    <t>1152160;2</t>
  </si>
  <si>
    <t>TOP BATTERY SHELF FILL</t>
  </si>
  <si>
    <t>1156370-01;A</t>
  </si>
  <si>
    <t>ASSY KYUBI MACHINE SHE</t>
  </si>
  <si>
    <t>ATHENA</t>
  </si>
  <si>
    <t>Agora Frt Bkt, Asst, Ath</t>
  </si>
  <si>
    <t>Agora Rear Bkt, Ath</t>
  </si>
  <si>
    <t>Assy, PDBB, Back Plt, Ath</t>
  </si>
  <si>
    <t>Back Plate Assy, Athena</t>
  </si>
  <si>
    <t>Bolster Plate Assy, Athena</t>
  </si>
  <si>
    <t>Back Plate Assy, Pebble Beach</t>
  </si>
  <si>
    <t>Bolster Plate Assy, Pebble Beach</t>
  </si>
  <si>
    <t>Chassis, Assy, Ath, w/out Honeycomb</t>
  </si>
  <si>
    <t>GLP</t>
  </si>
  <si>
    <t>1144928;2</t>
  </si>
  <si>
    <t>SHELF, MACH, AQ, I4, V</t>
  </si>
  <si>
    <t>1144932-02</t>
  </si>
  <si>
    <t>SHELF, W/PARKING SLOT, GHOSTLIKE</t>
  </si>
  <si>
    <t>1150223;1</t>
  </si>
  <si>
    <t>FILLER 2RU X 3.4IN, IK</t>
  </si>
  <si>
    <t>1158790;2</t>
  </si>
  <si>
    <t>ASSY, SHELF, ACCESSORY</t>
  </si>
  <si>
    <t>1158812;2</t>
  </si>
  <si>
    <t>ASSY,FILLER,RACK,GHOST</t>
  </si>
  <si>
    <t>IKEA 3.0</t>
  </si>
  <si>
    <t>X 07046590;B</t>
  </si>
  <si>
    <t>AIR DAM SHELF CR</t>
  </si>
  <si>
    <t>IKEA 4</t>
  </si>
  <si>
    <t>1047860-01;A</t>
  </si>
  <si>
    <t>CABLE TRAY MACHINE PUF</t>
  </si>
  <si>
    <t>1049256;B</t>
  </si>
  <si>
    <t xml:space="preserve">FILLER, 1GRU x 3.4in, </t>
  </si>
  <si>
    <t>1081558;A</t>
  </si>
  <si>
    <t xml:space="preserve"> FILLER ASSY, 2RU 3.36</t>
  </si>
  <si>
    <t>1096598;A</t>
  </si>
  <si>
    <t>FILLER, 2RU, 18P4, IKE</t>
  </si>
  <si>
    <t>1125721;A</t>
  </si>
  <si>
    <t>FILLER, 09IN, IKEA 4</t>
  </si>
  <si>
    <t>1143115;A</t>
  </si>
  <si>
    <t>ASSY, 2RU FILLER, 40 I</t>
  </si>
  <si>
    <t>IKEA SLIM</t>
  </si>
  <si>
    <t>07129730;A</t>
  </si>
  <si>
    <t>BRACKET 72RU BLANK IKE</t>
  </si>
  <si>
    <t>1046137;A</t>
  </si>
  <si>
    <t>1 RU SUPPORT RACK HYPE</t>
  </si>
  <si>
    <t>INDUS</t>
  </si>
  <si>
    <t>07140015;C</t>
  </si>
  <si>
    <t>INDUS MAC SHELF I3S AS</t>
  </si>
  <si>
    <t>1070777;A</t>
  </si>
  <si>
    <t xml:space="preserve">SHELF INDUS 3CUB PDBB </t>
  </si>
  <si>
    <t>MARGARITA</t>
  </si>
  <si>
    <t>1096437;A</t>
  </si>
  <si>
    <t>MARGARITA BLINDMATE CO</t>
  </si>
  <si>
    <t>1096522;A</t>
  </si>
  <si>
    <t>IKEA 4 LEFT REAR SECUR</t>
  </si>
  <si>
    <t>1096523;A</t>
  </si>
  <si>
    <t>IKEA 4 RIGHT REAR SECU</t>
  </si>
  <si>
    <t>1096525;A</t>
  </si>
  <si>
    <t xml:space="preserve">MARGARITA FRONT COVER </t>
  </si>
  <si>
    <t>1096526-01;A</t>
  </si>
  <si>
    <t>1096756-02;A</t>
  </si>
  <si>
    <t>MARGARITA LEFT FLOOR A</t>
  </si>
  <si>
    <t>1096758-02;A</t>
  </si>
  <si>
    <t xml:space="preserve">MARGARITA RIGHT FLOOR </t>
  </si>
  <si>
    <t>1096772;2</t>
  </si>
  <si>
    <t>MARGARITA IK3 MOUNT EA</t>
  </si>
  <si>
    <t>1103822-01;A</t>
  </si>
  <si>
    <t>ASM MARGARITA SAFTEY G</t>
  </si>
  <si>
    <t>1125172;A</t>
  </si>
  <si>
    <t>ASM COVER TOP MARGARIT</t>
  </si>
  <si>
    <t>1127638-02;1</t>
  </si>
  <si>
    <t xml:space="preserve">MARTINI FAN MODULE V2 </t>
  </si>
  <si>
    <t>1127643-01;A</t>
  </si>
  <si>
    <t>MARGARITA BRD MNT ASM</t>
  </si>
  <si>
    <t>1127645-01;B</t>
  </si>
  <si>
    <t>MARGARITA BASE ASSEMBL</t>
  </si>
  <si>
    <t>1153308;1</t>
  </si>
  <si>
    <t>ASSY, EAR, MOUNTING,RI</t>
  </si>
  <si>
    <t>1153310;1</t>
  </si>
  <si>
    <t>ASSY, EAR, MOUNTING,LE</t>
  </si>
  <si>
    <t>1155532;1</t>
  </si>
  <si>
    <t>NON-ACTIVE</t>
  </si>
  <si>
    <t>1155532;A</t>
  </si>
  <si>
    <t>MARGARITA FAN MODULE V</t>
  </si>
  <si>
    <t>SEL MISC</t>
  </si>
  <si>
    <t>1030849-01;A</t>
  </si>
  <si>
    <t>SM LIFT BATTERY RB I3S</t>
  </si>
  <si>
    <t>1048601;A</t>
  </si>
  <si>
    <t>BLANK, 1.5 RUx19", WIT</t>
  </si>
  <si>
    <t>1049393;A</t>
  </si>
  <si>
    <t>CABLE SHELF ASSY INDEX</t>
  </si>
  <si>
    <t>1072938;5</t>
  </si>
  <si>
    <t>SEIS IRS2 KIT IKEA SLI</t>
  </si>
  <si>
    <t>1111114;A</t>
  </si>
  <si>
    <t>ASSY TOPHAT AIR</t>
  </si>
  <si>
    <t>SPICY 16</t>
  </si>
  <si>
    <t>1152608;A</t>
  </si>
  <si>
    <t>BRACKET REAR SWISS ARM</t>
  </si>
  <si>
    <t>TAYGETA</t>
  </si>
  <si>
    <t>1044061-01;A</t>
  </si>
  <si>
    <t>ANTARES SHELF IKEA4</t>
  </si>
  <si>
    <t>1063474-01;B</t>
  </si>
  <si>
    <t>ASSY, BIG RIG LUNA BAR</t>
  </si>
  <si>
    <t>1063475-01;B</t>
  </si>
  <si>
    <t>1137080;A</t>
  </si>
  <si>
    <t>TAYGETA ASSY IKEA4 RTO</t>
  </si>
  <si>
    <t>VIPERFISH</t>
  </si>
  <si>
    <t>1087879;A</t>
  </si>
  <si>
    <t>RIGHT WALL INDEX VIPER</t>
  </si>
  <si>
    <t>1087880;A</t>
  </si>
  <si>
    <t>LEFT WALL INDEX VIPERF</t>
  </si>
  <si>
    <t>1088526-01;A</t>
  </si>
  <si>
    <t xml:space="preserve">ASSEMBLY SHIELD CABLE </t>
  </si>
  <si>
    <t>1088537-01;A</t>
  </si>
  <si>
    <t>BATTERY SHIELD VIPERFI</t>
  </si>
  <si>
    <t>1089911-01;A</t>
  </si>
  <si>
    <t>SHELF IDX IKEA4 VIPERF</t>
  </si>
  <si>
    <t>1090308-01;A</t>
  </si>
  <si>
    <t>MARGARITA MID RACK SUP</t>
  </si>
  <si>
    <t>1101095-01;1.4</t>
  </si>
  <si>
    <t>CABLE SHELF ASSY, INDE</t>
  </si>
  <si>
    <t>1125726;B</t>
  </si>
  <si>
    <t>BLANK,ENDURANCE,7.5RU,</t>
  </si>
  <si>
    <t>1145461;A</t>
  </si>
  <si>
    <t>SHELF ASSY, VF, W/ KEY</t>
  </si>
  <si>
    <t>VLP</t>
  </si>
  <si>
    <t>1112082;B</t>
  </si>
  <si>
    <t>CABLE TRAY, MACHINE, V</t>
  </si>
  <si>
    <t>1112087;A</t>
  </si>
  <si>
    <t>FILLER 1GRU X 336IN IK</t>
  </si>
  <si>
    <t>1112091;A</t>
  </si>
  <si>
    <t>FILLER, PAYLOAD, ADJUS</t>
  </si>
  <si>
    <t>1112181;A</t>
  </si>
  <si>
    <t>1128024;A</t>
  </si>
  <si>
    <t>SHELF IKEA 4 VIPERLITE</t>
  </si>
  <si>
    <t>1139682;A</t>
  </si>
  <si>
    <t>BASE PARKING SHELF,RIG</t>
  </si>
  <si>
    <t>1139689;A</t>
  </si>
  <si>
    <t>1139690;A</t>
  </si>
  <si>
    <t>BASE PARKING SHELF,LEF</t>
  </si>
  <si>
    <t>1139691;A</t>
  </si>
  <si>
    <t>BASE PARKING SHELF,LIT</t>
  </si>
  <si>
    <t>1139694;A</t>
  </si>
  <si>
    <t>VIPERLITE POD, PARKING</t>
  </si>
  <si>
    <t>MXIN</t>
  </si>
  <si>
    <t>AFL TELECOMMUNICATIONS LLC</t>
  </si>
  <si>
    <t>APEX X-2</t>
  </si>
  <si>
    <t>FC001497</t>
  </si>
  <si>
    <t>Tray, Small Closure</t>
  </si>
  <si>
    <t>FC001509</t>
  </si>
  <si>
    <t>Wedge, Closure, Medium</t>
  </si>
  <si>
    <t>FC001519</t>
  </si>
  <si>
    <t>Base</t>
  </si>
  <si>
    <t>FC001566</t>
  </si>
  <si>
    <t>Splice Tray</t>
  </si>
  <si>
    <t>FC001567</t>
  </si>
  <si>
    <t>TRAY COVER, MEDIUM CLOSURE</t>
  </si>
  <si>
    <t>FC001573</t>
  </si>
  <si>
    <t>Tray Bracket</t>
  </si>
  <si>
    <t>FC001575</t>
  </si>
  <si>
    <t>Basket, Closure</t>
  </si>
  <si>
    <t>FC001597</t>
  </si>
  <si>
    <t>Shallow Basket</t>
  </si>
  <si>
    <t>FC001598</t>
  </si>
  <si>
    <t>Basket, Short Closure</t>
  </si>
  <si>
    <t>FC001805</t>
  </si>
  <si>
    <t>Dome, Closure, Medium</t>
  </si>
  <si>
    <t>FC001806</t>
  </si>
  <si>
    <t>Dome, Closure, Medium, Short</t>
  </si>
  <si>
    <t>X-3</t>
  </si>
  <si>
    <t>FC107870</t>
  </si>
  <si>
    <t>Base, X-3</t>
  </si>
  <si>
    <t>FC108214</t>
  </si>
  <si>
    <t>Dome, X-3</t>
  </si>
  <si>
    <t>Monthly Avg. Volume</t>
  </si>
  <si>
    <t>Total Revenue</t>
  </si>
  <si>
    <t>Total Volume</t>
  </si>
  <si>
    <t>Row Labels</t>
  </si>
  <si>
    <t>Grand Total</t>
  </si>
  <si>
    <t>Sum of Total Revenue</t>
  </si>
  <si>
    <t>Sum of Total Volume</t>
  </si>
  <si>
    <t>Sum of Monthly Avg. Volume</t>
  </si>
  <si>
    <t>Estampado</t>
  </si>
  <si>
    <t># Procesos</t>
  </si>
  <si>
    <t>X</t>
  </si>
  <si>
    <t>Total Work Content</t>
  </si>
  <si>
    <t>Punzonado</t>
  </si>
  <si>
    <t>Torreta</t>
  </si>
  <si>
    <t>Combo</t>
  </si>
  <si>
    <t>Corte Laser</t>
  </si>
  <si>
    <t>Doblado 
Amada</t>
  </si>
  <si>
    <t>ATC</t>
  </si>
  <si>
    <t>RG</t>
  </si>
  <si>
    <t>-----</t>
  </si>
  <si>
    <t>Ensamble días por año</t>
  </si>
  <si>
    <t>Fabricación días por año</t>
  </si>
  <si>
    <t>Insercion PEM</t>
  </si>
  <si>
    <r>
      <rPr>
        <sz val="10"/>
        <color theme="1"/>
        <rFont val="Calibri"/>
        <family val="2"/>
        <scheme val="minor"/>
      </rPr>
      <t>Lijado</t>
    </r>
    <r>
      <rPr>
        <sz val="8"/>
        <color theme="1"/>
        <rFont val="Calibri"/>
        <family val="2"/>
        <scheme val="minor"/>
      </rPr>
      <t xml:space="preserve"> 
(Time saber)</t>
    </r>
  </si>
  <si>
    <r>
      <t xml:space="preserve">Rebabeo 
</t>
    </r>
    <r>
      <rPr>
        <sz val="8"/>
        <color theme="1"/>
        <rFont val="Calibri"/>
        <family val="2"/>
        <scheme val="minor"/>
      </rPr>
      <t>Por Vibracion</t>
    </r>
  </si>
  <si>
    <r>
      <t xml:space="preserve">Rebabeo
</t>
    </r>
    <r>
      <rPr>
        <sz val="8"/>
        <color theme="1"/>
        <rFont val="Calibri"/>
        <family val="2"/>
        <scheme val="minor"/>
      </rPr>
      <t>Manual</t>
    </r>
  </si>
  <si>
    <t>Maquinado</t>
  </si>
  <si>
    <t>Soldadura</t>
  </si>
  <si>
    <t>Perno</t>
  </si>
  <si>
    <t>MicroAlam</t>
  </si>
  <si>
    <t>Punto</t>
  </si>
  <si>
    <t>TIG</t>
  </si>
  <si>
    <t>Robot</t>
  </si>
  <si>
    <t>?</t>
  </si>
  <si>
    <r>
      <t xml:space="preserve">Prep Pintura 
</t>
    </r>
    <r>
      <rPr>
        <sz val="8"/>
        <color theme="1"/>
        <rFont val="Calibri"/>
        <family val="2"/>
        <scheme val="minor"/>
      </rPr>
      <t>(Enmascarillado)</t>
    </r>
  </si>
  <si>
    <t>Pintura</t>
  </si>
  <si>
    <t>PNT</t>
  </si>
  <si>
    <t>VRNP</t>
  </si>
  <si>
    <t>Serigrafía</t>
  </si>
  <si>
    <r>
      <t xml:space="preserve">Platinado
</t>
    </r>
    <r>
      <rPr>
        <sz val="8"/>
        <color theme="1"/>
        <rFont val="Calibri"/>
        <family val="2"/>
        <scheme val="minor"/>
      </rPr>
      <t>(Externo)</t>
    </r>
  </si>
  <si>
    <t>335 - 224</t>
  </si>
  <si>
    <t>223 - 156</t>
  </si>
  <si>
    <t>155 - 124</t>
  </si>
  <si>
    <t>123 - 98</t>
  </si>
  <si>
    <t>97 - 70</t>
  </si>
  <si>
    <t>69 - 49</t>
  </si>
  <si>
    <t>48 - 35</t>
  </si>
  <si>
    <t>34 - 23</t>
  </si>
  <si>
    <t>22 - 15</t>
  </si>
  <si>
    <t>14 - 10</t>
  </si>
  <si>
    <t xml:space="preserve"> '9 - 6</t>
  </si>
  <si>
    <t>´5 - 3</t>
  </si>
  <si>
    <t>2 - 0.25</t>
  </si>
  <si>
    <t>Ensamble Final</t>
  </si>
  <si>
    <t>Amphenol</t>
  </si>
  <si>
    <t>Arista</t>
  </si>
  <si>
    <t>Friedrich</t>
  </si>
  <si>
    <t>Hyperscale</t>
  </si>
  <si>
    <t>Linecards</t>
  </si>
  <si>
    <t>Sanmina</t>
  </si>
  <si>
    <t>Otros Ensam</t>
  </si>
  <si>
    <t>INSPECCION</t>
  </si>
  <si>
    <t>AFL ASCN</t>
  </si>
  <si>
    <t>AFL NO/ASCND</t>
  </si>
  <si>
    <t>Machueleado</t>
  </si>
  <si>
    <t>BRK</t>
  </si>
  <si>
    <t>TOTAL PROCESOS (38)</t>
  </si>
  <si>
    <t>Externo</t>
  </si>
  <si>
    <t>Inspeccion</t>
  </si>
  <si>
    <t>HS-A4208008503;3</t>
  </si>
  <si>
    <t>HS-A4208008603;3</t>
  </si>
  <si>
    <t>HS-A4208008703;3</t>
  </si>
  <si>
    <t>HS-A4208008803;3</t>
  </si>
  <si>
    <t>HS-A4208008903;3</t>
  </si>
  <si>
    <t>HS-A4208009003;3</t>
  </si>
  <si>
    <t>HS-A4208009103;3</t>
  </si>
  <si>
    <t>ASCEND-1RU-E;23</t>
  </si>
  <si>
    <t>ASCND TRY R1201;2</t>
  </si>
  <si>
    <t>ASCND TRY R1202;2</t>
  </si>
  <si>
    <t>ASCND TRY R1203;2</t>
  </si>
  <si>
    <t>FM003901;7</t>
  </si>
  <si>
    <t>FM003912;7</t>
  </si>
  <si>
    <t>FM003933;5</t>
  </si>
  <si>
    <t>FM003974;9</t>
  </si>
  <si>
    <t>FM003976;9</t>
  </si>
  <si>
    <t>FM004694;3</t>
  </si>
  <si>
    <t>HW000438;3</t>
  </si>
  <si>
    <t>Subensamble</t>
  </si>
  <si>
    <t>Empty</t>
  </si>
  <si>
    <t>ASCEND TRAY R8;2</t>
  </si>
  <si>
    <t>ASCND TRY R0801;2</t>
  </si>
  <si>
    <t>ASCND TRY R0802;2</t>
  </si>
  <si>
    <t>ASCND TRY R0803;2</t>
  </si>
  <si>
    <t>FM004725;1</t>
  </si>
  <si>
    <t>Rebabeo Manual</t>
  </si>
  <si>
    <t>Platinado</t>
  </si>
  <si>
    <t>ASCEND-2RU-E;23</t>
  </si>
  <si>
    <t>ASCND TRY R1204;2</t>
  </si>
  <si>
    <t>ASCND TRY R1205;2</t>
  </si>
  <si>
    <t>ASCND TRY R1206;2</t>
  </si>
  <si>
    <t>FM003911;8</t>
  </si>
  <si>
    <t>FM003914;7</t>
  </si>
  <si>
    <t>FM003959;7</t>
  </si>
  <si>
    <t>FM003969;9</t>
  </si>
  <si>
    <t>FM003984;9</t>
  </si>
  <si>
    <t>FM003985;5</t>
  </si>
  <si>
    <t>ASCND TRY R0804;2</t>
  </si>
  <si>
    <t>ASCND TRY R0805;2</t>
  </si>
  <si>
    <t>ASCND TRY R0806;2</t>
  </si>
  <si>
    <t>ASCND TRY R1207;2</t>
  </si>
  <si>
    <t>ASCND TRY R1208;2</t>
  </si>
  <si>
    <t>ASCND TRY R1209;2</t>
  </si>
  <si>
    <t>ASCND TRY R1210;2</t>
  </si>
  <si>
    <t>ASCND TRY R1211;2</t>
  </si>
  <si>
    <t>ASCND TRY R1212;2</t>
  </si>
  <si>
    <t>ASCND-4RU-E-RT;23</t>
  </si>
  <si>
    <t>FM003916;7</t>
  </si>
  <si>
    <t>FM003961-MS;4</t>
  </si>
  <si>
    <t>FM003962-MS;4</t>
  </si>
  <si>
    <t>FM003971;5</t>
  </si>
  <si>
    <t>FM003972-MS;6</t>
  </si>
  <si>
    <t>FM004664-MS;0</t>
  </si>
  <si>
    <t>FM004739;2</t>
  </si>
  <si>
    <t>HS-A4208027601;1</t>
  </si>
  <si>
    <t>BAYING KITS;4</t>
  </si>
  <si>
    <t>HS-A4208002903;3</t>
  </si>
  <si>
    <t>HS-A4208003003;3</t>
  </si>
  <si>
    <t>HS-A4208003803;3</t>
  </si>
  <si>
    <t>HS-A4208005004;4</t>
  </si>
  <si>
    <t>HS-A4208005104;4</t>
  </si>
  <si>
    <t>HS-A4208032102;2</t>
  </si>
  <si>
    <t>HS-A4208032402;2</t>
  </si>
  <si>
    <t>HS-A4208032502;2</t>
  </si>
  <si>
    <t>HS-A4208032702;2</t>
  </si>
  <si>
    <t>HS-A4208032802;2</t>
  </si>
  <si>
    <t>HS-A4208032902;2</t>
  </si>
  <si>
    <t>HS-A4208038903;3</t>
  </si>
  <si>
    <t>HS-A4208039203;3</t>
  </si>
  <si>
    <t>HS-A4208039902;2</t>
  </si>
  <si>
    <t>HS-A4208040002;2</t>
  </si>
  <si>
    <t>HS-A4208040102;2</t>
  </si>
  <si>
    <t>HS-A4208040202;2</t>
  </si>
  <si>
    <t>HSA4208032302;2</t>
  </si>
  <si>
    <t>HSA4208039203#1;3</t>
  </si>
  <si>
    <t>0041-75653#1;04</t>
  </si>
  <si>
    <t>0041-75653#2;04</t>
  </si>
  <si>
    <t>0041-75653;04</t>
  </si>
  <si>
    <t>0041-79395#1;05</t>
  </si>
  <si>
    <t>0041-79395#2;05</t>
  </si>
  <si>
    <t>0041-79395#3;05</t>
  </si>
  <si>
    <t>0041-79395#4;05</t>
  </si>
  <si>
    <t>0041-79395#5;05</t>
  </si>
  <si>
    <t>0041-79395;05</t>
  </si>
  <si>
    <t>TC2-1572115;01</t>
  </si>
  <si>
    <t>TC3-0836275;01</t>
  </si>
  <si>
    <t>0041-99611#1;03</t>
  </si>
  <si>
    <t>0041-99611#2;03</t>
  </si>
  <si>
    <t>0042-16783#1;04</t>
  </si>
  <si>
    <t>0042-16783#2;04</t>
  </si>
  <si>
    <t>0042-16783#3;04</t>
  </si>
  <si>
    <t>0042-16783#4;04</t>
  </si>
  <si>
    <t>0042-32661#1;05</t>
  </si>
  <si>
    <t>0042-32661#2;05</t>
  </si>
  <si>
    <t>0042-32661#3;05</t>
  </si>
  <si>
    <t>0042-32661#4;05</t>
  </si>
  <si>
    <t>0042-32991#1;05</t>
  </si>
  <si>
    <t>0042-32991#2;05</t>
  </si>
  <si>
    <t>ASY-06325-02;A0</t>
  </si>
  <si>
    <t>ASY-06326-01;A0</t>
  </si>
  <si>
    <t>MTL-04801-01;B0</t>
  </si>
  <si>
    <t>MTL-04802-01;B0</t>
  </si>
  <si>
    <t>MTL-04803-05;A0</t>
  </si>
  <si>
    <t>MTL-04804-01;A0</t>
  </si>
  <si>
    <t>MTL-04805-01;B0</t>
  </si>
  <si>
    <t>MTL-04806-01;B0</t>
  </si>
  <si>
    <t>MTL-04807-01;A0</t>
  </si>
  <si>
    <t>ASY-08368-01;A0</t>
  </si>
  <si>
    <t>ASY-08369-01;A0</t>
  </si>
  <si>
    <t>ASY-08371-01;A0</t>
  </si>
  <si>
    <t>ASY-08372-01;A0</t>
  </si>
  <si>
    <t>ASY-08373-01;A0</t>
  </si>
  <si>
    <t>ASY-08374-01;A0</t>
  </si>
  <si>
    <t>ASY-08375-01;A0</t>
  </si>
  <si>
    <t>ASY-08376-01;A0</t>
  </si>
  <si>
    <t>ASY-08396-01;A0</t>
  </si>
  <si>
    <t>MTL-05402-01;B0</t>
  </si>
  <si>
    <t>MTL-05839-01;A0</t>
  </si>
  <si>
    <t>MTL-05840-01;A0</t>
  </si>
  <si>
    <t>MTL-05843-01;A0</t>
  </si>
  <si>
    <t>MTL-05844-01;A0</t>
  </si>
  <si>
    <t>MTL-05850-01;A0</t>
  </si>
  <si>
    <t>MTL-05863-01;A0</t>
  </si>
  <si>
    <t>MTL-02957-03;A0</t>
  </si>
  <si>
    <t>MTL-03232-01;A1</t>
  </si>
  <si>
    <t>ASY-03914-04;A0</t>
  </si>
  <si>
    <t>ASY-05583-01;A0</t>
  </si>
  <si>
    <t>ASY-05584-01;A0</t>
  </si>
  <si>
    <t>ASY-05586-02;A0</t>
  </si>
  <si>
    <t>ASY-05591-01;B0</t>
  </si>
  <si>
    <t>MTL-02941-02;A0</t>
  </si>
  <si>
    <t>MTL-02944-02;A0</t>
  </si>
  <si>
    <t>MTL-02945-02;A0</t>
  </si>
  <si>
    <t>MTL-02946-03;A0</t>
  </si>
  <si>
    <t>MTL-04245-01;B0</t>
  </si>
  <si>
    <t>ASY-03917-03;A0</t>
  </si>
  <si>
    <t>MTL-02961-03;A0</t>
  </si>
  <si>
    <t>MTL-02342-05;A2</t>
  </si>
  <si>
    <t>Estampado Térmico</t>
  </si>
  <si>
    <r>
      <rPr>
        <sz val="10"/>
        <color theme="1"/>
        <rFont val="Calibri"/>
        <family val="2"/>
        <scheme val="minor"/>
      </rPr>
      <t>Lijado</t>
    </r>
    <r>
      <rPr>
        <sz val="8"/>
        <color theme="1"/>
        <rFont val="Calibri"/>
        <family val="2"/>
        <scheme val="minor"/>
      </rPr>
      <t xml:space="preserve"> 
(Time saver)</t>
    </r>
  </si>
  <si>
    <t>Semi</t>
  </si>
  <si>
    <t>SEMI</t>
  </si>
  <si>
    <t>MTL-04015-02;B1</t>
  </si>
  <si>
    <t xml:space="preserve"> </t>
  </si>
  <si>
    <t>HS-A4208002805;5A</t>
  </si>
  <si>
    <t>HS-A4208005002;2</t>
  </si>
  <si>
    <t>HS-A4208005103;3</t>
  </si>
  <si>
    <t>HS-A4208005203:3</t>
  </si>
  <si>
    <t>HS-A4208005302;2</t>
  </si>
  <si>
    <t>HS-A4208005402;2</t>
  </si>
  <si>
    <t>HS-A4208005902;2</t>
  </si>
  <si>
    <t>HS-A4208006003;3</t>
  </si>
  <si>
    <t>HS-A4208006102;2</t>
  </si>
  <si>
    <t>HS-A4208014102;2</t>
  </si>
  <si>
    <t>HS-A4208014202;2</t>
  </si>
  <si>
    <t>HS-A4208039703;3</t>
  </si>
  <si>
    <t>HS-A4208039803;3</t>
  </si>
  <si>
    <t>MTL-04316-04;A0</t>
  </si>
  <si>
    <t>ASY-05740-03;A0</t>
  </si>
  <si>
    <t>ASY-04981-04;A0</t>
  </si>
  <si>
    <t>ASY-04982-04;A2</t>
  </si>
  <si>
    <t>ASY-04983-04;B0</t>
  </si>
  <si>
    <t>ASY-04984-01;A0</t>
  </si>
  <si>
    <t>ASY-05524-01;C0</t>
  </si>
  <si>
    <t>ASY-06932-01;A0</t>
  </si>
  <si>
    <t>MTL-03781-02;A0</t>
  </si>
  <si>
    <t>MTL-03783-04;B0</t>
  </si>
  <si>
    <t>MTL-03784-01;A0</t>
  </si>
  <si>
    <t>MTL-04721-01;A0</t>
  </si>
  <si>
    <t>MTL-04722-01;A0</t>
  </si>
  <si>
    <t>MTL-04990-01;A0</t>
  </si>
  <si>
    <t>ASY-08175-01;A0</t>
  </si>
  <si>
    <t>ASY-08177-01;A0</t>
  </si>
  <si>
    <t>Pasivado</t>
  </si>
  <si>
    <t>ASY-04629-07;B0</t>
  </si>
  <si>
    <t>MTL-03525-06;B0</t>
  </si>
  <si>
    <t>MTL-03527-04;A0</t>
  </si>
  <si>
    <t>MTL-03528-05;A0</t>
  </si>
  <si>
    <t>MTL-03529-05;B0</t>
  </si>
  <si>
    <t>MTL-03552-04;A0</t>
  </si>
  <si>
    <t>ASY-05718-01;A0</t>
  </si>
  <si>
    <t>MTL-03945-02U;A0</t>
  </si>
  <si>
    <t>MTL-03946-01;A0</t>
  </si>
  <si>
    <t>MTL-03947-01;A0</t>
  </si>
  <si>
    <t>MTL-03948-01;A0</t>
  </si>
  <si>
    <t>MTL-03949-01;A0</t>
  </si>
  <si>
    <t>MTL-03950-01;A0</t>
  </si>
  <si>
    <t>ASY-03408-04;A0</t>
  </si>
  <si>
    <t>ASY-03415-02;A0</t>
  </si>
  <si>
    <t>ASY-03416-02;A0</t>
  </si>
  <si>
    <t>ASY-05262-02;B0</t>
  </si>
  <si>
    <t>ASY-05535-02;B0</t>
  </si>
  <si>
    <t>ASY-05537-01;A0</t>
  </si>
  <si>
    <t>ASY-07586-01;A0</t>
  </si>
  <si>
    <t>MECH-01303-03;A0</t>
  </si>
  <si>
    <t>MTL-02443-01;A0</t>
  </si>
  <si>
    <t>MTL-02451-02;A0</t>
  </si>
  <si>
    <t>MTL-02947-03;A0</t>
  </si>
  <si>
    <t>MTL-02948-01;C0</t>
  </si>
  <si>
    <t>MTL-02949-01;C0</t>
  </si>
  <si>
    <t>MTL-03942-02;A0</t>
  </si>
  <si>
    <t>MTL-04224-02;C0</t>
  </si>
  <si>
    <t>MTL-04621-02;B0</t>
  </si>
  <si>
    <t>ASY-08393-01;A0</t>
  </si>
  <si>
    <t>MTL-05764-01;A0</t>
  </si>
  <si>
    <t>MTL-05856-01;A0</t>
  </si>
  <si>
    <t>MTL-02437-04;A0</t>
  </si>
  <si>
    <t>MTL-02454-04;A0</t>
  </si>
  <si>
    <t>MTL-02802-02;A0</t>
  </si>
  <si>
    <t>MTL-02803-02;A0</t>
  </si>
  <si>
    <t>MTL-03066-01;A0</t>
  </si>
  <si>
    <t>MTL-03067-01;A0</t>
  </si>
  <si>
    <t>ASY-03407-11;A0</t>
  </si>
  <si>
    <t>ASY-05355-01;A1</t>
  </si>
  <si>
    <t>MTL-02804-03;A0</t>
  </si>
  <si>
    <t>MTL-03952-01;A0</t>
  </si>
  <si>
    <t>MTL-03953-01;A0</t>
  </si>
  <si>
    <t>MTL-04047-01;B1</t>
  </si>
  <si>
    <t>MTL-04049-01;A0</t>
  </si>
  <si>
    <t>MTL-04050-01;A0</t>
  </si>
  <si>
    <t>ASY-03278-05;A0</t>
  </si>
  <si>
    <t>ASY-04138-02;A0</t>
  </si>
  <si>
    <t>ASY-04776-01;B0</t>
  </si>
  <si>
    <t>ASY-04780-05;B0</t>
  </si>
  <si>
    <t>ASY-05185-02;A0</t>
  </si>
  <si>
    <t>ASY-05380-05;B0</t>
  </si>
  <si>
    <t>ASY-05381-03;A0</t>
  </si>
  <si>
    <t>ASY-05382-02;A0</t>
  </si>
  <si>
    <t>ASY-05384-02;A0</t>
  </si>
  <si>
    <t>ASY-05386-02;A0</t>
  </si>
  <si>
    <t>ASY-05388-02;A1</t>
  </si>
  <si>
    <t>ASY-05389-03;B0</t>
  </si>
  <si>
    <t>ASY-05390-03;B0</t>
  </si>
  <si>
    <t>ASY-05391-03;A0</t>
  </si>
  <si>
    <t>ASY-05392-03;A0</t>
  </si>
  <si>
    <t>ASY-05393-02;A0</t>
  </si>
  <si>
    <t>ASY-05394-02;A0</t>
  </si>
  <si>
    <t>ASY-05395-02;A0</t>
  </si>
  <si>
    <t>ASY-05396-04;A0</t>
  </si>
  <si>
    <t>ASY-05397-03;A0</t>
  </si>
  <si>
    <t>ASY-05399-03;B0</t>
  </si>
  <si>
    <t>ASY-05448-02;A0</t>
  </si>
  <si>
    <t>ASY-05449-02;A0</t>
  </si>
  <si>
    <t>ASY-05453-02;A0</t>
  </si>
  <si>
    <t>ASY-05472-03;A0</t>
  </si>
  <si>
    <t>ASY-05478-03;A0</t>
  </si>
  <si>
    <t>ASY-05479-02;A0</t>
  </si>
  <si>
    <t>ASY-05480-03;A0</t>
  </si>
  <si>
    <t>ASY-05484-01;A0</t>
  </si>
  <si>
    <t>ASY-05493-04;A0</t>
  </si>
  <si>
    <t>ASY-05494-03;A0</t>
  </si>
  <si>
    <t>ASY-05495-02;A0</t>
  </si>
  <si>
    <t>ASY-05496-04;A0</t>
  </si>
  <si>
    <t>ASY-05497-05;A0</t>
  </si>
  <si>
    <t>ASY-05506-01;A0</t>
  </si>
  <si>
    <t>ASY-05599-01;A0</t>
  </si>
  <si>
    <t>ASY-05600-02;A0</t>
  </si>
  <si>
    <t>ASY-05601-04;A0</t>
  </si>
  <si>
    <t>ASY-05616-02;A0</t>
  </si>
  <si>
    <t>ASY-05620-02;A0</t>
  </si>
  <si>
    <t>ASY-05621-03;A0</t>
  </si>
  <si>
    <t>ASY-05622-03;A0</t>
  </si>
  <si>
    <t>ASY-05630-02;A0</t>
  </si>
  <si>
    <t>ASY-05643-03;A0</t>
  </si>
  <si>
    <t>ASY-05644-04;A0</t>
  </si>
  <si>
    <t>ASY-05645-03;A0</t>
  </si>
  <si>
    <t>ASY-05647-05;A0</t>
  </si>
  <si>
    <t>ASY-05664-04;B1</t>
  </si>
  <si>
    <t>ASY-05666-02;B0</t>
  </si>
  <si>
    <t>ASY-05667-02;B0</t>
  </si>
  <si>
    <t>ASY-05668-03;B0</t>
  </si>
  <si>
    <t>ASY-05669-01;A0</t>
  </si>
  <si>
    <t>ASY-05672-06;A0</t>
  </si>
  <si>
    <t>ASY-06076-05;A0</t>
  </si>
  <si>
    <t>ASY-06087-01;A0</t>
  </si>
  <si>
    <t>ASY-06115-02;A0</t>
  </si>
  <si>
    <t>ASY-06870-01;A0</t>
  </si>
  <si>
    <t>ASY-06972-01;B0</t>
  </si>
  <si>
    <t>ASY-07009-01;A0</t>
  </si>
  <si>
    <t>MECH-01827-01;B0</t>
  </si>
  <si>
    <t>MTL-02226-02;A0</t>
  </si>
  <si>
    <t>MTL-02237-04;A0</t>
  </si>
  <si>
    <t>MTL-02325-02;A0</t>
  </si>
  <si>
    <t>MTL-02356-04;B0</t>
  </si>
  <si>
    <t>MTL-02357-02;A0</t>
  </si>
  <si>
    <t>MTL-02358-03;A3</t>
  </si>
  <si>
    <t>MTL-02360-06;A0</t>
  </si>
  <si>
    <t>MTL-02362-04;B0</t>
  </si>
  <si>
    <t>MTL-02363-03;A0</t>
  </si>
  <si>
    <t>MTL-02434-01;A0</t>
  </si>
  <si>
    <t>MTL-02844-02;A0</t>
  </si>
  <si>
    <t>MTL-03664-05;B0</t>
  </si>
  <si>
    <t>MTL-03900-02;A0</t>
  </si>
  <si>
    <t>MTL-03966-01;A0</t>
  </si>
  <si>
    <t>MTL-04079-02;A0</t>
  </si>
  <si>
    <t>MTL-04086-02;A0</t>
  </si>
  <si>
    <t>MTL-04088-03;B0</t>
  </si>
  <si>
    <t>MTL-04098-02;A0</t>
  </si>
  <si>
    <t>MTL-04099-02;A0</t>
  </si>
  <si>
    <t>MTL-04105-03;A2</t>
  </si>
  <si>
    <t>MTL-04106-03;A2</t>
  </si>
  <si>
    <t>MTL-04107-01;A0</t>
  </si>
  <si>
    <t>MTL-04110-01;A0</t>
  </si>
  <si>
    <t>MTL-04111-01;A0</t>
  </si>
  <si>
    <t>MTL-04112-02;A0</t>
  </si>
  <si>
    <t>MTL-04162-02;A0</t>
  </si>
  <si>
    <t>MTL-04172-01;A0</t>
  </si>
  <si>
    <t>MTL-04178-02;A0</t>
  </si>
  <si>
    <t>MTL-04180-03;A0</t>
  </si>
  <si>
    <t>MTL-04181-01;A0</t>
  </si>
  <si>
    <t>MTL-04183-03;A0</t>
  </si>
  <si>
    <t>MTL-04191-01;A0</t>
  </si>
  <si>
    <t>MTL-04271-01;A0</t>
  </si>
  <si>
    <t>MTL-04272-01;A0</t>
  </si>
  <si>
    <t>MTL-04276-01;A0</t>
  </si>
  <si>
    <t>MTL-04277-01;A0</t>
  </si>
  <si>
    <t>MTL-04286-02;A0</t>
  </si>
  <si>
    <t>MTL-04309-02;B0</t>
  </si>
  <si>
    <t>MTL-04313-02;A0</t>
  </si>
  <si>
    <t>MTL-04568-01;A0</t>
  </si>
  <si>
    <t>MTL-04570-02;A0</t>
  </si>
  <si>
    <t>ASY-04945-03;A1</t>
  </si>
  <si>
    <t>ASY-04946-03;A1</t>
  </si>
  <si>
    <t>ASY-04949-03;A0</t>
  </si>
  <si>
    <t>ASY-04950-04;A0</t>
  </si>
  <si>
    <t>MTL-03228-01;A0</t>
  </si>
  <si>
    <t>MTL-03229-01;A0</t>
  </si>
  <si>
    <t>MTL-03769-02;A0</t>
  </si>
  <si>
    <t>MTL-03772-03;A0</t>
  </si>
  <si>
    <t>MTL-02162-01;A0</t>
  </si>
  <si>
    <t>MTL-02319-01;A0</t>
  </si>
  <si>
    <t>MTL-02628-03;A0</t>
  </si>
  <si>
    <t>ASY-03269-05;A0</t>
  </si>
  <si>
    <t>ASY-05734-03;A2</t>
  </si>
  <si>
    <t>ASY-04141-06;A0</t>
  </si>
  <si>
    <t>MTL-03152-02;A0</t>
  </si>
  <si>
    <t>ASY-07819-01;C0</t>
  </si>
  <si>
    <t>ASY-07820-01;A0</t>
  </si>
  <si>
    <t>ASY-07821-01;B0</t>
  </si>
  <si>
    <t>ASY-07822-01;C0</t>
  </si>
  <si>
    <t>ASY-07870-01;C0</t>
  </si>
  <si>
    <t>ASY-07871-01;B0</t>
  </si>
  <si>
    <t>ASY-08119-01;A0</t>
  </si>
  <si>
    <t>MTL-04795-01;A0</t>
  </si>
  <si>
    <t>MTL-05168-02;A0</t>
  </si>
  <si>
    <t>MTL-05402-01;A0</t>
  </si>
  <si>
    <t>MTL-05403-01;A0</t>
  </si>
  <si>
    <t>MTL-05404-02;A0</t>
  </si>
  <si>
    <t>MTL-05405-01;B0</t>
  </si>
  <si>
    <t>MTL-05407-01;B0</t>
  </si>
  <si>
    <t>MTL-05408-01;B0</t>
  </si>
  <si>
    <t>MTL-05409-01;A0</t>
  </si>
  <si>
    <t>MTL-05417-01;B0</t>
  </si>
  <si>
    <t>ASY-07112-04;A0</t>
  </si>
  <si>
    <t>ASY-07187-03;A0</t>
  </si>
  <si>
    <t>ASY-07819-02;A0</t>
  </si>
  <si>
    <t>ASY-07820-02;A0</t>
  </si>
  <si>
    <t>ASY-07821-02;A0</t>
  </si>
  <si>
    <t>ASY-07822-01;D0</t>
  </si>
  <si>
    <t>ASY-07870-01;D0</t>
  </si>
  <si>
    <t>ASY-07871-01;C0</t>
  </si>
  <si>
    <t>MTL-05403-02;A0</t>
  </si>
  <si>
    <t>MTL-05405-02;A0</t>
  </si>
  <si>
    <t>MTL-05408-02;A0</t>
  </si>
  <si>
    <t>ASY-07124-03;A0</t>
  </si>
  <si>
    <t>MTL-05168-03;A0</t>
  </si>
  <si>
    <t>MTL-05483-02;A0</t>
  </si>
  <si>
    <t>ASY-07815-02;A0</t>
  </si>
  <si>
    <t>MTL-05400-01;A0</t>
  </si>
  <si>
    <t>MTL-05401-02;A0</t>
  </si>
  <si>
    <t>ASY-03128-22;C0</t>
  </si>
  <si>
    <t>ASY-03131-08;C0</t>
  </si>
  <si>
    <t>ASY-03135-03;A0</t>
  </si>
  <si>
    <t>ASY-03136-03;A0</t>
  </si>
  <si>
    <t>ASY-03137-03;A0</t>
  </si>
  <si>
    <t>ASY-03138-03;A0</t>
  </si>
  <si>
    <t>ASY-03139-03;A0</t>
  </si>
  <si>
    <t>ASY-03143-06;A0</t>
  </si>
  <si>
    <t>ASY-03145-02;A0</t>
  </si>
  <si>
    <t>ASY-03152-06;A0</t>
  </si>
  <si>
    <t>ASY-03153-05;A0</t>
  </si>
  <si>
    <t>ASY-03156-03;A0</t>
  </si>
  <si>
    <t>ASY-03157-02;A0</t>
  </si>
  <si>
    <t>ASY-03158-05;A0</t>
  </si>
  <si>
    <t>ASY-03183-03;A0</t>
  </si>
  <si>
    <t>ASY-03184-05;A0</t>
  </si>
  <si>
    <t>ASY-03185-02;A0</t>
  </si>
  <si>
    <t>ASY-03187-07;A0</t>
  </si>
  <si>
    <t>ASY-03188-06;A0</t>
  </si>
  <si>
    <t>ASY-03189-05;A0</t>
  </si>
  <si>
    <t>ASY-03327-02;A0</t>
  </si>
  <si>
    <t>ASY-03330-03;A0</t>
  </si>
  <si>
    <t>ASY-03333-04;A0</t>
  </si>
  <si>
    <t>ASY-03641-01;A0</t>
  </si>
  <si>
    <t>ASY-03668-01;A0</t>
  </si>
  <si>
    <t>ASY-03727-24;B0</t>
  </si>
  <si>
    <t>ASY-04181-01;A0</t>
  </si>
  <si>
    <t>ASY-04183-01;A0</t>
  </si>
  <si>
    <t>ASY-04184-02;A0</t>
  </si>
  <si>
    <t>ASY-04192-06;A0</t>
  </si>
  <si>
    <t>ASY-04756-03;B0</t>
  </si>
  <si>
    <t>ASY-04757-03;B0</t>
  </si>
  <si>
    <t>ASY-05257-01;A0</t>
  </si>
  <si>
    <t>ASY-05258-01;A0</t>
  </si>
  <si>
    <t>ASY-05271-01;A0</t>
  </si>
  <si>
    <t>ASY-05272-01;A0</t>
  </si>
  <si>
    <t>ASY-05275-01;A0</t>
  </si>
  <si>
    <t>ASY-05277-01;A0</t>
  </si>
  <si>
    <t>ASY-05299-01;A0</t>
  </si>
  <si>
    <t>MTL-02212-01;A0</t>
  </si>
  <si>
    <t>MTL-02213-05;A0</t>
  </si>
  <si>
    <t>MTL-02214-01;A1</t>
  </si>
  <si>
    <t>MTL-02215-02;A1</t>
  </si>
  <si>
    <t>MTL-02216-03;A0</t>
  </si>
  <si>
    <t>MTL-02217-01;A0</t>
  </si>
  <si>
    <t>MTL-02218-01;A0</t>
  </si>
  <si>
    <t>MTL-02220-03;A0</t>
  </si>
  <si>
    <t>MTL-02236-04;A0</t>
  </si>
  <si>
    <t>MTL-02239-01;A0</t>
  </si>
  <si>
    <t>MTL-02247-05;A0</t>
  </si>
  <si>
    <t>MTL-02254-02;A1</t>
  </si>
  <si>
    <t>MTL-02258-06;A0</t>
  </si>
  <si>
    <t>MTL-02321-01;A0</t>
  </si>
  <si>
    <t>MTL-02322-03;A0</t>
  </si>
  <si>
    <t>MTL-02324-02;A0</t>
  </si>
  <si>
    <t>MTL-02352-04;A0</t>
  </si>
  <si>
    <t>MTL-02368-02;A0</t>
  </si>
  <si>
    <t>MTL-02738-01;A0</t>
  </si>
  <si>
    <t>MTL-03292-01;A0</t>
  </si>
  <si>
    <t>MTL-03697-01;A0</t>
  </si>
  <si>
    <t>MTL-03975-01;A1</t>
  </si>
  <si>
    <t>MTL-03976-01;B0</t>
  </si>
  <si>
    <t>MTL-03977-01;A0</t>
  </si>
  <si>
    <t>ASY-04511-04;A0</t>
  </si>
  <si>
    <t>ASY-04512-03;A0</t>
  </si>
  <si>
    <t>ASY-04513-03;A0</t>
  </si>
  <si>
    <t>ASY-04514-02;A0</t>
  </si>
  <si>
    <t>ASY-04515-03;A0</t>
  </si>
  <si>
    <t>ASY-04516-02;A0</t>
  </si>
  <si>
    <t>ASY-04517-04;A0</t>
  </si>
  <si>
    <t>ASY-04518-04;A0</t>
  </si>
  <si>
    <t>ASY-04519-03;A0</t>
  </si>
  <si>
    <t>ASY-04520-03;A0</t>
  </si>
  <si>
    <t>ASY-04521-04;A0</t>
  </si>
  <si>
    <t>ASY-04522-03;A0</t>
  </si>
  <si>
    <t>ASY-04523-03;A0</t>
  </si>
  <si>
    <t>ASY-04524-06;A0</t>
  </si>
  <si>
    <t>ASY-04526-02;A0</t>
  </si>
  <si>
    <t>ASY-04527-04;A0</t>
  </si>
  <si>
    <t>ASY-04528-02;A0</t>
  </si>
  <si>
    <t>ASY-04534-02;A0</t>
  </si>
  <si>
    <t>ASY-04536-03;A0</t>
  </si>
  <si>
    <t>ASY-04538-02;A0</t>
  </si>
  <si>
    <t>ASY-04539-03;A0</t>
  </si>
  <si>
    <t>ASY-04543-05;A0</t>
  </si>
  <si>
    <t>ASY-04547-04;A0</t>
  </si>
  <si>
    <t>ASY-04555-05;A0</t>
  </si>
  <si>
    <t>ASY-04556-03;A0</t>
  </si>
  <si>
    <t>ASY-04557-02;A0</t>
  </si>
  <si>
    <t>ASY-04559-03;A0</t>
  </si>
  <si>
    <t>ASY-04562-02;A0</t>
  </si>
  <si>
    <t>ASY-04563-03;A0</t>
  </si>
  <si>
    <t>ASY-04564-02;A0</t>
  </si>
  <si>
    <t>ASY-04565-03;A0</t>
  </si>
  <si>
    <t>ASY-04566-03;A0</t>
  </si>
  <si>
    <t>ASY-04567-04;A0</t>
  </si>
  <si>
    <t>ASY-04568-02;A0</t>
  </si>
  <si>
    <t>ASY-04570-01;A0</t>
  </si>
  <si>
    <t>ASY-04571-02;A0</t>
  </si>
  <si>
    <t>ASY-04572-04;A0</t>
  </si>
  <si>
    <t>ASY-04574-02;A0</t>
  </si>
  <si>
    <t>ASY-04575-02;A0</t>
  </si>
  <si>
    <t>ASY-04576-04;A0</t>
  </si>
  <si>
    <t>ASY-04577-08;A0</t>
  </si>
  <si>
    <t>ASY-04579-04;A0</t>
  </si>
  <si>
    <t>ASY-04580-03;A0</t>
  </si>
  <si>
    <t>ASY-04581-03;A0</t>
  </si>
  <si>
    <t>ASY-04585-01;A0</t>
  </si>
  <si>
    <t>ASY-04587-02;A0</t>
  </si>
  <si>
    <t>ASY-04592-03;A0</t>
  </si>
  <si>
    <t>ASY-04609-02;A0</t>
  </si>
  <si>
    <t>ASY-04619-01;A0</t>
  </si>
  <si>
    <t>ASY-05341-02;A0</t>
  </si>
  <si>
    <t>ASY-05342-02;A0</t>
  </si>
  <si>
    <t>ASY-05345-01;A0</t>
  </si>
  <si>
    <t>ASY-05445-02;A0</t>
  </si>
  <si>
    <t>ASY-05446-03;A0</t>
  </si>
  <si>
    <t>ASY-05450-03;A0</t>
  </si>
  <si>
    <t>ASY-05451-03;A0</t>
  </si>
  <si>
    <t>ASY-05464-02;A0</t>
  </si>
  <si>
    <t>ASY-05523-01;A0</t>
  </si>
  <si>
    <t>ASY-05571-04;A0</t>
  </si>
  <si>
    <t>ASY-05694-01;A0</t>
  </si>
  <si>
    <t>ASY-05855-01;A0</t>
  </si>
  <si>
    <t>ASY-05880-01;A0</t>
  </si>
  <si>
    <t>ASY-05882-01;A0</t>
  </si>
  <si>
    <t>ASY-05889-01;A0</t>
  </si>
  <si>
    <t>MTL-03398-02;A0</t>
  </si>
  <si>
    <t>MTL-03401-02;A0</t>
  </si>
  <si>
    <t>MTL-03402-03;A0</t>
  </si>
  <si>
    <t>MTL-03404-02;A0</t>
  </si>
  <si>
    <t>MTL-03405-02;A0</t>
  </si>
  <si>
    <t>MTL-03406-02;A0</t>
  </si>
  <si>
    <t>MTL-03407-02;A0</t>
  </si>
  <si>
    <t>MTL-03408-03;A0</t>
  </si>
  <si>
    <t>MTL-03409-02;A0</t>
  </si>
  <si>
    <t>MTL-03412-02;A0</t>
  </si>
  <si>
    <t>MTL-03417-02;A0</t>
  </si>
  <si>
    <t>MTL-03422-03;A0</t>
  </si>
  <si>
    <t>MTL-03423-03;A0</t>
  </si>
  <si>
    <t>MTL-03424-03;A0</t>
  </si>
  <si>
    <t>MTL-03427-01;A0</t>
  </si>
  <si>
    <t>MTL-03428-01;A0</t>
  </si>
  <si>
    <t>MTL-03442-02;A0</t>
  </si>
  <si>
    <t>MTL-03445-03;B0</t>
  </si>
  <si>
    <t>MTL-03446-01;B0</t>
  </si>
  <si>
    <t>MTL-03447-02;A0</t>
  </si>
  <si>
    <t>MTL-03461-03;A0</t>
  </si>
  <si>
    <t>MTL-03462-02;A1</t>
  </si>
  <si>
    <t>MTL-03463-02;A0</t>
  </si>
  <si>
    <t>MTL-03464-02;A0</t>
  </si>
  <si>
    <t>MTL-03469-02;A0</t>
  </si>
  <si>
    <t>MTL-03471-04;A0</t>
  </si>
  <si>
    <t>MTL-03474-01;B0</t>
  </si>
  <si>
    <t>MTL-03476-02;A0</t>
  </si>
  <si>
    <t>MTL-03478-02;A0</t>
  </si>
  <si>
    <t>MTL-03480-02;A0</t>
  </si>
  <si>
    <t>MTL-03484-02;A0</t>
  </si>
  <si>
    <t>MTL-03496-04;A0</t>
  </si>
  <si>
    <t>MTL-03497-03;B0</t>
  </si>
  <si>
    <t>MTL-03499-02;A0</t>
  </si>
  <si>
    <t>MTL-03500-01;B0</t>
  </si>
  <si>
    <t>MTL-03503-03;A0</t>
  </si>
  <si>
    <t>MTL-03504-01;A0</t>
  </si>
  <si>
    <t>MTL-03506-03;A0</t>
  </si>
  <si>
    <t>MTL-03514-03;A0</t>
  </si>
  <si>
    <t>MTL-03516-03;A0</t>
  </si>
  <si>
    <t>MTL-03517-02;A0</t>
  </si>
  <si>
    <t>MTL-03554-03;A0</t>
  </si>
  <si>
    <t>MTL-04154-03;A0</t>
  </si>
  <si>
    <t>MTL-04230-01;A0</t>
  </si>
  <si>
    <t>MTL-04466-01;A0</t>
  </si>
  <si>
    <t>MTL-04469-01;A0</t>
  </si>
  <si>
    <t>MTL-04470-02;A0</t>
  </si>
  <si>
    <t>MTL-04637-01;A0</t>
  </si>
  <si>
    <t>N754000-01;C</t>
  </si>
  <si>
    <t>N754009-01;B</t>
  </si>
  <si>
    <t>N754009-02;B</t>
  </si>
  <si>
    <t>N754009-03#1;B</t>
  </si>
  <si>
    <t>N754009-03#2;B</t>
  </si>
  <si>
    <t>N754009-03#3;B</t>
  </si>
  <si>
    <t>N754009-03;B</t>
  </si>
  <si>
    <t>N754009-04;B</t>
  </si>
  <si>
    <t>N754009-05;C</t>
  </si>
  <si>
    <t>N754009-06;C</t>
  </si>
  <si>
    <t>N754009-07;B</t>
  </si>
  <si>
    <t>N754009-08;B</t>
  </si>
  <si>
    <t>N754009-09;A</t>
  </si>
  <si>
    <t>N754009-10;A</t>
  </si>
  <si>
    <t>N754009-11;A</t>
  </si>
  <si>
    <t>N754009-12</t>
  </si>
  <si>
    <t>N754009-13;A</t>
  </si>
  <si>
    <t>N754009-14</t>
  </si>
  <si>
    <t>N754009-15;A</t>
  </si>
  <si>
    <t>N754009-16</t>
  </si>
  <si>
    <t>N754009-17</t>
  </si>
  <si>
    <t>N754009-18</t>
  </si>
  <si>
    <t>N754009-19;A</t>
  </si>
  <si>
    <t>N754009-20;B</t>
  </si>
  <si>
    <t>N754009-21;A</t>
  </si>
  <si>
    <t>N754009-22;A</t>
  </si>
  <si>
    <t>N754009-23</t>
  </si>
  <si>
    <t>N754009-27;A</t>
  </si>
  <si>
    <t>N754009-28;A</t>
  </si>
  <si>
    <t>N754009-32</t>
  </si>
  <si>
    <t>N754009-33</t>
  </si>
  <si>
    <t>N754009-34;B</t>
  </si>
  <si>
    <t>N754009-42</t>
  </si>
  <si>
    <t>N754009-47</t>
  </si>
  <si>
    <t>N754009-53</t>
  </si>
  <si>
    <t>N754009-54</t>
  </si>
  <si>
    <t>N754009-55</t>
  </si>
  <si>
    <t>N754009-56</t>
  </si>
  <si>
    <t>N754009-57</t>
  </si>
  <si>
    <t>N754009-58</t>
  </si>
  <si>
    <t>N754009-59</t>
  </si>
  <si>
    <t>N754010-01;C</t>
  </si>
  <si>
    <t>N754010-02;C</t>
  </si>
  <si>
    <t>N754010-03;A</t>
  </si>
  <si>
    <t>N754010-04;A</t>
  </si>
  <si>
    <t>N754010-05;B</t>
  </si>
  <si>
    <t>N754010-06;A</t>
  </si>
  <si>
    <t>N754010-07;A</t>
  </si>
  <si>
    <t>N754010-08;A</t>
  </si>
  <si>
    <t>N754010-09;C</t>
  </si>
  <si>
    <t>N754010-10</t>
  </si>
  <si>
    <t>N754010-11</t>
  </si>
  <si>
    <t>N754010-12</t>
  </si>
  <si>
    <t>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</si>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</sst>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\(0\)"/>
    <numFmt numFmtId="165" formatCode="_(&quot;$&quot;* #,##0.000_);_(&quot;$&quot;* \(#,##0.000\);_(&quot;$&quot;* &quot;-&quot;??_);_(@_)"/>
    <numFmt numFmtId="166" formatCode="0.0%"/>
    <numFmt numFmtId="167" formatCode="_(&quot;$&quot;* #,##0_);_(&quot;$&quot;* \(#,##0\);_(&quot;$&quot;* &quot;-&quot;??_);_(@_)"/>
    <numFmt numFmtId="168" formatCode="_(&quot;$&quot;* #,##0.0_);_(&quot;$&quot;* \(#,##0.0\);_(&quot;$&quot;* &quot;-&quot;??_);_(@_)"/>
    <numFmt numFmtId="169" formatCode="&quot;$&quot;#,##0.00"/>
    <numFmt numFmtId="170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1" applyFont="1" applyFill="1" applyAlignment="1">
      <alignment horizontal="righ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44" fontId="3" fillId="0" borderId="0" xfId="0" applyNumberFormat="1" applyFont="1"/>
    <xf numFmtId="14" fontId="4" fillId="0" borderId="0" xfId="0" applyNumberFormat="1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44" fontId="3" fillId="0" borderId="0" xfId="1" applyFont="1"/>
    <xf numFmtId="165" fontId="3" fillId="0" borderId="0" xfId="1" applyNumberFormat="1" applyFont="1"/>
    <xf numFmtId="165" fontId="3" fillId="3" borderId="0" xfId="1" applyNumberFormat="1" applyFont="1" applyFill="1"/>
    <xf numFmtId="166" fontId="3" fillId="3" borderId="0" xfId="2" applyNumberFormat="1" applyFont="1" applyFill="1"/>
    <xf numFmtId="1" fontId="3" fillId="2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67" fontId="0" fillId="0" borderId="0" xfId="1" applyNumberFormat="1" applyFont="1" applyAlignment="1">
      <alignment horizontal="left"/>
    </xf>
    <xf numFmtId="44" fontId="4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44" fontId="5" fillId="4" borderId="0" xfId="1" applyFont="1" applyFill="1" applyAlignment="1">
      <alignment horizontal="center" wrapText="1"/>
    </xf>
    <xf numFmtId="0" fontId="3" fillId="4" borderId="0" xfId="1" applyNumberFormat="1" applyFont="1" applyFill="1"/>
    <xf numFmtId="0" fontId="0" fillId="4" borderId="0" xfId="0" applyFill="1"/>
    <xf numFmtId="168" fontId="3" fillId="4" borderId="0" xfId="1" applyNumberFormat="1" applyFont="1" applyFill="1"/>
    <xf numFmtId="3" fontId="5" fillId="0" borderId="0" xfId="1" applyNumberFormat="1" applyFont="1" applyFill="1" applyAlignment="1">
      <alignment horizontal="center" wrapText="1"/>
    </xf>
    <xf numFmtId="3" fontId="3" fillId="0" borderId="0" xfId="1" applyNumberFormat="1" applyFont="1"/>
    <xf numFmtId="3" fontId="0" fillId="0" borderId="0" xfId="0" applyNumberFormat="1"/>
    <xf numFmtId="3" fontId="5" fillId="4" borderId="0" xfId="1" applyNumberFormat="1" applyFont="1" applyFill="1" applyAlignment="1">
      <alignment horizontal="center" wrapText="1"/>
    </xf>
    <xf numFmtId="3" fontId="3" fillId="4" borderId="0" xfId="1" applyNumberFormat="1" applyFont="1" applyFill="1"/>
    <xf numFmtId="3" fontId="0" fillId="4" borderId="0" xfId="0" applyNumberFormat="1" applyFill="1"/>
    <xf numFmtId="169" fontId="5" fillId="0" borderId="0" xfId="1" applyNumberFormat="1" applyFont="1" applyFill="1" applyAlignment="1">
      <alignment horizontal="center" wrapText="1"/>
    </xf>
    <xf numFmtId="169" fontId="3" fillId="0" borderId="0" xfId="1" applyNumberFormat="1" applyFont="1"/>
    <xf numFmtId="169" fontId="0" fillId="0" borderId="0" xfId="0" applyNumberFormat="1"/>
    <xf numFmtId="169" fontId="2" fillId="0" borderId="0" xfId="1" applyNumberFormat="1" applyFont="1"/>
    <xf numFmtId="3" fontId="2" fillId="0" borderId="0" xfId="1" applyNumberFormat="1" applyFont="1"/>
    <xf numFmtId="169" fontId="2" fillId="0" borderId="0" xfId="0" applyNumberFormat="1" applyFont="1"/>
    <xf numFmtId="169" fontId="2" fillId="4" borderId="0" xfId="1" applyNumberFormat="1" applyFont="1" applyFill="1"/>
    <xf numFmtId="3" fontId="2" fillId="4" borderId="0" xfId="1" applyNumberFormat="1" applyFont="1" applyFill="1"/>
    <xf numFmtId="168" fontId="2" fillId="4" borderId="0" xfId="1" applyNumberFormat="1" applyFont="1" applyFill="1"/>
    <xf numFmtId="0" fontId="2" fillId="4" borderId="0" xfId="1" applyNumberFormat="1" applyFont="1" applyFill="1"/>
    <xf numFmtId="0" fontId="0" fillId="0" borderId="0" xfId="0" pivotButton="1"/>
    <xf numFmtId="44" fontId="0" fillId="0" borderId="0" xfId="0" applyNumberFormat="1"/>
    <xf numFmtId="43" fontId="0" fillId="0" borderId="0" xfId="0" applyNumberFormat="1"/>
    <xf numFmtId="170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4" fontId="3" fillId="0" borderId="3" xfId="0" applyNumberFormat="1" applyFont="1" applyBorder="1"/>
    <xf numFmtId="0" fontId="3" fillId="0" borderId="7" xfId="0" applyFont="1" applyBorder="1"/>
    <xf numFmtId="0" fontId="0" fillId="0" borderId="7" xfId="0" applyBorder="1"/>
    <xf numFmtId="0" fontId="3" fillId="0" borderId="8" xfId="0" applyFont="1" applyBorder="1"/>
    <xf numFmtId="0" fontId="0" fillId="0" borderId="0" xfId="0" applyAlignment="1">
      <alignment textRotation="90"/>
    </xf>
    <xf numFmtId="0" fontId="8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9" xfId="0" applyBorder="1" applyAlignment="1">
      <alignment textRotation="90"/>
    </xf>
    <xf numFmtId="0" fontId="9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44" fontId="9" fillId="0" borderId="0" xfId="1" applyFont="1" applyFill="1" applyAlignment="1">
      <alignment horizontal="center"/>
    </xf>
    <xf numFmtId="0" fontId="9" fillId="0" borderId="10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 wrapText="1"/>
    </xf>
    <xf numFmtId="0" fontId="0" fillId="4" borderId="14" xfId="0" applyFill="1" applyBorder="1" applyAlignment="1">
      <alignment horizontal="center"/>
    </xf>
    <xf numFmtId="0" fontId="8" fillId="0" borderId="9" xfId="0" applyFont="1" applyBorder="1" applyAlignment="1">
      <alignment textRotation="90"/>
    </xf>
    <xf numFmtId="0" fontId="3" fillId="0" borderId="9" xfId="0" applyFont="1" applyBorder="1" applyAlignment="1">
      <alignment textRotation="90" wrapText="1"/>
    </xf>
    <xf numFmtId="0" fontId="0" fillId="0" borderId="9" xfId="0" applyBorder="1" applyAlignment="1">
      <alignment textRotation="90" wrapText="1"/>
    </xf>
    <xf numFmtId="0" fontId="0" fillId="0" borderId="0" xfId="0" applyAlignment="1">
      <alignment horizontal="center" textRotation="90" wrapText="1"/>
    </xf>
    <xf numFmtId="0" fontId="8" fillId="2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2" xfId="0" applyBorder="1" applyAlignment="1">
      <alignment textRotation="90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7" xfId="0" applyFont="1" applyFill="1" applyBorder="1"/>
    <xf numFmtId="0" fontId="3" fillId="5" borderId="7" xfId="0" applyFont="1" applyFill="1" applyBorder="1"/>
    <xf numFmtId="0" fontId="3" fillId="2" borderId="0" xfId="0" applyFont="1" applyFill="1"/>
    <xf numFmtId="0" fontId="3" fillId="6" borderId="0" xfId="0" applyFont="1" applyFill="1"/>
    <xf numFmtId="0" fontId="4" fillId="0" borderId="0" xfId="0" applyFont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7" borderId="0" xfId="0" applyFont="1" applyFill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 indent="3"/>
    </xf>
    <xf numFmtId="0" fontId="6" fillId="0" borderId="7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left" indent="3"/>
    </xf>
    <xf numFmtId="0" fontId="9" fillId="0" borderId="0" xfId="0" applyFont="1" applyAlignment="1">
      <alignment horizontal="left" indent="4"/>
    </xf>
    <xf numFmtId="0" fontId="13" fillId="0" borderId="11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/>
    </xf>
    <xf numFmtId="0" fontId="9" fillId="8" borderId="0" xfId="0" applyFont="1" applyFill="1" applyAlignment="1">
      <alignment horizontal="left" indent="3"/>
    </xf>
    <xf numFmtId="0" fontId="9" fillId="8" borderId="0" xfId="0" applyFont="1" applyFill="1" applyAlignment="1">
      <alignment horizontal="right" indent="3"/>
    </xf>
    <xf numFmtId="0" fontId="3" fillId="8" borderId="0" xfId="0" applyFont="1" applyFill="1" applyAlignment="1">
      <alignment horizontal="left" indent="2"/>
    </xf>
    <xf numFmtId="0" fontId="3" fillId="9" borderId="0" xfId="0" applyFont="1" applyFill="1"/>
    <xf numFmtId="44" fontId="3" fillId="0" borderId="0" xfId="1" applyFont="1" applyFill="1"/>
    <xf numFmtId="169" fontId="3" fillId="0" borderId="0" xfId="1" applyNumberFormat="1" applyFont="1" applyFill="1"/>
    <xf numFmtId="3" fontId="3" fillId="0" borderId="0" xfId="1" applyNumberFormat="1" applyFont="1" applyFill="1"/>
    <xf numFmtId="168" fontId="3" fillId="0" borderId="0" xfId="1" applyNumberFormat="1" applyFont="1" applyFill="1"/>
    <xf numFmtId="0" fontId="3" fillId="0" borderId="0" xfId="1" applyNumberFormat="1" applyFont="1" applyFill="1"/>
    <xf numFmtId="0" fontId="0" fillId="0" borderId="13" xfId="0" applyBorder="1" applyAlignment="1">
      <alignment horizontal="center" textRotation="90" wrapText="1"/>
    </xf>
    <xf numFmtId="0" fontId="2" fillId="0" borderId="9" xfId="0" applyFont="1" applyBorder="1" applyAlignment="1">
      <alignment textRotation="90" wrapText="1"/>
    </xf>
    <xf numFmtId="0" fontId="2" fillId="0" borderId="9" xfId="0" applyFont="1" applyBorder="1" applyAlignment="1">
      <alignment horizontal="center" vertical="center" textRotation="90"/>
    </xf>
    <xf numFmtId="0" fontId="0" fillId="0" borderId="9" xfId="0" applyBorder="1" applyAlignment="1">
      <alignment horizontal="left" textRotation="90"/>
    </xf>
    <xf numFmtId="0" fontId="8" fillId="0" borderId="9" xfId="0" applyFont="1" applyBorder="1" applyAlignment="1">
      <alignment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wrapText="1"/>
    </xf>
    <xf numFmtId="0" fontId="3" fillId="0" borderId="0" xfId="0" applyFont="1" applyAlignment="1">
      <alignment horizontal="left" indent="1"/>
    </xf>
    <xf numFmtId="0" fontId="13" fillId="0" borderId="0" xfId="0" applyFont="1" applyAlignment="1">
      <alignment horizontal="left" indent="5"/>
    </xf>
    <xf numFmtId="44" fontId="3" fillId="0" borderId="0" xfId="1" applyFont="1" applyAlignment="1">
      <alignment horizontal="left" indent="1"/>
    </xf>
    <xf numFmtId="169" fontId="3" fillId="0" borderId="0" xfId="1" applyNumberFormat="1" applyFont="1" applyAlignment="1">
      <alignment horizontal="left" indent="1"/>
    </xf>
    <xf numFmtId="3" fontId="3" fillId="0" borderId="0" xfId="1" applyNumberFormat="1" applyFont="1" applyAlignment="1">
      <alignment horizontal="left" indent="1"/>
    </xf>
    <xf numFmtId="168" fontId="3" fillId="4" borderId="0" xfId="1" applyNumberFormat="1" applyFont="1" applyFill="1" applyAlignment="1">
      <alignment horizontal="left" indent="1"/>
    </xf>
    <xf numFmtId="0" fontId="3" fillId="4" borderId="0" xfId="1" applyNumberFormat="1" applyFont="1" applyFill="1" applyAlignment="1">
      <alignment horizontal="left" indent="1"/>
    </xf>
    <xf numFmtId="3" fontId="3" fillId="4" borderId="0" xfId="1" applyNumberFormat="1" applyFont="1" applyFill="1" applyAlignment="1">
      <alignment horizontal="left" indent="1"/>
    </xf>
    <xf numFmtId="0" fontId="0" fillId="0" borderId="0" xfId="0" applyAlignment="1">
      <alignment horizontal="left" indent="1"/>
    </xf>
    <xf numFmtId="44" fontId="3" fillId="0" borderId="0" xfId="0" applyNumberFormat="1" applyFont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0" borderId="7" xfId="0" applyFont="1" applyBorder="1" applyAlignment="1">
      <alignment horizontal="left" indent="1"/>
    </xf>
    <xf numFmtId="0" fontId="3" fillId="2" borderId="7" xfId="0" applyFont="1" applyFill="1" applyBorder="1" applyAlignment="1">
      <alignment horizontal="left" indent="1"/>
    </xf>
    <xf numFmtId="0" fontId="3" fillId="0" borderId="6" xfId="0" applyFont="1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left" indent="6"/>
    </xf>
    <xf numFmtId="0" fontId="13" fillId="10" borderId="0" xfId="0" applyFont="1" applyFill="1" applyAlignment="1">
      <alignment horizontal="right" indent="2"/>
    </xf>
    <xf numFmtId="0" fontId="13" fillId="10" borderId="0" xfId="0" applyFont="1" applyFill="1" applyAlignment="1">
      <alignment horizontal="left" indent="5"/>
    </xf>
    <xf numFmtId="0" fontId="0" fillId="4" borderId="0" xfId="0" applyFill="1" applyAlignment="1">
      <alignment horizontal="center"/>
    </xf>
    <xf numFmtId="0" fontId="0" fillId="0" borderId="12" xfId="0" applyBorder="1" applyAlignment="1">
      <alignment horizontal="center" textRotation="90"/>
    </xf>
    <xf numFmtId="0" fontId="0" fillId="0" borderId="13" xfId="0" applyBorder="1" applyAlignment="1">
      <alignment horizont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9" xfId="0" applyBorder="1" applyAlignment="1">
      <alignment horizontal="center" textRotation="90"/>
    </xf>
    <xf numFmtId="0" fontId="0" fillId="0" borderId="12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textRotation="90" wrapText="1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8" fillId="0" borderId="9" xfId="0" applyFont="1" applyBorder="1" applyAlignment="1">
      <alignment horizontal="center" textRotation="90"/>
    </xf>
    <xf numFmtId="0" fontId="8" fillId="0" borderId="10" xfId="0" applyFont="1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10" xfId="0" applyFont="1" applyBorder="1" applyAlignment="1">
      <alignment horizontal="center" vertical="center" textRotation="90" wrapText="1"/>
    </xf>
    <xf numFmtId="0" fontId="8" fillId="0" borderId="9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textRotation="90"/>
    </xf>
    <xf numFmtId="0" fontId="0" fillId="0" borderId="12" xfId="0" applyBorder="1" applyAlignment="1">
      <alignment horizontal="center" textRotation="90" wrapText="1"/>
    </xf>
    <xf numFmtId="0" fontId="0" fillId="0" borderId="0" xfId="0" applyAlignment="1">
      <alignment horizontal="center" textRotation="90" wrapText="1"/>
    </xf>
    <xf numFmtId="0" fontId="0" fillId="0" borderId="13" xfId="0" applyBorder="1" applyAlignment="1">
      <alignment horizontal="center" textRotation="90" wrapText="1"/>
    </xf>
    <xf numFmtId="0" fontId="8" fillId="0" borderId="12" xfId="0" applyFont="1" applyBorder="1" applyAlignment="1">
      <alignment horizontal="center" textRotation="90"/>
    </xf>
    <xf numFmtId="0" fontId="8" fillId="0" borderId="0" xfId="0" applyFont="1" applyAlignment="1">
      <alignment horizontal="center" textRotation="90"/>
    </xf>
    <xf numFmtId="0" fontId="8" fillId="0" borderId="13" xfId="0" applyFont="1" applyBorder="1" applyAlignment="1">
      <alignment horizontal="center" textRotation="90"/>
    </xf>
    <xf numFmtId="0" fontId="9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3" fillId="0" borderId="9" xfId="0" applyFont="1" applyBorder="1" applyAlignment="1">
      <alignment horizontal="center" textRotation="90"/>
    </xf>
    <xf numFmtId="16" fontId="13" fillId="0" borderId="9" xfId="0" applyNumberFormat="1" applyFont="1" applyBorder="1" applyAlignment="1">
      <alignment horizontal="center" textRotation="90"/>
    </xf>
    <xf numFmtId="0" fontId="3" fillId="0" borderId="12" xfId="0" applyFont="1" applyBorder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3" fillId="0" borderId="13" xfId="0" applyFont="1" applyBorder="1" applyAlignment="1">
      <alignment horizontal="center" textRotation="90"/>
    </xf>
    <xf numFmtId="0" fontId="9" fillId="0" borderId="15" xfId="0" applyFont="1" applyBorder="1" applyAlignment="1">
      <alignment horizontal="center" textRotation="90"/>
    </xf>
    <xf numFmtId="0" fontId="0" fillId="0" borderId="9" xfId="0" applyBorder="1" applyAlignment="1">
      <alignment horizontal="center" vertical="center" textRotation="90" wrapText="1"/>
    </xf>
    <xf numFmtId="0" fontId="7" fillId="0" borderId="0" xfId="0" applyFont="1" applyAlignment="1">
      <alignment horizontal="center"/>
    </xf>
  </cellXfs>
  <cellStyles count="4">
    <cellStyle name="Currency" xfId="1" builtinId="4"/>
    <cellStyle name="Currency 2" xfId="3" xr:uid="{862C8B8F-A614-448C-95B3-71BCA4719346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0" formatCode="_(* #,##0_);_(* \(#,##0\);_(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gar Torres" refreshedDate="45308.462982175923" createdVersion="8" refreshedVersion="8" minRefreshableVersion="3" recordCount="291" xr:uid="{8035E803-1237-4B37-B6A5-4D90426D6FDA}">
  <cacheSource type="worksheet">
    <worksheetSource ref="A5:I296" sheet="SIOP File"/>
  </cacheSource>
  <cacheFields count="9">
    <cacheField name="Loc" numFmtId="0">
      <sharedItems/>
    </cacheField>
    <cacheField name="Cust. Code" numFmtId="0">
      <sharedItems count="9">
        <s v="AFL"/>
        <s v="AMAT"/>
        <s v="AMPH"/>
        <s v="ARIS"/>
        <s v="FUJI"/>
        <s v="JMA"/>
        <s v="S&amp;C ELECT"/>
        <s v="SEL"/>
        <s v="AFL TELECOMMUNICATIONS LLC"/>
      </sharedItems>
    </cacheField>
    <cacheField name="Program" numFmtId="0">
      <sharedItems/>
    </cacheField>
    <cacheField name="Part Number" numFmtId="0">
      <sharedItems containsMixedTypes="1" containsNumber="1" containsInteger="1" minValue="1149937" maxValue="1160752"/>
    </cacheField>
    <cacheField name="Description" numFmtId="0">
      <sharedItems/>
    </cacheField>
    <cacheField name="Price" numFmtId="44">
      <sharedItems containsSemiMixedTypes="0" containsString="0" containsNumber="1" minValue="0" maxValue="11805.59"/>
    </cacheField>
    <cacheField name="Total Revenue" numFmtId="169">
      <sharedItems containsSemiMixedTypes="0" containsString="0" containsNumber="1" minValue="0" maxValue="25966008"/>
    </cacheField>
    <cacheField name="Total Volume" numFmtId="3">
      <sharedItems containsSemiMixedTypes="0" containsString="0" containsNumber="1" containsInteger="1" minValue="0" maxValue="508384"/>
    </cacheField>
    <cacheField name="Monthly Avg. Volume" numFmtId="3">
      <sharedItems containsSemiMixedTypes="0" containsString="0" containsNumber="1" containsInteger="1" minValue="0" maxValue="423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s v="MX"/>
    <x v="0"/>
    <s v="864CABINET"/>
    <s v="EA000461;7"/>
    <s v="CABINET WELDMENT EDC 8"/>
    <n v="725.43"/>
    <n v="0"/>
    <n v="0"/>
    <n v="0"/>
  </r>
  <r>
    <s v="MX"/>
    <x v="0"/>
    <s v="864CABINET"/>
    <s v="EA000464;4"/>
    <s v="SIDE, TRANSITION AREA,"/>
    <n v="8.65"/>
    <n v="0"/>
    <n v="0"/>
    <n v="0"/>
  </r>
  <r>
    <s v="MX"/>
    <x v="0"/>
    <s v="AFL"/>
    <s v="FM004071;2"/>
    <s v="SPLICE ONLY COVER, LL-"/>
    <n v="7.34"/>
    <n v="0"/>
    <n v="0"/>
    <n v="0"/>
  </r>
  <r>
    <s v="MX"/>
    <x v="0"/>
    <s v="AFL HYPER"/>
    <s v="HCF-48U-ODF-003;5"/>
    <s v="48U ODF WITH SPLICE CA"/>
    <n v="3298.43"/>
    <n v="946649.40999999992"/>
    <n v="287"/>
    <n v="24"/>
  </r>
  <r>
    <s v="MX"/>
    <x v="0"/>
    <s v="AFL HYPER"/>
    <s v="HCF-48U-SPL-001;6"/>
    <s v="48U ODF - SIDE PANEL K"/>
    <n v="640.07000000000005"/>
    <n v="312994.23000000004"/>
    <n v="489"/>
    <n v="41"/>
  </r>
  <r>
    <s v="MX"/>
    <x v="0"/>
    <s v="AFL-TMX"/>
    <s v="OCM-12;4"/>
    <s v="OCM-12 BRACKET KIT WIT"/>
    <n v="18.5"/>
    <n v="0"/>
    <n v="0"/>
    <n v="0"/>
  </r>
  <r>
    <s v="MX"/>
    <x v="0"/>
    <s v="ASCEND"/>
    <s v="ASCND-1RU-12RT;23"/>
    <s v="1RU BASE 12 RT ASCEND "/>
    <n v="255.84"/>
    <n v="174482.88"/>
    <n v="682"/>
    <n v="57"/>
  </r>
  <r>
    <s v="MX"/>
    <x v="0"/>
    <s v="ASCEND"/>
    <s v="ASCND-1RU-8RT;23"/>
    <s v="1RU-8RT ASCEND ASSY"/>
    <n v="269.11"/>
    <n v="309476.5"/>
    <n v="1150"/>
    <n v="96"/>
  </r>
  <r>
    <s v="MX"/>
    <x v="0"/>
    <s v="ASCEND"/>
    <s v="ASCND-2RU-12RT;23"/>
    <s v="2RU BASE 12 RAMP ASCEN"/>
    <n v="285.58"/>
    <n v="799624"/>
    <n v="2800"/>
    <n v="234"/>
  </r>
  <r>
    <s v="MX"/>
    <x v="0"/>
    <s v="ASCEND"/>
    <s v="ASCND-2RU-24RT;23"/>
    <s v="2RU BASE 24 RAMP ASCEN"/>
    <n v="350"/>
    <n v="0"/>
    <n v="0"/>
    <n v="0"/>
  </r>
  <r>
    <s v="MX"/>
    <x v="0"/>
    <s v="ASCEND"/>
    <s v="ASCND-2RU-8RT;23"/>
    <s v="2RU BASE 8 RAMP ASCEND"/>
    <n v="348.86"/>
    <n v="453518"/>
    <n v="1300"/>
    <n v="109"/>
  </r>
  <r>
    <s v="MX"/>
    <x v="0"/>
    <s v="ASCEND"/>
    <s v="ASCND-4RU-12RT;23"/>
    <s v="4RU-12RT ASCEND ASSY"/>
    <n v="471.95"/>
    <n v="1461157.2"/>
    <n v="3096"/>
    <n v="258"/>
  </r>
  <r>
    <s v="MX"/>
    <x v="0"/>
    <s v="ASCEND"/>
    <s v="ASCND-4RU-8RT;23"/>
    <s v="4RU-8RT ASCEND ASSY"/>
    <n v="468.32"/>
    <n v="187328"/>
    <n v="400"/>
    <n v="34"/>
  </r>
  <r>
    <s v="MX"/>
    <x v="0"/>
    <s v="ASCEND"/>
    <s v="CS017324;0"/>
    <s v="FRONT DOOR MAGNET PAIR"/>
    <n v="5.99"/>
    <n v="0"/>
    <n v="0"/>
    <n v="0"/>
  </r>
  <r>
    <s v="MX"/>
    <x v="0"/>
    <s v="ASCEND"/>
    <s v="FM003957;7"/>
    <s v="1RU DOOR (REAR)"/>
    <n v="1.82"/>
    <n v="0"/>
    <n v="0"/>
    <n v="0"/>
  </r>
  <r>
    <s v="MX"/>
    <x v="0"/>
    <s v="ASCND 2RU"/>
    <s v="FM004574;0"/>
    <s v="2RU 23&quot; MOUNTING BRACK"/>
    <n v="5.87"/>
    <n v="0"/>
    <n v="0"/>
    <n v="0"/>
  </r>
  <r>
    <s v="MX"/>
    <x v="0"/>
    <s v="EDC 864"/>
    <s v="EA000458;5"/>
    <s v="PANEL, LEFT IDEAA MODU"/>
    <n v="79.11"/>
    <n v="0"/>
    <n v="0"/>
    <n v="0"/>
  </r>
  <r>
    <s v="MX"/>
    <x v="0"/>
    <s v="EDC 864"/>
    <s v="EA000549;5"/>
    <s v="PANEL, RIGHT IDEAA MOD"/>
    <n v="89.36"/>
    <n v="0"/>
    <n v="0"/>
    <n v="0"/>
  </r>
  <r>
    <s v="MX"/>
    <x v="0"/>
    <s v="HYPERSCALE"/>
    <s v="HCF-48U-ODF002;11"/>
    <s v="48U FRAME ASSEMBLY"/>
    <n v="2814.12"/>
    <n v="396790.92"/>
    <n v="141"/>
    <n v="12"/>
  </r>
  <r>
    <s v="MX"/>
    <x v="0"/>
    <s v="HYPERSCALE"/>
    <s v="HCF-48U-ODF-004;4"/>
    <s v="48U FRAME ASSEMBLY"/>
    <n v="0"/>
    <n v="0"/>
    <n v="1"/>
    <n v="1"/>
  </r>
  <r>
    <s v="MX"/>
    <x v="0"/>
    <s v="LL-550"/>
    <s v="FM004072;3"/>
    <s v="SKIRT KIT, LL-550, TEL"/>
    <n v="55.1"/>
    <n v="0"/>
    <n v="0"/>
    <n v="0"/>
  </r>
  <r>
    <s v="MX"/>
    <x v="0"/>
    <s v="LL-550"/>
    <s v="FM004264;0"/>
    <s v="LL-550-AT, PLATE, BLAN"/>
    <n v="6.02"/>
    <n v="0"/>
    <n v="0"/>
    <n v="0"/>
  </r>
  <r>
    <s v="MX"/>
    <x v="0"/>
    <s v="LL-580"/>
    <s v="FM004211;0"/>
    <s v="LL-580 SKIRT STANDOFF "/>
    <n v="7.37"/>
    <n v="0"/>
    <n v="0"/>
    <n v="0"/>
  </r>
  <r>
    <s v="MX"/>
    <x v="0"/>
    <s v="LL-580"/>
    <s v="FM004240;0"/>
    <s v="LL-580 SKIRT STANDOFF "/>
    <n v="7.09"/>
    <n v="0"/>
    <n v="0"/>
    <n v="0"/>
  </r>
  <r>
    <s v="MX"/>
    <x v="0"/>
    <s v="LL-580-AT"/>
    <s v="FM002895;9"/>
    <s v="LL-580-AT SKIRT"/>
    <n v="90.56"/>
    <n v="0"/>
    <n v="0"/>
    <n v="0"/>
  </r>
  <r>
    <s v="MX"/>
    <x v="0"/>
    <s v="LL-580-AT"/>
    <s v="FM002895-3;5"/>
    <s v="KO PLATE FOR 2&quot;, 1.5&quot; "/>
    <n v="7.19"/>
    <n v="0"/>
    <n v="0"/>
    <n v="0"/>
  </r>
  <r>
    <s v="MX"/>
    <x v="1"/>
    <s v=""/>
    <s v="0022-13130;04"/>
    <s v="BRACKET H2 SENSOR C3"/>
    <n v="5.38"/>
    <n v="1059.8599999999999"/>
    <n v="197"/>
    <n v="17"/>
  </r>
  <r>
    <s v="MX"/>
    <x v="1"/>
    <s v="AMAT"/>
    <s v="0010-59216;07"/>
    <s v="ASSEMBLY,LOWER DOOR,MI"/>
    <n v="721.83"/>
    <n v="2165.4900000000002"/>
    <n v="3"/>
    <n v="1"/>
  </r>
  <r>
    <s v="MX"/>
    <x v="1"/>
    <s v="AMAT"/>
    <s v="0020-63454;002"/>
    <s v="BRACKET CATCH CCT/WATL"/>
    <n v="65.260000000000005"/>
    <n v="0"/>
    <n v="0"/>
    <n v="0"/>
  </r>
  <r>
    <s v="MX"/>
    <x v="1"/>
    <s v="AMAT"/>
    <s v="0020-64627;003"/>
    <s v="BRACE, SHIPPING, SIDE,"/>
    <n v="82.73"/>
    <n v="0"/>
    <n v="0"/>
    <n v="0"/>
  </r>
  <r>
    <s v="MX"/>
    <x v="1"/>
    <s v="AMAT"/>
    <s v="0021-82164;02"/>
    <s v="BRACKET, FI SHIPPING, "/>
    <n v="183"/>
    <n v="0"/>
    <n v="0"/>
    <n v="0"/>
  </r>
  <r>
    <s v="MX"/>
    <x v="1"/>
    <s v="AMAT"/>
    <s v="0021-96687;05"/>
    <s v="BRACKET,FRONT SIDE BRA"/>
    <n v="120.2"/>
    <n v="360.6"/>
    <n v="3"/>
    <n v="1"/>
  </r>
  <r>
    <s v="MX"/>
    <x v="1"/>
    <s v="AMAT"/>
    <s v="0022-08095;06"/>
    <s v="BRACKET, BOTTOM SHELF "/>
    <n v="85.98"/>
    <n v="0"/>
    <n v="0"/>
    <n v="0"/>
  </r>
  <r>
    <s v="MX"/>
    <x v="1"/>
    <s v="AMAT"/>
    <s v="0040-01983;AD"/>
    <s v="PANEL, WATER DISTRIBUT"/>
    <n v="511.04"/>
    <n v="1533.1200000000001"/>
    <n v="3"/>
    <n v="1"/>
  </r>
  <r>
    <s v="MX"/>
    <x v="1"/>
    <s v="AMAT"/>
    <s v="0040-96763;002"/>
    <s v="BRACKET,MOUNT FORELINE"/>
    <n v="71.2"/>
    <n v="0"/>
    <n v="0"/>
    <n v="0"/>
  </r>
  <r>
    <s v="MX"/>
    <x v="1"/>
    <s v="AMAT"/>
    <s v="0041-12984;03"/>
    <s v="PANEL, BACK GAS PLATTE"/>
    <n v="32.979999999999997"/>
    <n v="0"/>
    <n v="0"/>
    <n v="0"/>
  </r>
  <r>
    <s v="MX"/>
    <x v="1"/>
    <s v="AMAT"/>
    <s v="0041-61872;06"/>
    <s v="ENCLOSURE, FACILITY MA"/>
    <n v="762.75"/>
    <n v="2288.25"/>
    <n v="3"/>
    <n v="1"/>
  </r>
  <r>
    <s v="MX"/>
    <x v="1"/>
    <s v="AMAT"/>
    <s v="0041-77896;08"/>
    <s v="BRACKET, GASLINES, C3o"/>
    <n v="125.66"/>
    <n v="0"/>
    <n v="0"/>
    <n v="0"/>
  </r>
  <r>
    <s v="MX"/>
    <x v="1"/>
    <s v="AMAT"/>
    <s v="0041-81684;03"/>
    <s v="BRACKET, MAGNETIC SW M"/>
    <n v="3.71"/>
    <n v="0"/>
    <n v="0"/>
    <n v="0"/>
  </r>
  <r>
    <s v="MX"/>
    <x v="1"/>
    <s v="AMAT"/>
    <s v="0041-81685;02"/>
    <s v="BRACKET, MACNETIC SW M"/>
    <n v="10"/>
    <n v="1940"/>
    <n v="194"/>
    <n v="17"/>
  </r>
  <r>
    <s v="MX"/>
    <x v="1"/>
    <s v="AMAT"/>
    <s v="0041-81686;02"/>
    <s v="BRACKET, MACNETIC SW M"/>
    <n v="10"/>
    <n v="970"/>
    <n v="97"/>
    <n v="9"/>
  </r>
  <r>
    <s v="MX"/>
    <x v="1"/>
    <s v="AMAT"/>
    <s v="0041-83309;01"/>
    <s v="PLATE,BOTTOM,W/EXHAUST"/>
    <n v="40.409999999999997"/>
    <n v="808.19999999999993"/>
    <n v="20"/>
    <n v="2"/>
  </r>
  <r>
    <s v="MX"/>
    <x v="1"/>
    <s v="AMAT"/>
    <s v="0041-99611;03"/>
    <s v="PALLET GAS STICKS NAPA"/>
    <n v="59.58"/>
    <n v="2800.2599999999998"/>
    <n v="47"/>
    <n v="4"/>
  </r>
  <r>
    <s v="MX"/>
    <x v="1"/>
    <s v="AMAT"/>
    <s v="0042-06060;03"/>
    <s v="REAR HEATER PANEL NAPA"/>
    <n v="44.23"/>
    <n v="1105.75"/>
    <n v="25"/>
    <n v="3"/>
  </r>
  <r>
    <s v="MX"/>
    <x v="1"/>
    <s v="AMAT"/>
    <s v="0042-15857;03"/>
    <s v="BOTTOM INLET PLATE RIV"/>
    <n v="27.49"/>
    <n v="0"/>
    <n v="0"/>
    <n v="0"/>
  </r>
  <r>
    <s v="MX"/>
    <x v="1"/>
    <s v="AMAT"/>
    <s v="0042-16783;04"/>
    <s v="ENCLOSURE RIVETED SYM3"/>
    <n v="420.07"/>
    <n v="42007"/>
    <n v="100"/>
    <n v="9"/>
  </r>
  <r>
    <s v="MX"/>
    <x v="1"/>
    <s v="AMAT"/>
    <s v="0042-18208;04"/>
    <s v="REAR MOUNTING PLATE, S"/>
    <n v="185.09"/>
    <n v="0"/>
    <n v="0"/>
    <n v="0"/>
  </r>
  <r>
    <s v="MX"/>
    <x v="1"/>
    <s v="AMAT"/>
    <s v="0042-24513;03"/>
    <s v="BRACKET, DRIP PAN MOUN"/>
    <n v="99.54"/>
    <n v="0"/>
    <n v="0"/>
    <n v="0"/>
  </r>
  <r>
    <s v="MX"/>
    <x v="1"/>
    <s v="AMAT"/>
    <s v="0042-32661;05"/>
    <s v="REMOVABLE UPPER BAR, C"/>
    <n v="744.82"/>
    <n v="2234.46"/>
    <n v="3"/>
    <n v="1"/>
  </r>
  <r>
    <s v="MX"/>
    <x v="1"/>
    <s v="AMAT"/>
    <s v="0042-32991;05"/>
    <s v="REMOVABLE UPPER BAR, C"/>
    <n v="753.18"/>
    <n v="2259.54"/>
    <n v="3"/>
    <n v="1"/>
  </r>
  <r>
    <s v="MX"/>
    <x v="1"/>
    <s v="ICHOR"/>
    <s v="0022-12699;05"/>
    <s v="PLATE,BOTTOM,W/EXHAUST"/>
    <n v="4.07"/>
    <n v="1005.2900000000001"/>
    <n v="247"/>
    <n v="21"/>
  </r>
  <r>
    <s v="MX"/>
    <x v="2"/>
    <s v="AMPHENOL"/>
    <s v="1025176;D1"/>
    <s v="FS3, ASSEMBLY, TOP LEV"/>
    <n v="56.94"/>
    <n v="0"/>
    <n v="0"/>
    <n v="0"/>
  </r>
  <r>
    <s v="MX"/>
    <x v="2"/>
    <s v="AMPHENOL"/>
    <s v="150483-3N+03;A3"/>
    <s v="REAR DOOR C2X 2RU 15.5"/>
    <n v="6.28"/>
    <n v="0"/>
    <n v="0"/>
    <n v="0"/>
  </r>
  <r>
    <s v="MX"/>
    <x v="3"/>
    <s v="ARIS MISC"/>
    <s v="ASY-06327-02;A0"/>
    <s v="ASY,DNL,FC,FAN,PCB,STI"/>
    <n v="69.56"/>
    <n v="66012.44"/>
    <n v="949"/>
    <n v="80"/>
  </r>
  <r>
    <s v="MX"/>
    <x v="3"/>
    <s v="ARIS MISC"/>
    <s v="ASY-06331-05;A0"/>
    <s v="ASY,DN,FC,COVER REAR,A"/>
    <n v="26.01"/>
    <n v="51811.920000000006"/>
    <n v="1992"/>
    <n v="166"/>
  </r>
  <r>
    <s v="MX"/>
    <x v="3"/>
    <s v="ARISTA Y8"/>
    <s v="ASY-52295-122;B0"/>
    <s v="ASY TOP LEVEL (TAN) EL"/>
    <n v="2079.84"/>
    <n v="0"/>
    <n v="0"/>
    <n v="0"/>
  </r>
  <r>
    <s v="MX"/>
    <x v="3"/>
    <s v="AURORA"/>
    <s v="ASY-08367-01;A0"/>
    <s v="ASY,DN,FC,TRAY,AURORA"/>
    <n v="269.39999999999998"/>
    <n v="14008.8"/>
    <n v="52"/>
    <n v="5"/>
  </r>
  <r>
    <s v="MX"/>
    <x v="3"/>
    <s v="AURORA"/>
    <s v="ASY-08377-01;A0"/>
    <s v="ASY,DN,FC,AURORA,STIFF"/>
    <n v="15.32"/>
    <n v="0"/>
    <n v="0"/>
    <n v="0"/>
  </r>
  <r>
    <s v="MX"/>
    <x v="3"/>
    <s v="AURORA"/>
    <s v="ASY-08379-01;A0"/>
    <s v="ASY,MTL,DN,FC,FAN PCB "/>
    <n v="10.38"/>
    <n v="0"/>
    <n v="0"/>
    <n v="0"/>
  </r>
  <r>
    <s v="MX"/>
    <x v="3"/>
    <s v="AURORA"/>
    <s v="ASY-08380-01;A0"/>
    <s v="ASY,DN,FC,COVER REAR,A"/>
    <n v="7.37"/>
    <n v="0"/>
    <n v="0"/>
    <n v="0"/>
  </r>
  <r>
    <s v="MX"/>
    <x v="3"/>
    <s v="BEARPAW"/>
    <s v="ASY-04606-05;A0"/>
    <s v="ASY,LC,BOTTOM COVER,BE"/>
    <n v="38.130000000000003"/>
    <n v="0"/>
    <n v="0"/>
    <n v="0"/>
  </r>
  <r>
    <s v="MX"/>
    <x v="3"/>
    <s v="BEARPAW"/>
    <s v="ASY-06123-05;A0"/>
    <s v="ASY, DN, LC, CHAS, BEA"/>
    <n v="47.35"/>
    <n v="0"/>
    <n v="0"/>
    <n v="0"/>
  </r>
  <r>
    <s v="MX"/>
    <x v="3"/>
    <s v="BEARPAW"/>
    <s v="ASY-06134-03;A0"/>
    <s v="ASY, ACCESSORY KIT, 78"/>
    <n v="1209.8499999999999"/>
    <n v="0"/>
    <n v="0"/>
    <n v="0"/>
  </r>
  <r>
    <s v="MX"/>
    <x v="3"/>
    <s v="BROOK"/>
    <s v="ASY-03911-03;A0"/>
    <s v="ASM,DN,HSNK,BRKT,LF,BR"/>
    <n v="3.53"/>
    <n v="3830.0499999999997"/>
    <n v="1085"/>
    <n v="91"/>
  </r>
  <r>
    <s v="MX"/>
    <x v="3"/>
    <s v="BROOK"/>
    <s v="ASY-03912-03;A2"/>
    <s v="ASY,DN,FC,COVER REAR,B"/>
    <n v="13.22"/>
    <n v="31728"/>
    <n v="2400"/>
    <n v="200"/>
  </r>
  <r>
    <s v="MX"/>
    <x v="3"/>
    <s v="BROOK"/>
    <s v="ASY-03913-11;C0"/>
    <s v="ASY,DN,FC,TRAY ASM,BRO"/>
    <n v="184.88"/>
    <n v="385474.8"/>
    <n v="2085"/>
    <n v="174"/>
  </r>
  <r>
    <s v="MX"/>
    <x v="3"/>
    <s v="BROOK"/>
    <s v="ASY-03916-02;A1"/>
    <s v="ASY,DN,FC,BRACKET,BROO"/>
    <n v="9.14"/>
    <n v="12147.060000000001"/>
    <n v="1329"/>
    <n v="111"/>
  </r>
  <r>
    <s v="MX"/>
    <x v="3"/>
    <s v="BROOK"/>
    <s v="ASY-03918-03;B0"/>
    <s v="ASY,DN,FC,STIFFENER,TP"/>
    <n v="7.27"/>
    <n v="11522.949999999999"/>
    <n v="1585"/>
    <n v="133"/>
  </r>
  <r>
    <s v="MX"/>
    <x v="3"/>
    <s v="CALICO"/>
    <s v="ASY-03403-04;B0"/>
    <s v="ASY, DN, LC, CALICO, S"/>
    <n v="22.07"/>
    <n v="0"/>
    <n v="0"/>
    <n v="0"/>
  </r>
  <r>
    <s v="MX"/>
    <x v="3"/>
    <s v="CALICO"/>
    <s v="ASY-03404-03;A1"/>
    <s v="ASY, DN, LC, CALICO, S"/>
    <n v="21.98"/>
    <n v="0"/>
    <n v="0"/>
    <n v="0"/>
  </r>
  <r>
    <s v="MX"/>
    <x v="3"/>
    <s v="CALICO"/>
    <s v="ASY-03405-05;A1"/>
    <s v="ASY, LC, CHASSIS, CALI"/>
    <n v="32.24"/>
    <n v="0"/>
    <n v="0"/>
    <n v="0"/>
  </r>
  <r>
    <s v="MX"/>
    <x v="3"/>
    <s v="CALICO 112"/>
    <s v="ASY-08080-01;A0"/>
    <s v="ASY, LC, CHASSIS, CALI"/>
    <n v="81.23"/>
    <n v="0"/>
    <n v="0"/>
    <n v="0"/>
  </r>
  <r>
    <s v="MX"/>
    <x v="3"/>
    <s v="CALICO 112"/>
    <s v="ASY-08113-01;B0"/>
    <s v="ASY, LC, CHASSIS, CALI"/>
    <n v="90.87"/>
    <n v="0"/>
    <n v="0"/>
    <n v="0"/>
  </r>
  <r>
    <s v="MX"/>
    <x v="3"/>
    <s v="CAMP"/>
    <s v="ASY-53843-110;C0"/>
    <s v="ASY,DN4,CHASSIS,CAMP ("/>
    <n v="4275.07"/>
    <n v="0"/>
    <n v="0"/>
    <n v="0"/>
  </r>
  <r>
    <s v="MX"/>
    <x v="3"/>
    <s v="CLEARWATER"/>
    <s v="ASY-03305-05;A0"/>
    <s v="ASY, DN, LC, CONNECTOR"/>
    <n v="4.05"/>
    <n v="4110.75"/>
    <n v="1015"/>
    <n v="85"/>
  </r>
  <r>
    <s v="MX"/>
    <x v="3"/>
    <s v="CLEARWATER"/>
    <s v="ASY-03834-03;A0"/>
    <s v="ASY,LC,STIFFENER,FRONT"/>
    <n v="10"/>
    <n v="10150"/>
    <n v="1015"/>
    <n v="85"/>
  </r>
  <r>
    <s v="MX"/>
    <x v="3"/>
    <s v="CLEARWATER"/>
    <s v="ASY-03835-04;A0"/>
    <s v="ASY, LC, TOP COVER, CL"/>
    <n v="11.71"/>
    <n v="13056.650000000001"/>
    <n v="1115"/>
    <n v="93"/>
  </r>
  <r>
    <s v="MX"/>
    <x v="3"/>
    <s v="CLEARWATER"/>
    <s v="ASY-03837-03;B0"/>
    <s v="ASY,LC,BOTTOM COVER, C"/>
    <n v="36.42"/>
    <n v="36966.300000000003"/>
    <n v="1015"/>
    <n v="85"/>
  </r>
  <r>
    <s v="MX"/>
    <x v="3"/>
    <s v="CLEARWATER"/>
    <s v="ASY-04161-01;A0"/>
    <s v="ASY,LC,STNR,CLEARWATER"/>
    <n v="5.38"/>
    <n v="0"/>
    <n v="0"/>
    <n v="0"/>
  </r>
  <r>
    <s v="MX"/>
    <x v="3"/>
    <s v="CLEARWATER"/>
    <s v="ASY-05325-02;A0"/>
    <s v="ASY DN LC CPU REAR CON"/>
    <n v="7"/>
    <n v="7105"/>
    <n v="1015"/>
    <n v="85"/>
  </r>
  <r>
    <s v="MX"/>
    <x v="3"/>
    <s v="CLEARWATER"/>
    <s v="ASY-05326-05;B0"/>
    <s v="ASY LC BOTTOM COVER CL"/>
    <n v="30.98"/>
    <n v="31444.7"/>
    <n v="1015"/>
    <n v="85"/>
  </r>
  <r>
    <s v="MX"/>
    <x v="3"/>
    <s v="CLEARWATER"/>
    <s v="ASY-05327-03;A0"/>
    <s v="ASY DN LC STIFFENER RI"/>
    <n v="7.43"/>
    <n v="7541.45"/>
    <n v="1015"/>
    <n v="85"/>
  </r>
  <r>
    <s v="MX"/>
    <x v="3"/>
    <s v="CLEARWATER"/>
    <s v="ASY-05328-05;A0"/>
    <s v="ASY DN LC STIFFENER LE"/>
    <n v="4.95"/>
    <n v="0"/>
    <n v="0"/>
    <n v="0"/>
  </r>
  <r>
    <s v="MX"/>
    <x v="3"/>
    <s v="CLEARWATER"/>
    <s v="ASY-05330-03;A0"/>
    <s v="ASY DN LC STIFFENER MI"/>
    <n v="4.6100000000000003"/>
    <n v="4679.1500000000005"/>
    <n v="1015"/>
    <n v="85"/>
  </r>
  <r>
    <s v="MX"/>
    <x v="3"/>
    <s v="CLEARWATER"/>
    <s v="ASY-05331-05;A0"/>
    <s v="MTL,DN,LC,TOP COVER, C"/>
    <n v="10.210000000000001"/>
    <n v="10363.150000000001"/>
    <n v="1015"/>
    <n v="85"/>
  </r>
  <r>
    <s v="MX"/>
    <x v="3"/>
    <s v="CLEARWATER"/>
    <s v="ASY-05688-04;A0"/>
    <s v="ASY, DN, LC, FACEPLATE"/>
    <n v="32.380000000000003"/>
    <n v="32865.700000000004"/>
    <n v="1015"/>
    <n v="85"/>
  </r>
  <r>
    <s v="MX"/>
    <x v="3"/>
    <s v="CLEARWATER"/>
    <s v="ASY-05739-04;A0"/>
    <s v="ASY,DN,LC,CHASSIS,CLEA"/>
    <n v="47.95"/>
    <n v="74562.25"/>
    <n v="1555"/>
    <n v="130"/>
  </r>
  <r>
    <s v="MX"/>
    <x v="3"/>
    <s v="CLEARWATER"/>
    <s v="ASY-05741-04;A0"/>
    <s v="ASY,DN,LC,CHASSIS,CLEA"/>
    <n v="47.73"/>
    <n v="40809.149999999994"/>
    <n v="855"/>
    <n v="72"/>
  </r>
  <r>
    <s v="MX"/>
    <x v="3"/>
    <s v="CLEARWATER"/>
    <s v="ASY-05859-02;B0"/>
    <s v="ASY, DN, LC, STIFFENER"/>
    <n v="13.52"/>
    <n v="0"/>
    <n v="0"/>
    <n v="0"/>
  </r>
  <r>
    <s v="MX"/>
    <x v="3"/>
    <s v="CLEARWATER"/>
    <s v="ASY-05860-01;A0"/>
    <s v="ASY, DN, LC, BOTTOM CO"/>
    <n v="43.29"/>
    <n v="0"/>
    <n v="0"/>
    <n v="0"/>
  </r>
  <r>
    <s v="MX"/>
    <x v="3"/>
    <s v="CLEARWATER"/>
    <s v="ASY-05922-02;A0"/>
    <s v="ASY, DN, LC, AIR BAFFL"/>
    <n v="6.27"/>
    <n v="0"/>
    <n v="0"/>
    <n v="0"/>
  </r>
  <r>
    <s v="MX"/>
    <x v="3"/>
    <s v="CLEARWATER"/>
    <s v="ASY-06019-01;A2"/>
    <s v="ASY DN LC AIR BAFFLE W"/>
    <n v="2.19"/>
    <n v="10654.35"/>
    <n v="4865"/>
    <n v="406"/>
  </r>
  <r>
    <s v="MX"/>
    <x v="3"/>
    <s v="CLEARWATER"/>
    <s v="MTL-04129-05;A1"/>
    <s v="MTL, DN,LC, TOP COVER,"/>
    <n v="10.8"/>
    <n v="0"/>
    <n v="0"/>
    <n v="0"/>
  </r>
  <r>
    <s v="MX"/>
    <x v="3"/>
    <s v="CLEARWATER"/>
    <s v="MTL-05782-03;A0"/>
    <s v="LYT,BRKT,PDU,CUSTOM,SM"/>
    <n v="37.49"/>
    <n v="0"/>
    <n v="0"/>
    <n v="0"/>
  </r>
  <r>
    <s v="MX"/>
    <x v="3"/>
    <s v="DALL"/>
    <s v="ASY-04979-06;B0"/>
    <s v="ASY,DN,FC,TRAY ASM,DAL"/>
    <n v="394.62"/>
    <n v="295965"/>
    <n v="750"/>
    <n v="63"/>
  </r>
  <r>
    <s v="MX"/>
    <x v="3"/>
    <s v="DALL"/>
    <s v="ASY-04985-04;B0"/>
    <s v="ASY,DN,FC,STIFFENER,TP"/>
    <n v="29.83"/>
    <n v="0"/>
    <n v="0"/>
    <n v="0"/>
  </r>
  <r>
    <s v="MX"/>
    <x v="3"/>
    <s v="DALL"/>
    <s v="ASY-04989-03;A0"/>
    <s v="ASY,DN,FC,COVER REAR,D"/>
    <n v="25.3"/>
    <n v="0"/>
    <n v="0"/>
    <n v="0"/>
  </r>
  <r>
    <s v="MX"/>
    <x v="3"/>
    <s v="DALL"/>
    <s v="ASY-05513-02;A0"/>
    <s v="ASY,DN,FC,STIFFENER,PC"/>
    <n v="13.98"/>
    <n v="0"/>
    <n v="0"/>
    <n v="0"/>
  </r>
  <r>
    <s v="MX"/>
    <x v="3"/>
    <s v="DALL"/>
    <s v="ASY-05514-03;A0"/>
    <s v="ASY,DN,FC,FAN BRACKET,"/>
    <n v="26.45"/>
    <n v="0"/>
    <n v="0"/>
    <n v="0"/>
  </r>
  <r>
    <s v="MX"/>
    <x v="3"/>
    <s v="DAWN"/>
    <s v="ASY-08164-01;A0"/>
    <s v="ASY,DN,FC,TRAY,ECLIPSE"/>
    <n v="452.54"/>
    <n v="0"/>
    <n v="0"/>
    <n v="0"/>
  </r>
  <r>
    <s v="MX"/>
    <x v="3"/>
    <s v="DAWN"/>
    <s v="ASY-08174-01;A0"/>
    <s v="ASY,DN,FC,ECLIPSE,TOP "/>
    <n v="8.43"/>
    <n v="4215"/>
    <n v="500"/>
    <n v="42"/>
  </r>
  <r>
    <s v="MX"/>
    <x v="3"/>
    <s v="DAWN"/>
    <s v="ASY-08176-01;A0"/>
    <s v="ASY,DN,FC,ECLIPSE,TOP "/>
    <n v="8.3699999999999992"/>
    <n v="4185"/>
    <n v="500"/>
    <n v="42"/>
  </r>
  <r>
    <s v="MX"/>
    <x v="3"/>
    <s v="DAWN"/>
    <s v="ASY-08239-01;A0"/>
    <s v="ASY,DN,FC2,DAWN,STIFFE"/>
    <n v="47.28"/>
    <n v="0"/>
    <n v="0"/>
    <n v="0"/>
  </r>
  <r>
    <s v="MX"/>
    <x v="3"/>
    <s v="DAWN"/>
    <s v="ASY-08243-01;A0"/>
    <s v="ASY,DN,FC,TRAY,DAWN,AS"/>
    <n v="581.57000000000005"/>
    <n v="0"/>
    <n v="0"/>
    <n v="0"/>
  </r>
  <r>
    <s v="MX"/>
    <x v="3"/>
    <s v="DAWN"/>
    <s v="ASY-08246-01;A0"/>
    <s v="ASY,DN,FC,DAWN,CENTER "/>
    <n v="27.52"/>
    <n v="0"/>
    <n v="0"/>
    <n v="0"/>
  </r>
  <r>
    <s v="MX"/>
    <x v="3"/>
    <s v="DAWN"/>
    <s v="ASY-08248-01;A0"/>
    <s v="ASY,DN,FC,DAWN,CENTER "/>
    <n v="27.83"/>
    <n v="0"/>
    <n v="0"/>
    <n v="0"/>
  </r>
  <r>
    <s v="MX"/>
    <x v="3"/>
    <s v="DAWN"/>
    <s v="ASY-08249-01;A0"/>
    <s v="ASY,DN,FC2,DAWN,GUIDEP"/>
    <n v="27.63"/>
    <n v="0"/>
    <n v="0"/>
    <n v="0"/>
  </r>
  <r>
    <s v="MX"/>
    <x v="3"/>
    <s v="DENALI"/>
    <s v="ASY-03947-05;A0"/>
    <s v="ASY,DN,OTTER LAKE,TEST"/>
    <n v="299.99"/>
    <n v="0"/>
    <n v="0"/>
    <n v="0"/>
  </r>
  <r>
    <s v="MX"/>
    <x v="3"/>
    <s v="DENALI"/>
    <s v="ASY-04106-02;A0"/>
    <s v="ASY,DN,FILLER,PSU"/>
    <n v="5.92"/>
    <n v="0"/>
    <n v="0"/>
    <n v="0"/>
  </r>
  <r>
    <s v="MX"/>
    <x v="3"/>
    <s v="DENALI"/>
    <s v="ASY-04339-06;A0"/>
    <s v="ASY,DN,LC,TOP,COVER,SI"/>
    <n v="11.67"/>
    <n v="11039.82"/>
    <n v="946"/>
    <n v="79"/>
  </r>
  <r>
    <s v="MX"/>
    <x v="3"/>
    <s v="DENALI"/>
    <s v="ASY-04720-02;A1"/>
    <s v="ASY,DN,LC,STIFFENER,MI"/>
    <n v="3.2"/>
    <n v="1651.2"/>
    <n v="516"/>
    <n v="43"/>
  </r>
  <r>
    <s v="MX"/>
    <x v="3"/>
    <s v="DENALI"/>
    <s v="ASY-04958-03;A0"/>
    <s v="ASY, DENALI, RACK KIT,"/>
    <n v="183.26"/>
    <n v="70921.62"/>
    <n v="387"/>
    <n v="33"/>
  </r>
  <r>
    <s v="MX"/>
    <x v="3"/>
    <s v="DENALI"/>
    <s v="ASY-04959-03;A0"/>
    <s v="ASY, DENALI, RACK KIT,"/>
    <n v="146.44"/>
    <n v="0"/>
    <n v="0"/>
    <n v="0"/>
  </r>
  <r>
    <s v="MX"/>
    <x v="3"/>
    <s v="DENALI"/>
    <s v="ASY-05236-02;A0"/>
    <s v="ASY MTL DN FC BRACKET "/>
    <n v="10.98"/>
    <n v="10859.220000000001"/>
    <n v="989"/>
    <n v="83"/>
  </r>
  <r>
    <s v="MX"/>
    <x v="3"/>
    <s v="DENALI"/>
    <s v="ASY-05237-02;A0"/>
    <s v="ASY,DN,FC,BRACKET,TMP3"/>
    <n v="13.01"/>
    <n v="0"/>
    <n v="0"/>
    <n v="0"/>
  </r>
  <r>
    <s v="MX"/>
    <x v="3"/>
    <s v="DENALI"/>
    <s v="ASY-05238-02;A0"/>
    <s v="ASY MTL DN FC STIFFENE"/>
    <n v="5.34"/>
    <n v="26406.3"/>
    <n v="4945"/>
    <n v="413"/>
  </r>
  <r>
    <s v="MX"/>
    <x v="3"/>
    <s v="DENALI"/>
    <s v="ASY-05240-02;A0"/>
    <s v="ASY DN STIFFENER PCB D"/>
    <n v="4.82"/>
    <n v="0"/>
    <n v="0"/>
    <n v="0"/>
  </r>
  <r>
    <s v="MX"/>
    <x v="3"/>
    <s v="DENALI"/>
    <s v="ASY-05360-01;A0"/>
    <s v="ASY DN FC BRACKET TMP3"/>
    <n v="12.51"/>
    <n v="0"/>
    <n v="0"/>
    <n v="0"/>
  </r>
  <r>
    <s v="MX"/>
    <x v="3"/>
    <s v="DENALI"/>
    <s v="ASY-05719-01;B1"/>
    <s v="ASY,DN,LC,BLANK, PAINT"/>
    <n v="31.58"/>
    <n v="184900.9"/>
    <n v="5855"/>
    <n v="488"/>
  </r>
  <r>
    <s v="MX"/>
    <x v="3"/>
    <s v="DENALI"/>
    <s v="MTL-03561-02;A0"/>
    <s v="MTL,DN16,FC,TEST CARD,"/>
    <n v="15.85"/>
    <n v="0"/>
    <n v="0"/>
    <n v="0"/>
  </r>
  <r>
    <s v="MX"/>
    <x v="3"/>
    <s v="DRAGONFLY"/>
    <s v="ASY-05241-02;A0"/>
    <s v="ASY,DN,FC,COVER,REAR,D"/>
    <n v="13.2"/>
    <n v="115830"/>
    <n v="8775"/>
    <n v="732"/>
  </r>
  <r>
    <s v="MX"/>
    <x v="3"/>
    <s v="DRAGONFLY"/>
    <s v="ASY-05266-05;D0"/>
    <s v="ASY,DN,FC,TRAY ASM,DRA"/>
    <n v="193.82"/>
    <n v="2156635.14"/>
    <n v="11127"/>
    <n v="928"/>
  </r>
  <r>
    <s v="MX"/>
    <x v="3"/>
    <s v="DRAGONFLY"/>
    <s v="MTL-03945-02;A0"/>
    <s v="MTL,DN,FC,COVER,REAR,D"/>
    <n v="7.76"/>
    <n v="0"/>
    <n v="0"/>
    <n v="0"/>
  </r>
  <r>
    <s v="MX"/>
    <x v="3"/>
    <s v="ECLIPSE"/>
    <s v="ASY-08172-01;A0"/>
    <s v="ASY,DN,FC,ECLIPSE,STIF"/>
    <n v="21.61"/>
    <n v="0"/>
    <n v="0"/>
    <n v="0"/>
  </r>
  <r>
    <s v="MX"/>
    <x v="3"/>
    <s v="ECLIPSE"/>
    <s v="ASY-08178-01;A0"/>
    <s v="ASY,DN,FC,BRACKET,ECLI"/>
    <n v="32.47"/>
    <n v="0"/>
    <n v="0"/>
    <n v="0"/>
  </r>
  <r>
    <s v="MX"/>
    <x v="3"/>
    <s v="ECLIPSE"/>
    <s v="ASY-08180-01;A0"/>
    <s v="ASY,DN,FC,COVER REAR,E"/>
    <n v="10.47"/>
    <n v="0"/>
    <n v="0"/>
    <n v="0"/>
  </r>
  <r>
    <s v="MX"/>
    <x v="3"/>
    <s v="ECLIPSE"/>
    <s v="ASY-08181-01;A0"/>
    <s v="ASY,DN,FC,COVER,ECLIPS"/>
    <n v="10.84"/>
    <n v="0"/>
    <n v="0"/>
    <n v="0"/>
  </r>
  <r>
    <s v="MX"/>
    <x v="3"/>
    <s v="ECLIPSE"/>
    <s v="ASY-08392-01;A0"/>
    <s v="ASY,DN,FC2,MIDNIGHT,ST"/>
    <n v="17.41"/>
    <n v="2089.1999999999998"/>
    <n v="120"/>
    <n v="10"/>
  </r>
  <r>
    <s v="MX"/>
    <x v="3"/>
    <s v="ELDRIDGE"/>
    <s v="ASY-03410-04;A1"/>
    <s v="ASY,DN,FC,COVER REAR,E"/>
    <n v="18.25"/>
    <n v="164414.25"/>
    <n v="9009"/>
    <n v="751"/>
  </r>
  <r>
    <s v="MX"/>
    <x v="3"/>
    <s v="ELDRIDGE"/>
    <s v="ASY-03420-05;A0"/>
    <s v="ASY,DN,FC,STIFFENER,PC"/>
    <n v="8.98"/>
    <n v="80900.820000000007"/>
    <n v="9009"/>
    <n v="751"/>
  </r>
  <r>
    <s v="MX"/>
    <x v="3"/>
    <s v="ELDRIDGE"/>
    <s v="ASY-03750-05;A0"/>
    <s v="ASY,DN,FC,STIFFENER,EL"/>
    <n v="12.13"/>
    <n v="0"/>
    <n v="0"/>
    <n v="0"/>
  </r>
  <r>
    <s v="MX"/>
    <x v="3"/>
    <s v="ELDRIDGE"/>
    <s v="ASY-03792-09;D0"/>
    <s v="ASY DN FC TRAY ASM ELD"/>
    <n v="193.04"/>
    <n v="1592000.88"/>
    <n v="8247"/>
    <n v="688"/>
  </r>
  <r>
    <s v="MX"/>
    <x v="3"/>
    <s v="ELDRIDGE"/>
    <s v="ASY-05354-01;B0"/>
    <s v="ASY DN FC STIFFENER TP"/>
    <n v="14.15"/>
    <n v="141627.35"/>
    <n v="10009"/>
    <n v="835"/>
  </r>
  <r>
    <s v="MX"/>
    <x v="3"/>
    <s v="ELDRIDGE"/>
    <s v="ASY-05359-01;A0"/>
    <s v="ASY DN FC COVER REAR E"/>
    <n v="17.71"/>
    <n v="79429.350000000006"/>
    <n v="4485"/>
    <n v="374"/>
  </r>
  <r>
    <s v="MX"/>
    <x v="3"/>
    <s v="ELDRIDGE"/>
    <s v="ASY-54781-109;A0"/>
    <s v="ASY, TOP LEVEL, NORTH "/>
    <n v="5737.48"/>
    <n v="0"/>
    <n v="0"/>
    <n v="0"/>
  </r>
  <r>
    <s v="MX"/>
    <x v="3"/>
    <s v="ELDRIDGE-S"/>
    <s v="ASY-05366-05;A1"/>
    <s v="ASY,DN,FC,TRAY ASM,ELD"/>
    <n v="295.88"/>
    <n v="0"/>
    <n v="0"/>
    <n v="0"/>
  </r>
  <r>
    <s v="MX"/>
    <x v="3"/>
    <s v="HOGAN"/>
    <s v="ASY-07642-01;A0"/>
    <s v="ASY,DN LC,TOP COVER AS"/>
    <n v="12.15"/>
    <n v="0"/>
    <n v="0"/>
    <n v="0"/>
  </r>
  <r>
    <s v="MX"/>
    <x v="3"/>
    <s v="HOGAN"/>
    <s v="ASY-07643-01;A0"/>
    <s v="ASY,DN LC,BOTTOM COVER"/>
    <n v="14.06"/>
    <n v="0"/>
    <n v="0"/>
    <n v="0"/>
  </r>
  <r>
    <s v="MX"/>
    <x v="3"/>
    <s v="HOGAN"/>
    <s v="ASY-07650-01;A0"/>
    <s v="ASY, DN, LC, CPU, REAR"/>
    <n v="5.29"/>
    <n v="0"/>
    <n v="0"/>
    <n v="0"/>
  </r>
  <r>
    <s v="MX"/>
    <x v="3"/>
    <s v="HOGAN"/>
    <s v="ASY-08047-01;A1"/>
    <s v="ASY,DN,LC,HOGAN,BB,NUT"/>
    <n v="6.21"/>
    <n v="310.5"/>
    <n v="50"/>
    <n v="5"/>
  </r>
  <r>
    <s v="MX"/>
    <x v="3"/>
    <s v="KANTISHNA"/>
    <s v="ASY-55672-106;A0"/>
    <s v="ASY, DN12, CHASSIS, TO"/>
    <n v="9689.93"/>
    <n v="4360468.5"/>
    <n v="450"/>
    <n v="38"/>
  </r>
  <r>
    <s v="MX"/>
    <x v="3"/>
    <s v="MCKINLEY"/>
    <s v="ASY-03297-06;B0"/>
    <s v="ASY, LC, TOP COVER, CA"/>
    <n v="13.08"/>
    <n v="6121.44"/>
    <n v="468"/>
    <n v="39"/>
  </r>
  <r>
    <s v="MX"/>
    <x v="3"/>
    <s v="MCKINLEY"/>
    <s v="ASY-03298-08;A1"/>
    <s v="ASY, LC, BOTTOM COVER,"/>
    <n v="27.5"/>
    <n v="16830"/>
    <n v="612"/>
    <n v="51"/>
  </r>
  <r>
    <s v="MX"/>
    <x v="3"/>
    <s v="MCKINLEY"/>
    <s v="ASY-04850-01;A0"/>
    <s v="ASY, LC, STIFFENER, LA"/>
    <n v="17.510000000000002"/>
    <n v="9805.6"/>
    <n v="560"/>
    <n v="47"/>
  </r>
  <r>
    <s v="MX"/>
    <x v="3"/>
    <s v="MIDNIGHT"/>
    <s v="ASY-07126-02;A0"/>
    <s v="ASY,DN,FC,BRACKET,TMP3"/>
    <n v="13.63"/>
    <n v="0"/>
    <n v="0"/>
    <n v="0"/>
  </r>
  <r>
    <s v="MX"/>
    <x v="3"/>
    <s v="NORTHFACE"/>
    <s v="ASY-56832-124;B0"/>
    <s v="ASY, DN8, TOP LEVEL, C"/>
    <n v="5798.97"/>
    <n v="1067010.48"/>
    <n v="184"/>
    <n v="16"/>
  </r>
  <r>
    <s v="MX"/>
    <x v="3"/>
    <s v="OOB-FC12"/>
    <s v="ASY-03523-12;A0"/>
    <s v="ASY,DN,OOB-FC8,TRAY, T"/>
    <n v="404.46"/>
    <n v="0"/>
    <n v="0"/>
    <n v="0"/>
  </r>
  <r>
    <s v="MX"/>
    <x v="3"/>
    <s v="OOB-FC12"/>
    <s v="ASY-04000-01;A0"/>
    <s v="ASY,DN,FC,FAN PCB BRAC"/>
    <n v="10.84"/>
    <n v="0"/>
    <n v="0"/>
    <n v="0"/>
  </r>
  <r>
    <s v="MX"/>
    <x v="3"/>
    <s v="OOB-FC12"/>
    <s v="ASY-04002-02;B1"/>
    <s v="ASY,DN,FC,STIFFENER,TP"/>
    <n v="18.239999999999998"/>
    <n v="0"/>
    <n v="0"/>
    <n v="0"/>
  </r>
  <r>
    <s v="MX"/>
    <x v="3"/>
    <s v="OOB-FC12"/>
    <s v="ASY-04004-07;B0"/>
    <s v="ASY,DN,OOB-FC4,TRAY, T"/>
    <n v="483"/>
    <n v="0"/>
    <n v="0"/>
    <n v="0"/>
  </r>
  <r>
    <s v="MX"/>
    <x v="3"/>
    <s v="OOB-FC12"/>
    <s v="ASY-04686-05;A0"/>
    <s v="ASY,DN,OOB-FC16,TEST C"/>
    <n v="662.51"/>
    <n v="0"/>
    <n v="0"/>
    <n v="0"/>
  </r>
  <r>
    <s v="MX"/>
    <x v="3"/>
    <s v="OOB-FC12"/>
    <s v="ASY-04693-01;A0"/>
    <s v="ASY,DN16,FC,TEST CARD,"/>
    <n v="17.13"/>
    <n v="0"/>
    <n v="0"/>
    <n v="0"/>
  </r>
  <r>
    <s v="MX"/>
    <x v="3"/>
    <s v="OTHER"/>
    <s v="ASY-03299-06;A0"/>
    <s v="ASY, LC, STIFFENER, FR"/>
    <n v="9.5500000000000007"/>
    <n v="4469.4000000000005"/>
    <n v="468"/>
    <n v="39"/>
  </r>
  <r>
    <s v="MX"/>
    <x v="3"/>
    <s v="OTHER"/>
    <s v="ASY-04948-06;A0"/>
    <s v="ASY, LC, CHASSIS, MICR"/>
    <n v="113.32"/>
    <n v="84990"/>
    <n v="750"/>
    <n v="63"/>
  </r>
  <r>
    <s v="MX"/>
    <x v="3"/>
    <s v="OTTER LAKE"/>
    <s v="ASY-03271-01;A0"/>
    <s v="ASY,DENALI,OTTER LAKE,"/>
    <n v="6.62"/>
    <n v="15186.28"/>
    <n v="2294"/>
    <n v="192"/>
  </r>
  <r>
    <s v="MX"/>
    <x v="3"/>
    <s v="OTTER LAKE"/>
    <s v="ASY-03272-01;A0"/>
    <s v="ASY,DENALI,OTTER LAKE,"/>
    <n v="3.9"/>
    <n v="10514.4"/>
    <n v="2696"/>
    <n v="225"/>
  </r>
  <r>
    <s v="MX"/>
    <x v="3"/>
    <s v="OTTER LAKE"/>
    <s v="ASY-03579-03;A0"/>
    <s v="ASY,DN,OL,SSD,COVER,PL"/>
    <n v="2.72"/>
    <n v="11913.6"/>
    <n v="4380"/>
    <n v="365"/>
  </r>
  <r>
    <s v="MX"/>
    <x v="3"/>
    <s v="OTTER LAKE"/>
    <s v="ASY-04142-02;A0"/>
    <s v="ASY,DENALI,HORSESHOE L"/>
    <n v="9.3699999999999992"/>
    <n v="21494.78"/>
    <n v="2294"/>
    <n v="192"/>
  </r>
  <r>
    <s v="MX"/>
    <x v="3"/>
    <s v="OTTER LAKE"/>
    <s v="ASY-04143-01;B0"/>
    <s v="ASY,DENALI,HORSESHOE L"/>
    <n v="5.1100000000000003"/>
    <n v="11722.34"/>
    <n v="2294"/>
    <n v="192"/>
  </r>
  <r>
    <s v="MX"/>
    <x v="3"/>
    <s v="OTTER LAKE"/>
    <s v="ASY-05733-04;A0"/>
    <s v="ASY,OTTER LAKE,CHASSIS"/>
    <n v="84.38"/>
    <n v="262421.8"/>
    <n v="3110"/>
    <n v="260"/>
  </r>
  <r>
    <s v="MX"/>
    <x v="3"/>
    <s v="OTTER LAKE"/>
    <s v="ASY-05735-04;A0"/>
    <s v="ASY,HS LAKE, CHAS, BAS"/>
    <n v="70.14"/>
    <n v="263025"/>
    <n v="3750"/>
    <n v="313"/>
  </r>
  <r>
    <s v="MX"/>
    <x v="3"/>
    <s v="SAVAGE 112"/>
    <s v="ASY-08121-02;B0"/>
    <s v="ASY,DN,FC,TRAY ASM,SAV"/>
    <n v="323.45999999999998"/>
    <n v="8086.4999999999991"/>
    <n v="25"/>
    <n v="3"/>
  </r>
  <r>
    <s v="MX"/>
    <x v="3"/>
    <s v="SAVAGE 112"/>
    <s v="ASY-08159-01;A0"/>
    <s v="ASY,DN,FC,TRAY,SAVAGE1"/>
    <n v="268.36"/>
    <n v="0"/>
    <n v="0"/>
    <n v="0"/>
  </r>
  <r>
    <s v="MX"/>
    <x v="3"/>
    <s v="SHADE"/>
    <s v="ASY-07111-04;A0"/>
    <s v="ASY,DN,FC,TRAY ASM,MID"/>
    <n v="299.33"/>
    <n v="17959.8"/>
    <n v="60"/>
    <n v="5"/>
  </r>
  <r>
    <s v="MX"/>
    <x v="3"/>
    <s v="SHADE"/>
    <s v="ASY-07122-01;02"/>
    <s v="ASY,DN,FC,TRAY ASM,SHA"/>
    <n v="227.17"/>
    <n v="0"/>
    <n v="0"/>
    <n v="0"/>
  </r>
  <r>
    <s v="MX"/>
    <x v="3"/>
    <s v="SHADE"/>
    <s v="ASY-07123-03;A1"/>
    <s v="ASY,DN,FC,TRAY ASM,SHA"/>
    <n v="274.13"/>
    <n v="69629.02"/>
    <n v="254"/>
    <n v="22"/>
  </r>
  <r>
    <s v="MX"/>
    <x v="3"/>
    <s v="SHADE"/>
    <s v="ASY-07125-03;A0"/>
    <s v="ASY,DN,FC,COVER REAR,S"/>
    <n v="9.39"/>
    <n v="0"/>
    <n v="0"/>
    <n v="0"/>
  </r>
  <r>
    <s v="MX"/>
    <x v="3"/>
    <s v="SHADE"/>
    <s v="ASY-07816-02;A0"/>
    <s v="ASY,DN,FC,SHADE,CENTER"/>
    <n v="18.98"/>
    <n v="1898"/>
    <n v="100"/>
    <n v="9"/>
  </r>
  <r>
    <s v="MX"/>
    <x v="3"/>
    <s v="SHADE"/>
    <s v="ASY-07850-03;A0"/>
    <s v="ASY,DN,FC,SHADE,CENTER"/>
    <n v="6.03"/>
    <n v="940.68000000000006"/>
    <n v="156"/>
    <n v="13"/>
  </r>
  <r>
    <s v="MX"/>
    <x v="3"/>
    <s v="SHADE"/>
    <s v="ASY-07868-03;A0"/>
    <s v="ASY,DN,FC,COVER,SHADE"/>
    <n v="6.06"/>
    <n v="1999.8"/>
    <n v="330"/>
    <n v="28"/>
  </r>
  <r>
    <s v="MX"/>
    <x v="3"/>
    <s v="SKYLINE"/>
    <s v="ASY-04548-02;A0"/>
    <s v="ASY,DN16,OOB MP NUT PL"/>
    <n v="3.11"/>
    <n v="0"/>
    <n v="0"/>
    <n v="0"/>
  </r>
  <r>
    <s v="MX"/>
    <x v="3"/>
    <s v="SKYLINE"/>
    <s v="ASY-04549-03;A0"/>
    <s v="ASY,DN16,OOB NORTH MP "/>
    <n v="3.48"/>
    <n v="0"/>
    <n v="0"/>
    <n v="0"/>
  </r>
  <r>
    <s v="MX"/>
    <x v="3"/>
    <s v="SKYLINE"/>
    <s v="ASY-05750-02;A0"/>
    <s v="ASY,DN16,HTC,CCB,CC,FI"/>
    <n v="41.75"/>
    <n v="0"/>
    <n v="0"/>
    <n v="0"/>
  </r>
  <r>
    <s v="MX"/>
    <x v="3"/>
    <s v="SKYLINE"/>
    <s v="ASY-05756-02;A0"/>
    <s v="ASY,DN16,HTC,PLENUM, C"/>
    <n v="14.03"/>
    <n v="0"/>
    <n v="0"/>
    <n v="0"/>
  </r>
  <r>
    <s v="MX"/>
    <x v="3"/>
    <s v="SKYLINE"/>
    <s v="ASY-07212-01;A0"/>
    <s v="ASY, DN16, OOB NORTH M"/>
    <n v="10.24"/>
    <n v="0"/>
    <n v="0"/>
    <n v="0"/>
  </r>
  <r>
    <s v="MX"/>
    <x v="3"/>
    <s v="SKYLINE"/>
    <s v="ASY-07213-01;A0"/>
    <s v="ASY, DN16, OOB MP NUT "/>
    <n v="10.24"/>
    <n v="0"/>
    <n v="0"/>
    <n v="0"/>
  </r>
  <r>
    <s v="MX"/>
    <x v="3"/>
    <s v="SKYLINE"/>
    <s v="ASY-07534-01;A0"/>
    <s v="ASY,DENALI,SKYINE,LT,W"/>
    <n v="10.24"/>
    <n v="0"/>
    <n v="0"/>
    <n v="0"/>
  </r>
  <r>
    <s v="MX"/>
    <x v="3"/>
    <s v="SKYLINE"/>
    <s v="ASY-07537-01;A0"/>
    <s v="ASY,DENALI,SKYINE,LT,W"/>
    <n v="10.24"/>
    <n v="0"/>
    <n v="0"/>
    <n v="0"/>
  </r>
  <r>
    <s v="MX"/>
    <x v="3"/>
    <s v="SKYLINE"/>
    <s v="ASY-54577-108;A0"/>
    <s v="ASY DN16 CHASSIS TOP L"/>
    <n v="11805.59"/>
    <n v="6327796.2400000002"/>
    <n v="536"/>
    <n v="45"/>
  </r>
  <r>
    <s v="MX"/>
    <x v="3"/>
    <s v="SLVRTHRONE"/>
    <s v="ASY-04331-08;A0"/>
    <s v="ASY,DN,LC,STIFFENER,RI"/>
    <n v="7.55"/>
    <n v="89112.65"/>
    <n v="11803"/>
    <n v="984"/>
  </r>
  <r>
    <s v="MX"/>
    <x v="3"/>
    <s v="SLVRTHRONE"/>
    <s v="ASY-04332-08;A0"/>
    <s v="ASY,DN,LC,STIFFENER,LE"/>
    <n v="6.73"/>
    <n v="0"/>
    <n v="0"/>
    <n v="0"/>
  </r>
  <r>
    <s v="MX"/>
    <x v="3"/>
    <s v="SLVRTHRONE"/>
    <s v="ASY-04338-03;A1"/>
    <s v="ASY,DN,LC,BOTTOM,COVER"/>
    <n v="34.869999999999997"/>
    <n v="86965.78"/>
    <n v="2494"/>
    <n v="208"/>
  </r>
  <r>
    <s v="MX"/>
    <x v="3"/>
    <s v="SLVRTHRONE"/>
    <s v="ASY-04719-02;A1"/>
    <s v="ASY,DN,LC,STIFFENER,MI"/>
    <n v="3.2"/>
    <n v="5740.8"/>
    <n v="1794"/>
    <n v="150"/>
  </r>
  <r>
    <s v="MX"/>
    <x v="3"/>
    <s v="WOLVERINE"/>
    <s v="ASY-05418-03;A0"/>
    <s v="ASY,DN, LC, BOTTOM COV"/>
    <n v="21.54"/>
    <n v="112438.79999999999"/>
    <n v="5220"/>
    <n v="435"/>
  </r>
  <r>
    <s v="MX"/>
    <x v="3"/>
    <s v="WOLVERINE"/>
    <s v="ASY-05420-05;B0"/>
    <s v="ASY, DN, LC, TOP COVER"/>
    <n v="7.56"/>
    <n v="32508"/>
    <n v="4300"/>
    <n v="359"/>
  </r>
  <r>
    <s v="MX"/>
    <x v="3"/>
    <s v="WOLVERINE"/>
    <s v="ASY-05421-04;A1"/>
    <s v="ASY, DN, LC, STIFFENER"/>
    <n v="5.14"/>
    <n v="0"/>
    <n v="0"/>
    <n v="0"/>
  </r>
  <r>
    <s v="MX"/>
    <x v="3"/>
    <s v="WOLVERINE"/>
    <s v="ASY-07580-01;A0"/>
    <s v="ASY, DN, LC, STIFFENER"/>
    <n v="9.5399999999999991"/>
    <n v="95399.999999999985"/>
    <n v="10000"/>
    <n v="834"/>
  </r>
  <r>
    <s v="MX"/>
    <x v="3"/>
    <s v="WOLVERINE"/>
    <s v="ASY-07980-01;A0"/>
    <s v="ASY, LC, CHASSIS, CALI"/>
    <n v="49.54"/>
    <n v="0"/>
    <n v="0"/>
    <n v="0"/>
  </r>
  <r>
    <s v="MX"/>
    <x v="3"/>
    <s v="WOLVERINE"/>
    <s v="MTL-05552-01;A0"/>
    <s v="MTL,DN,CALICO112,FAN B"/>
    <n v="4.21"/>
    <n v="0"/>
    <n v="0"/>
    <n v="0"/>
  </r>
  <r>
    <s v="MX"/>
    <x v="3"/>
    <s v="Y12"/>
    <s v="ASY-52415-114;A0"/>
    <s v="ASY,TOP LEVEL(TAN),BIS"/>
    <n v="6644.92"/>
    <n v="0"/>
    <n v="0"/>
    <n v="0"/>
  </r>
  <r>
    <s v="MX"/>
    <x v="3"/>
    <s v="Y4"/>
    <s v="ASY-52298-117;B0"/>
    <s v="ASY,TOP LEVEL (TAN) PR"/>
    <n v="1324.31"/>
    <n v="0"/>
    <n v="0"/>
    <n v="0"/>
  </r>
  <r>
    <s v="MX"/>
    <x v="4"/>
    <s v="FUJIKURA"/>
    <s v="N754000-11;A"/>
    <s v="FDF-102-RACK-UNIT"/>
    <n v="4997.97"/>
    <n v="9995.94"/>
    <n v="2"/>
    <n v="1"/>
  </r>
  <r>
    <s v="MX"/>
    <x v="5"/>
    <s v=""/>
    <s v="43500241-01;D"/>
    <s v="RET TRAY MB/LB MX14665"/>
    <n v="5.59"/>
    <n v="0"/>
    <n v="0"/>
    <n v="0"/>
  </r>
  <r>
    <s v="MX"/>
    <x v="5"/>
    <s v=""/>
    <s v="43500242-01;C"/>
    <s v="RET TRAY HB MX14665 NO"/>
    <n v="4.99"/>
    <n v="0"/>
    <n v="0"/>
    <n v="0"/>
  </r>
  <r>
    <s v="MX"/>
    <x v="5"/>
    <s v=""/>
    <s v="45601195-01;A"/>
    <s v="HOUSING ASSY,SX-165 AN"/>
    <n v="35.93"/>
    <n v="0"/>
    <n v="0"/>
    <n v="0"/>
  </r>
  <r>
    <s v="MX"/>
    <x v="5"/>
    <s v=""/>
    <s v="45601197-01;B"/>
    <s v="HOUSING,SX-128"/>
    <n v="53.05"/>
    <n v="0"/>
    <n v="0"/>
    <n v="0"/>
  </r>
  <r>
    <s v="MX"/>
    <x v="5"/>
    <s v=""/>
    <s v="45700440-01;B"/>
    <s v="ROTATIONAL MOUNTING BR"/>
    <n v="13.88"/>
    <n v="0"/>
    <n v="0"/>
    <n v="0"/>
  </r>
  <r>
    <s v="MX"/>
    <x v="5"/>
    <s v=""/>
    <s v="45700514-01;A"/>
    <s v="RET ADAPTER, LUX, MBX "/>
    <n v="3.92"/>
    <n v="0"/>
    <n v="0"/>
    <n v="0"/>
  </r>
  <r>
    <s v="MX"/>
    <x v="6"/>
    <s v=""/>
    <s v="B-20851;007"/>
    <s v="CHANNEL BASE"/>
    <n v="178.83"/>
    <n v="0"/>
    <n v="0"/>
    <n v="0"/>
  </r>
  <r>
    <s v="MX"/>
    <x v="7"/>
    <s v="ADASTRA"/>
    <s v="1080536-01;A"/>
    <s v="SUPPORT BUSBAR RIGHT A"/>
    <n v="55"/>
    <n v="174020"/>
    <n v="3164"/>
    <n v="264"/>
  </r>
  <r>
    <s v="MX"/>
    <x v="7"/>
    <s v="ADASTRA"/>
    <s v="1092510;A"/>
    <s v="ASSY FILLER 40IN TAYGE"/>
    <n v="24.86"/>
    <n v="43132.1"/>
    <n v="1735"/>
    <n v="145"/>
  </r>
  <r>
    <s v="MX"/>
    <x v="7"/>
    <s v="ADASTRA"/>
    <s v="1112089;A"/>
    <s v="FILLER 2GRU X 336IN IK"/>
    <n v="15.26"/>
    <n v="0"/>
    <n v="0"/>
    <n v="0"/>
  </r>
  <r>
    <s v="MX"/>
    <x v="7"/>
    <s v="ADASTRA"/>
    <s v="1125780-03;A"/>
    <s v="ASSY LUNA BAR LEFT CAB"/>
    <n v="332.27"/>
    <n v="0"/>
    <n v="0"/>
    <n v="0"/>
  </r>
  <r>
    <s v="MX"/>
    <x v="7"/>
    <s v="ADASTRA"/>
    <s v="1125780-03;B"/>
    <s v="ASSY LUNA BAR LEFT CAB"/>
    <n v="332.27"/>
    <n v="3395134.86"/>
    <n v="10218"/>
    <n v="852"/>
  </r>
  <r>
    <s v="MX"/>
    <x v="7"/>
    <s v="ADASTRA"/>
    <s v="1125781-03;B"/>
    <s v="ASSY LUNA BAR RIGHT CA"/>
    <n v="379.63"/>
    <n v="2264113.3199999998"/>
    <n v="5964"/>
    <n v="497"/>
  </r>
  <r>
    <s v="MX"/>
    <x v="7"/>
    <s v="ADASTRA"/>
    <s v="1125782;1"/>
    <s v="ASM, VERTICAL PDBB ADA"/>
    <n v="531.34"/>
    <n v="0"/>
    <n v="0"/>
    <n v="0"/>
  </r>
  <r>
    <s v="MX"/>
    <x v="7"/>
    <s v="ADASTRA"/>
    <s v="1152160;2"/>
    <s v="TOP BATTERY SHELF FILL"/>
    <n v="18.41"/>
    <n v="0"/>
    <n v="0"/>
    <n v="0"/>
  </r>
  <r>
    <s v="MX"/>
    <x v="7"/>
    <s v="ADASTRA"/>
    <s v="1156370-01;A"/>
    <s v="ASSY KYUBI MACHINE SHE"/>
    <n v="800"/>
    <n v="11520000"/>
    <n v="14400"/>
    <n v="1200"/>
  </r>
  <r>
    <s v="MX"/>
    <x v="7"/>
    <s v="ATHENA"/>
    <n v="1149937"/>
    <s v="Agora Frt Bkt, Asst, Ath"/>
    <n v="3.48"/>
    <n v="156600"/>
    <n v="45000"/>
    <n v="3750"/>
  </r>
  <r>
    <s v="MX"/>
    <x v="7"/>
    <s v="ATHENA"/>
    <n v="1149938"/>
    <s v="Agora Rear Bkt, Ath"/>
    <n v="0.67"/>
    <n v="30150"/>
    <n v="45000"/>
    <n v="3750"/>
  </r>
  <r>
    <s v="MX"/>
    <x v="7"/>
    <s v="ATHENA"/>
    <n v="1149941"/>
    <s v="Assy, PDBB, Back Plt, Ath"/>
    <n v="10.5"/>
    <n v="472500"/>
    <n v="45000"/>
    <n v="3750"/>
  </r>
  <r>
    <s v="MX"/>
    <x v="7"/>
    <s v="ATHENA"/>
    <n v="1153059"/>
    <s v="Back Plate Assy, Athena"/>
    <n v="3.18"/>
    <n v="143100"/>
    <n v="45000"/>
    <n v="3750"/>
  </r>
  <r>
    <s v="MX"/>
    <x v="7"/>
    <s v="ATHENA"/>
    <n v="1153063"/>
    <s v="Bolster Plate Assy, Athena"/>
    <n v="3.87"/>
    <n v="174150"/>
    <n v="45000"/>
    <n v="3750"/>
  </r>
  <r>
    <s v="MX"/>
    <x v="7"/>
    <s v="ATHENA"/>
    <n v="1156574"/>
    <s v="Back Plate Assy, Pebble Beach"/>
    <n v="3.26"/>
    <n v="146700"/>
    <n v="45000"/>
    <n v="3750"/>
  </r>
  <r>
    <s v="MX"/>
    <x v="7"/>
    <s v="ATHENA"/>
    <n v="1156579"/>
    <s v="Bolster Plate Assy, Pebble Beach"/>
    <n v="4.16"/>
    <n v="187200"/>
    <n v="45000"/>
    <n v="3750"/>
  </r>
  <r>
    <s v="MX"/>
    <x v="7"/>
    <s v="ATHENA"/>
    <n v="1160752"/>
    <s v="Chassis, Assy, Ath, w/out Honeycomb"/>
    <n v="65.92"/>
    <n v="2966400"/>
    <n v="45000"/>
    <n v="3750"/>
  </r>
  <r>
    <s v="MX"/>
    <x v="7"/>
    <s v="GLP"/>
    <s v="1144928;2"/>
    <s v="SHELF, MACH, AQ, I4, V"/>
    <n v="174.46"/>
    <n v="3892900.4400000004"/>
    <n v="22314"/>
    <n v="1860"/>
  </r>
  <r>
    <s v="MX"/>
    <x v="7"/>
    <s v="GLP"/>
    <s v="1144932-02"/>
    <s v="SHELF, W/PARKING SLOT, GHOSTLIKE"/>
    <n v="275.94"/>
    <n v="12316305.959999999"/>
    <n v="44634"/>
    <n v="3720"/>
  </r>
  <r>
    <s v="MX"/>
    <x v="7"/>
    <s v="GLP"/>
    <s v="1150223;1"/>
    <s v="FILLER 2RU X 3.4IN, IK"/>
    <n v="9.25"/>
    <n v="206404.5"/>
    <n v="22314"/>
    <n v="1860"/>
  </r>
  <r>
    <s v="MX"/>
    <x v="7"/>
    <s v="GLP"/>
    <s v="1158790;2"/>
    <s v="ASSY, SHELF, ACCESSORY"/>
    <n v="165.06"/>
    <n v="921364.92"/>
    <n v="5582"/>
    <n v="466"/>
  </r>
  <r>
    <s v="MX"/>
    <x v="7"/>
    <s v="GLP"/>
    <s v="1158812;2"/>
    <s v="ASSY,FILLER,RACK,GHOST"/>
    <n v="9.84"/>
    <n v="54926.879999999997"/>
    <n v="5582"/>
    <n v="466"/>
  </r>
  <r>
    <s v="MX"/>
    <x v="7"/>
    <s v="IKEA 3.0"/>
    <s v="X 07046590;B"/>
    <s v="AIR DAM SHELF CR"/>
    <n v="0.14000000000000001"/>
    <n v="0"/>
    <n v="0"/>
    <n v="0"/>
  </r>
  <r>
    <s v="MX"/>
    <x v="7"/>
    <s v="IKEA 4"/>
    <s v="1047860-01;A"/>
    <s v="CABLE TRAY MACHINE PUF"/>
    <n v="48.89"/>
    <n v="0"/>
    <n v="0"/>
    <n v="0"/>
  </r>
  <r>
    <s v="MX"/>
    <x v="7"/>
    <s v="IKEA 4"/>
    <s v="1049256;B"/>
    <s v="FILLER, 1GRU x 3.4in, "/>
    <n v="10.82"/>
    <n v="0"/>
    <n v="0"/>
    <n v="0"/>
  </r>
  <r>
    <s v="MX"/>
    <x v="7"/>
    <s v="IKEA 4"/>
    <s v="1081558;A"/>
    <s v=" FILLER ASSY, 2RU 3.36"/>
    <n v="10.11"/>
    <n v="144765.09"/>
    <n v="14319"/>
    <n v="1194"/>
  </r>
  <r>
    <s v="MX"/>
    <x v="7"/>
    <s v="IKEA 4"/>
    <s v="1096598;A"/>
    <s v="FILLER, 2RU, 18P4, IKE"/>
    <n v="23.68"/>
    <n v="0"/>
    <n v="0"/>
    <n v="0"/>
  </r>
  <r>
    <s v="MX"/>
    <x v="7"/>
    <s v="IKEA 4"/>
    <s v="1125721;A"/>
    <s v="FILLER, 09IN, IKEA 4"/>
    <n v="11.86"/>
    <n v="278899.76"/>
    <n v="23516"/>
    <n v="1960"/>
  </r>
  <r>
    <s v="MX"/>
    <x v="7"/>
    <s v="IKEA 4"/>
    <s v="1143115;A"/>
    <s v="ASSY, 2RU FILLER, 40 I"/>
    <n v="14.93"/>
    <n v="1255344.26"/>
    <n v="84082"/>
    <n v="7007"/>
  </r>
  <r>
    <s v="MX"/>
    <x v="7"/>
    <s v="IKEA SLIM"/>
    <s v="07129730;A"/>
    <s v="BRACKET 72RU BLANK IKE"/>
    <n v="2.5"/>
    <n v="271187.5"/>
    <n v="108475"/>
    <n v="9040"/>
  </r>
  <r>
    <s v="MX"/>
    <x v="7"/>
    <s v="IKEA SLIM"/>
    <s v="1046137;A"/>
    <s v="1 RU SUPPORT RACK HYPE"/>
    <n v="2.13"/>
    <n v="0"/>
    <n v="0"/>
    <n v="0"/>
  </r>
  <r>
    <s v="MX"/>
    <x v="7"/>
    <s v="INDUS"/>
    <s v="07140015;C"/>
    <s v="INDUS MAC SHELF I3S AS"/>
    <n v="126.74"/>
    <n v="0"/>
    <n v="0"/>
    <n v="0"/>
  </r>
  <r>
    <s v="MX"/>
    <x v="7"/>
    <s v="INDUS"/>
    <s v="1070777;A"/>
    <s v="SHELF INDUS 3CUB PDBB "/>
    <n v="285.94"/>
    <n v="0"/>
    <n v="0"/>
    <n v="0"/>
  </r>
  <r>
    <s v="MX"/>
    <x v="7"/>
    <s v="MARGARITA"/>
    <s v="1096437;A"/>
    <s v="MARGARITA BLINDMATE CO"/>
    <n v="0.36"/>
    <n v="113735.51999999999"/>
    <n v="315932"/>
    <n v="26328"/>
  </r>
  <r>
    <s v="MX"/>
    <x v="7"/>
    <s v="MARGARITA"/>
    <s v="1096522;A"/>
    <s v="IKEA 4 LEFT REAR SECUR"/>
    <n v="0.64"/>
    <n v="5760"/>
    <n v="9000"/>
    <n v="750"/>
  </r>
  <r>
    <s v="MX"/>
    <x v="7"/>
    <s v="MARGARITA"/>
    <s v="1096523;A"/>
    <s v="IKEA 4 RIGHT REAR SECU"/>
    <n v="0.59"/>
    <n v="5310"/>
    <n v="9000"/>
    <n v="750"/>
  </r>
  <r>
    <s v="MX"/>
    <x v="7"/>
    <s v="MARGARITA"/>
    <s v="1096525;A"/>
    <s v="MARGARITA FRONT COVER "/>
    <n v="1.33"/>
    <n v="13300"/>
    <n v="10000"/>
    <n v="834"/>
  </r>
  <r>
    <s v="MX"/>
    <x v="7"/>
    <s v="MARGARITA"/>
    <s v="1096526-01;A"/>
    <s v="MARGARITA FRONT COVER "/>
    <n v="1.66"/>
    <n v="27356.799999999999"/>
    <n v="16480"/>
    <n v="1374"/>
  </r>
  <r>
    <s v="MX"/>
    <x v="7"/>
    <s v="MARGARITA"/>
    <s v="1096756-02;A"/>
    <s v="MARGARITA LEFT FLOOR A"/>
    <n v="9"/>
    <n v="132840"/>
    <n v="14760"/>
    <n v="1230"/>
  </r>
  <r>
    <s v="MX"/>
    <x v="7"/>
    <s v="MARGARITA"/>
    <s v="1096758-02;A"/>
    <s v="MARGARITA RIGHT FLOOR "/>
    <n v="9.1999999999999993"/>
    <n v="126591.99999999999"/>
    <n v="13760"/>
    <n v="1147"/>
  </r>
  <r>
    <s v="MX"/>
    <x v="7"/>
    <s v="MARGARITA"/>
    <s v="1096772;2"/>
    <s v="MARGARITA IK3 MOUNT EA"/>
    <n v="0.49"/>
    <n v="0"/>
    <n v="0"/>
    <n v="0"/>
  </r>
  <r>
    <s v="MX"/>
    <x v="7"/>
    <s v="MARGARITA"/>
    <s v="1103822-01;A"/>
    <s v="ASM MARGARITA SAFTEY G"/>
    <n v="3.06"/>
    <n v="30600"/>
    <n v="10000"/>
    <n v="834"/>
  </r>
  <r>
    <s v="MX"/>
    <x v="7"/>
    <s v="MARGARITA"/>
    <s v="1125172;A"/>
    <s v="ASM COVER TOP MARGARIT"/>
    <n v="69.94"/>
    <n v="1055814.24"/>
    <n v="15096"/>
    <n v="1258"/>
  </r>
  <r>
    <s v="MX"/>
    <x v="7"/>
    <s v="MARGARITA"/>
    <s v="1127638-02;1"/>
    <s v="MARTINI FAN MODULE V2 "/>
    <n v="16.739999999999998"/>
    <n v="0"/>
    <n v="0"/>
    <n v="0"/>
  </r>
  <r>
    <s v="MX"/>
    <x v="7"/>
    <s v="MARGARITA"/>
    <s v="1127643-01;A"/>
    <s v="MARGARITA BRD MNT ASM"/>
    <n v="16.809999999999999"/>
    <n v="286845.83999999997"/>
    <n v="17064"/>
    <n v="1422"/>
  </r>
  <r>
    <s v="MX"/>
    <x v="7"/>
    <s v="MARGARITA"/>
    <s v="1127645-01;B"/>
    <s v="MARGARITA BASE ASSEMBL"/>
    <n v="96.83"/>
    <n v="1787481.8"/>
    <n v="18460"/>
    <n v="1539"/>
  </r>
  <r>
    <s v="MX"/>
    <x v="7"/>
    <s v="MARGARITA"/>
    <s v="1153308;1"/>
    <s v="ASSY, EAR, MOUNTING,RI"/>
    <n v="0.89"/>
    <n v="0"/>
    <n v="0"/>
    <n v="0"/>
  </r>
  <r>
    <s v="MX"/>
    <x v="7"/>
    <s v="MARGARITA"/>
    <s v="1153310;1"/>
    <s v="ASSY, EAR, MOUNTING,LE"/>
    <n v="0.89"/>
    <n v="0"/>
    <n v="0"/>
    <n v="0"/>
  </r>
  <r>
    <s v="MX"/>
    <x v="7"/>
    <s v="MARGARITA"/>
    <s v="1155532;1"/>
    <s v="NON-ACTIVE"/>
    <n v="13.25"/>
    <n v="0"/>
    <n v="0"/>
    <n v="0"/>
  </r>
  <r>
    <s v="MX"/>
    <x v="7"/>
    <s v="MARGARITA"/>
    <s v="1155532;A"/>
    <s v="MARGARITA FAN MODULE V"/>
    <n v="13.25"/>
    <n v="282278"/>
    <n v="21304"/>
    <n v="1776"/>
  </r>
  <r>
    <s v="MX"/>
    <x v="7"/>
    <s v="SEL MISC"/>
    <s v="1030849-01;A"/>
    <s v="SM LIFT BATTERY RB I3S"/>
    <n v="138.25"/>
    <n v="0"/>
    <n v="0"/>
    <n v="0"/>
  </r>
  <r>
    <s v="MX"/>
    <x v="7"/>
    <s v="SEL MISC"/>
    <s v="1048601;A"/>
    <s v="BLANK, 1.5 RUx19&quot;, WIT"/>
    <n v="1.23"/>
    <n v="8805.57"/>
    <n v="7159"/>
    <n v="597"/>
  </r>
  <r>
    <s v="MX"/>
    <x v="7"/>
    <s v="SEL MISC"/>
    <s v="1049393;A"/>
    <s v="CABLE SHELF ASSY INDEX"/>
    <n v="59"/>
    <n v="0"/>
    <n v="0"/>
    <n v="0"/>
  </r>
  <r>
    <s v="MX"/>
    <x v="7"/>
    <s v="SEL MISC"/>
    <s v="1072938;5"/>
    <s v="SEIS IRS2 KIT IKEA SLI"/>
    <n v="311.38"/>
    <n v="0"/>
    <n v="0"/>
    <n v="0"/>
  </r>
  <r>
    <s v="MX"/>
    <x v="7"/>
    <s v="SEL MISC"/>
    <s v="1111114;A"/>
    <s v="ASSY TOPHAT AIR"/>
    <n v="60.92"/>
    <n v="0"/>
    <n v="0"/>
    <n v="0"/>
  </r>
  <r>
    <s v="MX"/>
    <x v="7"/>
    <s v="SPICY 16"/>
    <s v="1152608;A"/>
    <s v="BRACKET REAR SWISS ARM"/>
    <n v="2.17"/>
    <n v="715444.66"/>
    <n v="329698"/>
    <n v="27475"/>
  </r>
  <r>
    <s v="MX"/>
    <x v="7"/>
    <s v="TAYGETA"/>
    <s v="1044061-01;A"/>
    <s v="ANTARES SHELF IKEA4"/>
    <n v="347.43"/>
    <n v="0"/>
    <n v="0"/>
    <n v="0"/>
  </r>
  <r>
    <s v="MX"/>
    <x v="7"/>
    <s v="TAYGETA"/>
    <s v="1063474-01;B"/>
    <s v="ASSY, BIG RIG LUNA BAR"/>
    <n v="298.49"/>
    <n v="409528.28"/>
    <n v="1372"/>
    <n v="115"/>
  </r>
  <r>
    <s v="MX"/>
    <x v="7"/>
    <s v="TAYGETA"/>
    <s v="1063475-01;B"/>
    <s v="ASSY, BIG RIG LUNA BAR"/>
    <n v="298.87"/>
    <n v="0"/>
    <n v="0"/>
    <n v="0"/>
  </r>
  <r>
    <s v="MX"/>
    <x v="7"/>
    <s v="TAYGETA"/>
    <s v="1137080;A"/>
    <s v="TAYGETA ASSY IKEA4 RTO"/>
    <n v="158.24"/>
    <n v="165835.52000000002"/>
    <n v="1048"/>
    <n v="88"/>
  </r>
  <r>
    <s v="MX"/>
    <x v="7"/>
    <s v="VIPERFISH"/>
    <s v="1087879;A"/>
    <s v="RIGHT WALL INDEX VIPER"/>
    <n v="6.55"/>
    <n v="98426.849999999991"/>
    <n v="15027"/>
    <n v="1253"/>
  </r>
  <r>
    <s v="MX"/>
    <x v="7"/>
    <s v="VIPERFISH"/>
    <s v="1087880;A"/>
    <s v="LEFT WALL INDEX VIPERF"/>
    <n v="6.55"/>
    <n v="124843"/>
    <n v="19060"/>
    <n v="1589"/>
  </r>
  <r>
    <s v="MX"/>
    <x v="7"/>
    <s v="VIPERFISH"/>
    <s v="1088526-01;A"/>
    <s v="ASSEMBLY SHIELD CABLE "/>
    <n v="4.51"/>
    <n v="213038.87"/>
    <n v="47237"/>
    <n v="3937"/>
  </r>
  <r>
    <s v="MX"/>
    <x v="7"/>
    <s v="VIPERFISH"/>
    <s v="1088537-01;A"/>
    <s v="BATTERY SHIELD VIPERFI"/>
    <n v="184.09"/>
    <n v="666405.80000000005"/>
    <n v="3620"/>
    <n v="302"/>
  </r>
  <r>
    <s v="MX"/>
    <x v="7"/>
    <s v="VIPERFISH"/>
    <s v="1089911-01;A"/>
    <s v="SHELF IDX IKEA4 VIPERF"/>
    <n v="172.06"/>
    <n v="6762646.2400000002"/>
    <n v="39304"/>
    <n v="3276"/>
  </r>
  <r>
    <s v="MX"/>
    <x v="7"/>
    <s v="VIPERFISH"/>
    <s v="1090308-01;A"/>
    <s v="MARGARITA MID RACK SUP"/>
    <n v="127.24"/>
    <n v="377902.8"/>
    <n v="2970"/>
    <n v="248"/>
  </r>
  <r>
    <s v="MX"/>
    <x v="7"/>
    <s v="VIPERFISH"/>
    <s v="1101095-01;1.4"/>
    <s v="CABLE SHELF ASSY, INDE"/>
    <n v="28.72"/>
    <n v="0"/>
    <n v="0"/>
    <n v="0"/>
  </r>
  <r>
    <s v="MX"/>
    <x v="7"/>
    <s v="VIPERFISH"/>
    <s v="1125726;B"/>
    <s v="BLANK,ENDURANCE,7.5RU,"/>
    <n v="6.88"/>
    <n v="6549.76"/>
    <n v="952"/>
    <n v="80"/>
  </r>
  <r>
    <s v="MX"/>
    <x v="7"/>
    <s v="VIPERFISH"/>
    <s v="1145461;A"/>
    <s v="SHELF ASSY, VF, W/ KEY"/>
    <n v="738.72"/>
    <n v="25966008"/>
    <n v="35150"/>
    <n v="2930"/>
  </r>
  <r>
    <s v="MX"/>
    <x v="7"/>
    <s v="VLP"/>
    <s v="1112082;B"/>
    <s v="CABLE TRAY, MACHINE, V"/>
    <n v="22.92"/>
    <n v="2750.4"/>
    <n v="120"/>
    <n v="10"/>
  </r>
  <r>
    <s v="MX"/>
    <x v="7"/>
    <s v="VLP"/>
    <s v="1112087;A"/>
    <s v="FILLER 1GRU X 336IN IK"/>
    <n v="10.72"/>
    <n v="0"/>
    <n v="0"/>
    <n v="0"/>
  </r>
  <r>
    <s v="MX"/>
    <x v="7"/>
    <s v="VLP"/>
    <s v="1112091;A"/>
    <s v="FILLER, PAYLOAD, ADJUS"/>
    <n v="28.31"/>
    <n v="42804.72"/>
    <n v="1512"/>
    <n v="126"/>
  </r>
  <r>
    <s v="MX"/>
    <x v="7"/>
    <s v="VLP"/>
    <s v="1112181;A"/>
    <s v="FILLER, PAYLOAD, ADJUS"/>
    <n v="21.34"/>
    <n v="78872.639999999999"/>
    <n v="3696"/>
    <n v="308"/>
  </r>
  <r>
    <s v="MX"/>
    <x v="7"/>
    <s v="VLP"/>
    <s v="1128024;A"/>
    <s v="SHELF IKEA 4 VIPERLITE"/>
    <n v="177.71"/>
    <n v="0"/>
    <n v="0"/>
    <n v="0"/>
  </r>
  <r>
    <s v="MX"/>
    <x v="7"/>
    <s v="VLP"/>
    <s v="1139682;A"/>
    <s v="BASE PARKING SHELF,RIG"/>
    <n v="184.83"/>
    <n v="7070671.6500000004"/>
    <n v="38255"/>
    <n v="3188"/>
  </r>
  <r>
    <s v="MX"/>
    <x v="7"/>
    <s v="VLP"/>
    <s v="1139689;A"/>
    <s v="BASE PARKING SHELF,RIG"/>
    <n v="3.14"/>
    <n v="85938.66"/>
    <n v="27369"/>
    <n v="2281"/>
  </r>
  <r>
    <s v="MX"/>
    <x v="7"/>
    <s v="VLP"/>
    <s v="1139690;A"/>
    <s v="BASE PARKING SHELF,LEF"/>
    <n v="3.14"/>
    <n v="85938.66"/>
    <n v="27369"/>
    <n v="2281"/>
  </r>
  <r>
    <s v="MX"/>
    <x v="7"/>
    <s v="VLP"/>
    <s v="1139691;A"/>
    <s v="BASE PARKING SHELF,LIT"/>
    <n v="12.92"/>
    <n v="0"/>
    <n v="0"/>
    <n v="0"/>
  </r>
  <r>
    <s v="MX"/>
    <x v="7"/>
    <s v="VLP"/>
    <s v="1139694;A"/>
    <s v="VIPERLITE POD, PARKING"/>
    <n v="158.38"/>
    <n v="9604163.1999999993"/>
    <n v="60640"/>
    <n v="5054"/>
  </r>
  <r>
    <s v="MXIN"/>
    <x v="8"/>
    <s v="APEX X-2"/>
    <s v="FC001497"/>
    <s v="Tray, Small Closure"/>
    <n v="1.39"/>
    <n v="122097.59999999999"/>
    <n v="87840"/>
    <n v="7320"/>
  </r>
  <r>
    <s v="MXIN"/>
    <x v="8"/>
    <s v="APEX X-2"/>
    <s v="FC001509"/>
    <s v="Wedge, Closure, Medium"/>
    <n v="1.51"/>
    <n v="767659.84"/>
    <n v="508384"/>
    <n v="42366"/>
  </r>
  <r>
    <s v="MXIN"/>
    <x v="8"/>
    <s v="APEX X-2"/>
    <s v="FC001519"/>
    <s v="Base"/>
    <n v="11.25"/>
    <n v="782325"/>
    <n v="69540"/>
    <n v="5795"/>
  </r>
  <r>
    <s v="MXIN"/>
    <x v="8"/>
    <s v="APEX X-2"/>
    <s v="FC001566"/>
    <s v="Splice Tray"/>
    <n v="1.98"/>
    <n v="326113.91999999998"/>
    <n v="164704"/>
    <n v="13726"/>
  </r>
  <r>
    <s v="MXIN"/>
    <x v="8"/>
    <s v="APEX X-2"/>
    <s v="FC001567"/>
    <s v="TRAY COVER, MEDIUM CLOSURE"/>
    <n v="1.95"/>
    <n v="0"/>
    <n v="0"/>
    <n v="0"/>
  </r>
  <r>
    <s v="MXIN"/>
    <x v="8"/>
    <s v="APEX X-2"/>
    <s v="FC001573"/>
    <s v="Tray Bracket"/>
    <n v="1.88"/>
    <n v="0"/>
    <n v="0"/>
    <n v="0"/>
  </r>
  <r>
    <s v="MXIN"/>
    <x v="8"/>
    <s v="APEX X-2"/>
    <s v="FC001575"/>
    <s v="Basket, Closure"/>
    <n v="5.94"/>
    <n v="253822.14"/>
    <n v="42731"/>
    <n v="3561"/>
  </r>
  <r>
    <s v="MXIN"/>
    <x v="8"/>
    <s v="APEX X-2"/>
    <s v="FC001597"/>
    <s v="Shallow Basket"/>
    <n v="3.22"/>
    <n v="0"/>
    <n v="0"/>
    <n v="0"/>
  </r>
  <r>
    <s v="MXIN"/>
    <x v="8"/>
    <s v="APEX X-2"/>
    <s v="FC001598"/>
    <s v="Basket, Short Closure"/>
    <n v="4.84"/>
    <n v="79729.319999999992"/>
    <n v="16473"/>
    <n v="1373"/>
  </r>
  <r>
    <s v="MXIN"/>
    <x v="8"/>
    <s v="APEX X-2"/>
    <s v="FC001805"/>
    <s v="Dome, Closure, Medium"/>
    <n v="25.62"/>
    <n v="1321992"/>
    <n v="51600"/>
    <n v="4300"/>
  </r>
  <r>
    <s v="MXIN"/>
    <x v="8"/>
    <s v="APEX X-2"/>
    <s v="FC001806"/>
    <s v="Dome, Closure, Medium, Short"/>
    <n v="25.62"/>
    <n v="703730.16"/>
    <n v="27468"/>
    <n v="2289"/>
  </r>
  <r>
    <s v="MXIN"/>
    <x v="8"/>
    <s v="X-3"/>
    <s v="FC107870"/>
    <s v="Base, X-3"/>
    <n v="19.071999999999999"/>
    <n v="322850.81599999999"/>
    <n v="16928"/>
    <n v="1411"/>
  </r>
  <r>
    <s v="MXIN"/>
    <x v="8"/>
    <s v="X-3"/>
    <s v="FC108214"/>
    <s v="Dome, X-3"/>
    <n v="35.362699999999997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50745-7E6C-48AC-9A8D-9B7E077270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9">
    <pivotField showAll="0"/>
    <pivotField axis="axisRow" showAll="0">
      <items count="10">
        <item x="0"/>
        <item h="1" x="8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showAll="0"/>
    <pivotField numFmtId="44" showAll="0"/>
    <pivotField dataField="1" numFmtId="169" showAll="0"/>
    <pivotField dataField="1" numFmtId="3" showAll="0"/>
    <pivotField dataField="1" numFmtId="3" showAll="0"/>
  </pivotFields>
  <rowFields count="1">
    <field x="1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6" baseField="0" baseItem="0" numFmtId="44"/>
    <dataField name="Sum of Total Volume" fld="7" baseField="0" baseItem="0" numFmtId="43"/>
    <dataField name="Sum of Monthly Avg. Volume" fld="8" baseField="0" baseItem="0" numFmtId="170"/>
  </dataFields>
  <formats count="3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1831-4433-43EB-AD1B-40B591DADD2C}">
  <sheetPr filterMode="1"/>
  <dimension ref="A1:DQ301"/>
  <sheetViews>
    <sheetView zoomScale="70" zoomScaleNormal="70" workbookViewId="0">
      <pane xSplit="4" ySplit="8" topLeftCell="E32" activePane="bottomRight" state="frozen"/>
      <selection pane="topRight" activeCell="E1" sqref="E1"/>
      <selection pane="bottomLeft" activeCell="A9" sqref="A9"/>
      <selection pane="bottomRight" activeCell="G305" sqref="G305"/>
    </sheetView>
  </sheetViews>
  <sheetFormatPr defaultRowHeight="14.4" x14ac:dyDescent="0.3"/>
  <cols>
    <col min="1" max="1" width="8.33203125" hidden="1" customWidth="1"/>
    <col min="2" max="2" width="7.6640625" customWidth="1"/>
    <col min="3" max="3" width="11.33203125" customWidth="1"/>
    <col min="4" max="4" width="15.6640625" customWidth="1"/>
    <col min="5" max="5" width="26.44140625" customWidth="1"/>
    <col min="6" max="6" width="8.5546875" customWidth="1"/>
    <col min="7" max="7" width="14.33203125" style="35" customWidth="1"/>
    <col min="8" max="8" width="8.5546875" style="29" customWidth="1"/>
    <col min="9" max="9" width="11.44140625" style="29" customWidth="1"/>
    <col min="10" max="10" width="14.33203125" style="25" customWidth="1"/>
    <col min="11" max="11" width="8.5546875" style="25" customWidth="1"/>
    <col min="12" max="12" width="10.6640625" style="32" customWidth="1"/>
    <col min="13" max="13" width="6.6640625" style="10" customWidth="1"/>
    <col min="14" max="16" width="11.88671875" style="10" customWidth="1"/>
    <col min="17" max="29" width="14.6640625" style="18" customWidth="1"/>
    <col min="30" max="30" width="11.88671875" style="18" customWidth="1"/>
    <col min="31" max="31" width="1.6640625" customWidth="1"/>
    <col min="32" max="32" width="11.6640625" customWidth="1"/>
    <col min="33" max="49" width="10.44140625" customWidth="1"/>
    <col min="50" max="68" width="4.33203125" customWidth="1"/>
    <col min="69" max="69" width="4.88671875" customWidth="1"/>
    <col min="70" max="73" width="4.33203125" customWidth="1"/>
    <col min="74" max="74" width="3.6640625" customWidth="1"/>
    <col min="75" max="75" width="3.5546875" customWidth="1"/>
    <col min="76" max="86" width="4.109375" customWidth="1"/>
    <col min="87" max="87" width="3.33203125" style="74" customWidth="1"/>
    <col min="88" max="99" width="3.33203125" customWidth="1"/>
    <col min="100" max="119" width="4.33203125" customWidth="1"/>
    <col min="120" max="120" width="13" customWidth="1"/>
    <col min="121" max="121" width="10.6640625" customWidth="1"/>
  </cols>
  <sheetData>
    <row r="1" spans="1:121" ht="4.95" customHeight="1" x14ac:dyDescent="0.3">
      <c r="B1" s="7"/>
      <c r="C1" s="1"/>
      <c r="D1" s="1"/>
      <c r="E1" s="2"/>
      <c r="F1" s="3"/>
      <c r="G1" t="s">
        <v>641</v>
      </c>
      <c r="I1" s="68">
        <v>202</v>
      </c>
      <c r="J1" s="143">
        <v>2025</v>
      </c>
      <c r="K1" s="143"/>
      <c r="L1" s="143"/>
      <c r="M1" s="11">
        <v>2023</v>
      </c>
      <c r="N1" s="11">
        <v>2024</v>
      </c>
      <c r="O1" s="11">
        <v>2024</v>
      </c>
      <c r="P1" s="11">
        <v>2024</v>
      </c>
      <c r="Q1" s="16">
        <v>2024</v>
      </c>
      <c r="R1" s="16">
        <v>2024</v>
      </c>
      <c r="S1" s="16">
        <v>2024</v>
      </c>
      <c r="T1" s="16">
        <v>2024</v>
      </c>
      <c r="U1" s="16">
        <v>2024</v>
      </c>
      <c r="V1" s="16">
        <v>2024</v>
      </c>
      <c r="W1" s="16">
        <v>2024</v>
      </c>
      <c r="X1" s="16">
        <v>2024</v>
      </c>
      <c r="Y1" s="16">
        <v>2024</v>
      </c>
      <c r="Z1" s="16">
        <v>2025</v>
      </c>
      <c r="AA1" s="16">
        <v>2025</v>
      </c>
      <c r="AB1" s="16">
        <v>2025</v>
      </c>
      <c r="AC1" s="16">
        <v>2025</v>
      </c>
      <c r="AD1" s="16">
        <v>2025</v>
      </c>
      <c r="AE1" s="4"/>
      <c r="AF1" s="8">
        <v>2023</v>
      </c>
      <c r="AG1" s="8">
        <v>2024</v>
      </c>
      <c r="AH1" s="8">
        <v>2024</v>
      </c>
      <c r="AI1" s="8">
        <v>2024</v>
      </c>
      <c r="AJ1" s="8">
        <v>2024</v>
      </c>
      <c r="AK1" s="8">
        <v>2024</v>
      </c>
      <c r="AL1" s="8">
        <v>2024</v>
      </c>
      <c r="AM1" s="8">
        <v>2024</v>
      </c>
      <c r="AN1" s="8">
        <v>2024</v>
      </c>
      <c r="AO1" s="8">
        <v>2024</v>
      </c>
      <c r="AP1" s="8">
        <v>2024</v>
      </c>
      <c r="AQ1" s="8">
        <v>2024</v>
      </c>
      <c r="AR1" s="8">
        <v>2024</v>
      </c>
      <c r="AS1" s="8">
        <v>2025</v>
      </c>
      <c r="AT1" s="8">
        <v>2025</v>
      </c>
      <c r="AU1" s="8">
        <v>2025</v>
      </c>
      <c r="AV1" s="8">
        <v>2025</v>
      </c>
      <c r="AW1" s="8">
        <v>2025</v>
      </c>
    </row>
    <row r="2" spans="1:121" ht="4.95" customHeight="1" x14ac:dyDescent="0.3">
      <c r="B2" s="7"/>
      <c r="C2" s="1"/>
      <c r="D2" s="1"/>
      <c r="E2" s="2"/>
      <c r="F2" s="3"/>
      <c r="G2" s="10" t="s">
        <v>642</v>
      </c>
      <c r="H2" s="21"/>
      <c r="I2" s="68">
        <v>307</v>
      </c>
      <c r="J2" s="22"/>
      <c r="K2" s="22"/>
      <c r="L2" s="22"/>
      <c r="M2" s="11"/>
      <c r="N2" s="11"/>
      <c r="O2" s="11"/>
      <c r="P2" s="11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4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121" ht="63" customHeight="1" x14ac:dyDescent="0.3">
      <c r="B3" s="7"/>
      <c r="C3" s="1"/>
      <c r="D3" s="1"/>
      <c r="E3" s="2"/>
      <c r="F3" s="3"/>
      <c r="G3" s="21"/>
      <c r="H3" s="21"/>
      <c r="I3" s="21"/>
      <c r="J3" s="22"/>
      <c r="K3" s="22"/>
      <c r="L3" s="22"/>
      <c r="M3" s="11"/>
      <c r="N3" s="11"/>
      <c r="O3" s="11"/>
      <c r="P3" s="11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4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144" t="s">
        <v>633</v>
      </c>
      <c r="AY3" s="145"/>
      <c r="AZ3" s="146" t="s">
        <v>636</v>
      </c>
      <c r="BA3" s="146" t="s">
        <v>629</v>
      </c>
      <c r="BB3" s="146"/>
      <c r="BC3" s="146"/>
      <c r="BD3" s="146"/>
      <c r="BE3" s="67" t="s">
        <v>660</v>
      </c>
      <c r="BF3" s="66" t="s">
        <v>647</v>
      </c>
      <c r="BG3" s="71" t="s">
        <v>645</v>
      </c>
      <c r="BH3" s="71" t="s">
        <v>646</v>
      </c>
      <c r="BI3" s="70" t="s">
        <v>644</v>
      </c>
      <c r="BJ3" s="69" t="s">
        <v>643</v>
      </c>
      <c r="BK3" s="181" t="s">
        <v>637</v>
      </c>
      <c r="BL3" s="146"/>
      <c r="BM3" s="146"/>
      <c r="BN3" s="69" t="s">
        <v>643</v>
      </c>
      <c r="BO3" s="67" t="s">
        <v>660</v>
      </c>
      <c r="BP3" s="165" t="s">
        <v>648</v>
      </c>
      <c r="BQ3" s="166"/>
      <c r="BR3" s="166"/>
      <c r="BS3" s="166"/>
      <c r="BT3" s="167"/>
      <c r="BU3" s="71" t="s">
        <v>655</v>
      </c>
      <c r="BV3" s="144" t="s">
        <v>656</v>
      </c>
      <c r="BW3" s="145"/>
      <c r="BX3" s="60" t="s">
        <v>659</v>
      </c>
      <c r="BY3" s="168" t="s">
        <v>674</v>
      </c>
      <c r="BZ3" s="169"/>
      <c r="CA3" s="169"/>
      <c r="CB3" s="169"/>
      <c r="CC3" s="169"/>
      <c r="CD3" s="169"/>
      <c r="CE3" s="169"/>
      <c r="CF3" s="169"/>
      <c r="CG3" s="170"/>
      <c r="CH3" s="69" t="s">
        <v>682</v>
      </c>
      <c r="CI3" s="177" t="s">
        <v>674</v>
      </c>
      <c r="CJ3" s="178"/>
      <c r="CK3" s="178"/>
      <c r="CL3" s="178"/>
      <c r="CM3" s="178"/>
      <c r="CN3" s="178"/>
      <c r="CO3" s="178"/>
      <c r="CP3" s="178"/>
      <c r="CQ3" s="178"/>
      <c r="CR3" s="178"/>
      <c r="CS3" s="178"/>
      <c r="CT3" s="178"/>
      <c r="CU3" s="179"/>
      <c r="CV3" s="60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</row>
    <row r="4" spans="1:121" s="61" customFormat="1" x14ac:dyDescent="0.3">
      <c r="B4" s="62"/>
      <c r="F4" s="63"/>
      <c r="G4" s="156">
        <v>2024</v>
      </c>
      <c r="H4" s="156"/>
      <c r="I4" s="156"/>
      <c r="J4" s="22"/>
      <c r="K4" s="22"/>
      <c r="L4" s="22"/>
      <c r="M4" s="11"/>
      <c r="N4" s="11"/>
      <c r="O4" s="11"/>
      <c r="P4" s="11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4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58" t="s">
        <v>634</v>
      </c>
      <c r="AY4" s="59" t="s">
        <v>635</v>
      </c>
      <c r="AZ4" s="147"/>
      <c r="BA4" s="59">
        <v>110</v>
      </c>
      <c r="BB4" s="59">
        <v>200</v>
      </c>
      <c r="BC4" s="59">
        <v>250</v>
      </c>
      <c r="BD4" s="59">
        <v>300</v>
      </c>
      <c r="BE4" s="59"/>
      <c r="BF4" s="59"/>
      <c r="BG4" s="59"/>
      <c r="BH4" s="59"/>
      <c r="BI4" s="59"/>
      <c r="BJ4" s="59"/>
      <c r="BK4" s="64" t="s">
        <v>640</v>
      </c>
      <c r="BL4" s="59" t="s">
        <v>638</v>
      </c>
      <c r="BM4" s="59" t="s">
        <v>639</v>
      </c>
      <c r="BN4" s="59"/>
      <c r="BO4" s="59"/>
      <c r="BP4" s="59" t="s">
        <v>649</v>
      </c>
      <c r="BQ4" s="59" t="s">
        <v>650</v>
      </c>
      <c r="BR4" s="59" t="s">
        <v>651</v>
      </c>
      <c r="BS4" s="59" t="s">
        <v>652</v>
      </c>
      <c r="BT4" s="59" t="s">
        <v>653</v>
      </c>
      <c r="BU4" s="59"/>
      <c r="BV4" s="59" t="s">
        <v>657</v>
      </c>
      <c r="BW4" s="59" t="s">
        <v>658</v>
      </c>
      <c r="BX4" s="59"/>
      <c r="BY4" s="157" t="s">
        <v>675</v>
      </c>
      <c r="BZ4" s="157" t="s">
        <v>676</v>
      </c>
      <c r="CA4" s="157" t="s">
        <v>677</v>
      </c>
      <c r="CB4" s="157" t="s">
        <v>678</v>
      </c>
      <c r="CC4" s="157" t="s">
        <v>679</v>
      </c>
      <c r="CD4" s="157" t="s">
        <v>680</v>
      </c>
      <c r="CE4" s="157" t="s">
        <v>683</v>
      </c>
      <c r="CF4" s="157" t="s">
        <v>684</v>
      </c>
      <c r="CG4" s="157" t="s">
        <v>681</v>
      </c>
      <c r="CH4" s="80"/>
      <c r="CI4" s="175" t="s">
        <v>661</v>
      </c>
      <c r="CJ4" s="175" t="s">
        <v>662</v>
      </c>
      <c r="CK4" s="175" t="s">
        <v>663</v>
      </c>
      <c r="CL4" s="175" t="s">
        <v>664</v>
      </c>
      <c r="CM4" s="175" t="s">
        <v>665</v>
      </c>
      <c r="CN4" s="175" t="s">
        <v>666</v>
      </c>
      <c r="CO4" s="175" t="s">
        <v>667</v>
      </c>
      <c r="CP4" s="175" t="s">
        <v>668</v>
      </c>
      <c r="CQ4" s="175" t="s">
        <v>669</v>
      </c>
      <c r="CR4" s="175" t="s">
        <v>670</v>
      </c>
      <c r="CS4" s="176" t="s">
        <v>671</v>
      </c>
      <c r="CT4" s="175" t="s">
        <v>672</v>
      </c>
      <c r="CU4" s="175" t="s">
        <v>673</v>
      </c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171" t="s">
        <v>630</v>
      </c>
      <c r="DQ4" s="173" t="s">
        <v>632</v>
      </c>
    </row>
    <row r="5" spans="1:121" s="21" customFormat="1" ht="22.2" customHeight="1" x14ac:dyDescent="0.3">
      <c r="A5" s="21" t="s">
        <v>0</v>
      </c>
      <c r="B5" s="65" t="s">
        <v>1</v>
      </c>
      <c r="C5" s="65" t="s">
        <v>2</v>
      </c>
      <c r="D5" s="65" t="s">
        <v>3</v>
      </c>
      <c r="E5" s="65" t="s">
        <v>4</v>
      </c>
      <c r="F5" s="20" t="s">
        <v>5</v>
      </c>
      <c r="G5" s="33" t="s">
        <v>622</v>
      </c>
      <c r="H5" s="27" t="s">
        <v>623</v>
      </c>
      <c r="I5" s="27" t="s">
        <v>621</v>
      </c>
      <c r="J5" s="23" t="s">
        <v>622</v>
      </c>
      <c r="K5" s="23" t="s">
        <v>623</v>
      </c>
      <c r="L5" s="30" t="s">
        <v>621</v>
      </c>
      <c r="M5" s="11">
        <v>12</v>
      </c>
      <c r="N5" s="11">
        <v>1</v>
      </c>
      <c r="O5" s="11">
        <v>2</v>
      </c>
      <c r="P5" s="11">
        <v>3</v>
      </c>
      <c r="Q5" s="16">
        <v>4</v>
      </c>
      <c r="R5" s="16">
        <v>5</v>
      </c>
      <c r="S5" s="16">
        <v>6</v>
      </c>
      <c r="T5" s="16">
        <v>7</v>
      </c>
      <c r="U5" s="16">
        <v>8</v>
      </c>
      <c r="V5" s="16">
        <v>9</v>
      </c>
      <c r="W5" s="16">
        <v>10</v>
      </c>
      <c r="X5" s="16">
        <v>11</v>
      </c>
      <c r="Y5" s="16">
        <v>12</v>
      </c>
      <c r="Z5" s="16">
        <v>1</v>
      </c>
      <c r="AA5" s="16">
        <v>2</v>
      </c>
      <c r="AB5" s="16">
        <v>3</v>
      </c>
      <c r="AC5" s="16">
        <v>4</v>
      </c>
      <c r="AD5" s="16">
        <v>5</v>
      </c>
      <c r="AE5" s="4" t="s">
        <v>6</v>
      </c>
      <c r="AF5" s="5">
        <v>12</v>
      </c>
      <c r="AG5" s="5">
        <v>1</v>
      </c>
      <c r="AH5" s="5">
        <v>2</v>
      </c>
      <c r="AI5" s="5">
        <v>3</v>
      </c>
      <c r="AJ5" s="5">
        <v>4</v>
      </c>
      <c r="AK5" s="5">
        <v>5</v>
      </c>
      <c r="AL5" s="5">
        <v>6</v>
      </c>
      <c r="AM5" s="5">
        <v>7</v>
      </c>
      <c r="AN5" s="5">
        <v>8</v>
      </c>
      <c r="AO5" s="5">
        <v>9</v>
      </c>
      <c r="AP5" s="5">
        <v>10</v>
      </c>
      <c r="AQ5" s="5">
        <v>11</v>
      </c>
      <c r="AR5" s="5">
        <v>12</v>
      </c>
      <c r="AS5" s="5">
        <v>1</v>
      </c>
      <c r="AT5" s="5">
        <v>2</v>
      </c>
      <c r="AU5" s="5">
        <v>3</v>
      </c>
      <c r="AV5" s="5">
        <v>4</v>
      </c>
      <c r="AW5" s="5">
        <v>5</v>
      </c>
      <c r="AX5" s="55">
        <v>3</v>
      </c>
      <c r="AY5" s="56">
        <v>2</v>
      </c>
      <c r="AZ5" s="56">
        <v>1</v>
      </c>
      <c r="BA5" s="56">
        <v>2</v>
      </c>
      <c r="BB5" s="56">
        <v>1</v>
      </c>
      <c r="BC5" s="56">
        <v>6</v>
      </c>
      <c r="BD5" s="56">
        <v>3</v>
      </c>
      <c r="BE5" s="73" t="s">
        <v>654</v>
      </c>
      <c r="BF5" s="56">
        <v>1</v>
      </c>
      <c r="BG5" s="56">
        <v>1</v>
      </c>
      <c r="BH5" s="56">
        <v>10</v>
      </c>
      <c r="BI5" s="56">
        <v>1</v>
      </c>
      <c r="BJ5" s="56">
        <v>1</v>
      </c>
      <c r="BK5" s="56">
        <v>7</v>
      </c>
      <c r="BL5" s="56">
        <v>1</v>
      </c>
      <c r="BM5" s="56">
        <v>3</v>
      </c>
      <c r="BN5" s="56">
        <v>1</v>
      </c>
      <c r="BO5" s="73" t="s">
        <v>654</v>
      </c>
      <c r="BP5" s="73" t="s">
        <v>654</v>
      </c>
      <c r="BQ5" s="73" t="s">
        <v>654</v>
      </c>
      <c r="BR5" s="73" t="s">
        <v>654</v>
      </c>
      <c r="BS5" s="73" t="s">
        <v>654</v>
      </c>
      <c r="BT5" s="73" t="s">
        <v>654</v>
      </c>
      <c r="BU5" s="73" t="s">
        <v>654</v>
      </c>
      <c r="BV5" s="56">
        <v>1</v>
      </c>
      <c r="BW5" s="56">
        <v>1</v>
      </c>
      <c r="BX5" s="56">
        <v>1</v>
      </c>
      <c r="BY5" s="157"/>
      <c r="BZ5" s="157"/>
      <c r="CA5" s="157"/>
      <c r="CB5" s="157"/>
      <c r="CC5" s="157"/>
      <c r="CD5" s="157"/>
      <c r="CE5" s="157"/>
      <c r="CF5" s="157"/>
      <c r="CG5" s="157"/>
      <c r="CH5" s="80"/>
      <c r="CI5" s="175"/>
      <c r="CJ5" s="175"/>
      <c r="CK5" s="175"/>
      <c r="CL5" s="175"/>
      <c r="CM5" s="175"/>
      <c r="CN5" s="175"/>
      <c r="CO5" s="175"/>
      <c r="CP5" s="175"/>
      <c r="CQ5" s="175"/>
      <c r="CR5" s="175"/>
      <c r="CS5" s="176"/>
      <c r="CT5" s="175"/>
      <c r="CU5" s="175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172"/>
      <c r="DQ5" s="174"/>
    </row>
    <row r="6" spans="1:121" hidden="1" x14ac:dyDescent="0.3">
      <c r="A6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12">
        <v>725.43</v>
      </c>
      <c r="G6" s="34">
        <f>F6*H6</f>
        <v>0</v>
      </c>
      <c r="H6" s="28">
        <f t="shared" ref="H6:H37" si="0">SUM(N6:Y6)</f>
        <v>0</v>
      </c>
      <c r="I6" s="28">
        <f>ROUNDUP(H6/12,0)</f>
        <v>0</v>
      </c>
      <c r="J6" s="26">
        <f>K6*F6</f>
        <v>0</v>
      </c>
      <c r="K6" s="24">
        <f>SUM(Z6:AD6)</f>
        <v>0</v>
      </c>
      <c r="L6" s="31">
        <f>ROUNDUP(K6/5,0)</f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4"/>
      <c r="AY6" s="4"/>
      <c r="CI6" s="74">
        <v>120</v>
      </c>
    </row>
    <row r="7" spans="1:121" hidden="1" x14ac:dyDescent="0.3">
      <c r="A7" t="s">
        <v>7</v>
      </c>
      <c r="B7" s="4" t="s">
        <v>8</v>
      </c>
      <c r="C7" s="4" t="s">
        <v>9</v>
      </c>
      <c r="D7" s="4" t="s">
        <v>12</v>
      </c>
      <c r="E7" s="4" t="s">
        <v>13</v>
      </c>
      <c r="F7" s="12">
        <v>8.65</v>
      </c>
      <c r="G7" s="34">
        <f t="shared" ref="G7:G70" si="1">F7*H7</f>
        <v>0</v>
      </c>
      <c r="H7" s="28">
        <f t="shared" si="0"/>
        <v>0</v>
      </c>
      <c r="I7" s="28">
        <f t="shared" ref="I7:I70" si="2">ROUNDUP(H7/12,0)</f>
        <v>0</v>
      </c>
      <c r="J7" s="26">
        <f t="shared" ref="J7:J70" si="3">K7*F7</f>
        <v>0</v>
      </c>
      <c r="K7" s="24">
        <f t="shared" ref="K7:K70" si="4">SUM(Z7:AD7)</f>
        <v>0</v>
      </c>
      <c r="L7" s="31">
        <f t="shared" ref="L7:L70" si="5">ROUNDUP(K7/5,0)</f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4"/>
      <c r="AY7" s="4"/>
      <c r="CI7" s="74">
        <v>120</v>
      </c>
    </row>
    <row r="8" spans="1:121" hidden="1" x14ac:dyDescent="0.3">
      <c r="A8" t="s">
        <v>7</v>
      </c>
      <c r="B8" s="4" t="s">
        <v>8</v>
      </c>
      <c r="C8" s="4" t="s">
        <v>8</v>
      </c>
      <c r="D8" s="4" t="s">
        <v>14</v>
      </c>
      <c r="E8" s="4" t="s">
        <v>15</v>
      </c>
      <c r="F8" s="12">
        <v>7.34</v>
      </c>
      <c r="G8" s="34">
        <f t="shared" si="1"/>
        <v>0</v>
      </c>
      <c r="H8" s="28">
        <f t="shared" si="0"/>
        <v>0</v>
      </c>
      <c r="I8" s="28">
        <f t="shared" si="2"/>
        <v>0</v>
      </c>
      <c r="J8" s="26">
        <f t="shared" si="3"/>
        <v>0</v>
      </c>
      <c r="K8" s="24">
        <f t="shared" si="4"/>
        <v>0</v>
      </c>
      <c r="L8" s="31">
        <f t="shared" si="5"/>
        <v>0</v>
      </c>
      <c r="M8" s="9">
        <v>74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F8" s="6">
        <v>793.28000000000009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4"/>
      <c r="AY8" s="4"/>
      <c r="CI8" s="74" t="e">
        <v>#N/A</v>
      </c>
    </row>
    <row r="9" spans="1:121" hidden="1" x14ac:dyDescent="0.3">
      <c r="A9" t="s">
        <v>7</v>
      </c>
      <c r="B9" s="4" t="s">
        <v>8</v>
      </c>
      <c r="C9" s="4" t="s">
        <v>16</v>
      </c>
      <c r="D9" s="4" t="s">
        <v>17</v>
      </c>
      <c r="E9" s="4" t="s">
        <v>18</v>
      </c>
      <c r="F9" s="12">
        <v>3298.43</v>
      </c>
      <c r="G9" s="34">
        <f t="shared" si="1"/>
        <v>946649.40999999992</v>
      </c>
      <c r="H9" s="28">
        <f t="shared" si="0"/>
        <v>287</v>
      </c>
      <c r="I9" s="28">
        <f t="shared" si="2"/>
        <v>24</v>
      </c>
      <c r="J9" s="26">
        <f t="shared" si="3"/>
        <v>0</v>
      </c>
      <c r="K9" s="24">
        <f t="shared" si="4"/>
        <v>0</v>
      </c>
      <c r="L9" s="31">
        <f t="shared" si="5"/>
        <v>0</v>
      </c>
      <c r="M9" s="9">
        <v>0</v>
      </c>
      <c r="N9" s="9">
        <v>0</v>
      </c>
      <c r="O9" s="9">
        <v>0</v>
      </c>
      <c r="P9" s="9">
        <v>28</v>
      </c>
      <c r="Q9" s="9">
        <v>28</v>
      </c>
      <c r="R9" s="9">
        <v>35</v>
      </c>
      <c r="S9" s="9">
        <v>28</v>
      </c>
      <c r="T9" s="9">
        <v>35</v>
      </c>
      <c r="U9" s="9">
        <v>28</v>
      </c>
      <c r="V9" s="9">
        <v>28</v>
      </c>
      <c r="W9" s="9">
        <v>35</v>
      </c>
      <c r="X9" s="9">
        <v>28</v>
      </c>
      <c r="Y9" s="9">
        <v>14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F9" s="6">
        <v>0</v>
      </c>
      <c r="AG9" s="6">
        <v>0</v>
      </c>
      <c r="AH9" s="6">
        <v>0</v>
      </c>
      <c r="AI9" s="6">
        <v>92356.04</v>
      </c>
      <c r="AJ9" s="6">
        <v>92356.04</v>
      </c>
      <c r="AK9" s="6">
        <v>115445.04999999999</v>
      </c>
      <c r="AL9" s="6">
        <v>92356.04</v>
      </c>
      <c r="AM9" s="6">
        <v>115445.04999999999</v>
      </c>
      <c r="AN9" s="6">
        <v>92356.04</v>
      </c>
      <c r="AO9" s="6">
        <v>92356.04</v>
      </c>
      <c r="AP9" s="6">
        <v>115445.04999999999</v>
      </c>
      <c r="AQ9" s="6">
        <v>92356.04</v>
      </c>
      <c r="AR9" s="6">
        <v>46178.02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83" t="s">
        <v>631</v>
      </c>
      <c r="AY9" s="53" t="s">
        <v>631</v>
      </c>
      <c r="AZ9" s="53" t="s">
        <v>631</v>
      </c>
      <c r="BA9" s="53"/>
      <c r="BB9" s="53"/>
      <c r="BC9" s="53"/>
      <c r="BD9" s="53"/>
      <c r="BE9" s="53"/>
      <c r="BF9" s="53" t="s">
        <v>631</v>
      </c>
      <c r="BG9" s="53"/>
      <c r="BH9" s="53" t="s">
        <v>631</v>
      </c>
      <c r="BI9" s="53"/>
      <c r="BJ9" s="53"/>
      <c r="BK9" s="81" t="s">
        <v>631</v>
      </c>
      <c r="BL9" s="53"/>
      <c r="BM9" s="53"/>
      <c r="BN9" s="53" t="s">
        <v>631</v>
      </c>
      <c r="BO9" s="53"/>
      <c r="BP9" s="82" t="s">
        <v>631</v>
      </c>
      <c r="BQ9" s="53"/>
      <c r="BR9" s="53"/>
      <c r="BS9" s="53"/>
      <c r="BT9" s="53"/>
      <c r="BU9" s="53" t="s">
        <v>631</v>
      </c>
      <c r="BV9" s="81" t="s">
        <v>631</v>
      </c>
      <c r="BW9" s="53"/>
      <c r="BX9" s="53" t="s">
        <v>631</v>
      </c>
      <c r="BY9" s="53"/>
      <c r="BZ9" s="53"/>
      <c r="CA9" s="53"/>
      <c r="CB9" s="53" t="s">
        <v>631</v>
      </c>
      <c r="CC9" s="53"/>
      <c r="CD9" s="53"/>
      <c r="CE9" s="53"/>
      <c r="CF9" s="53"/>
      <c r="CG9" s="53"/>
      <c r="CH9" s="53" t="s">
        <v>631</v>
      </c>
      <c r="CI9" s="75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>
        <f>COUNTIF(AX9:DO9,"x")</f>
        <v>13</v>
      </c>
    </row>
    <row r="10" spans="1:121" hidden="1" x14ac:dyDescent="0.3">
      <c r="A10" t="s">
        <v>7</v>
      </c>
      <c r="B10" s="4" t="s">
        <v>8</v>
      </c>
      <c r="C10" s="4" t="s">
        <v>16</v>
      </c>
      <c r="D10" s="4" t="s">
        <v>19</v>
      </c>
      <c r="E10" s="4" t="s">
        <v>20</v>
      </c>
      <c r="F10" s="12">
        <v>640.07000000000005</v>
      </c>
      <c r="G10" s="34">
        <f t="shared" si="1"/>
        <v>312994.23000000004</v>
      </c>
      <c r="H10" s="28">
        <f t="shared" si="0"/>
        <v>489</v>
      </c>
      <c r="I10" s="28">
        <f t="shared" si="2"/>
        <v>41</v>
      </c>
      <c r="J10" s="26">
        <f t="shared" si="3"/>
        <v>179219.6</v>
      </c>
      <c r="K10" s="24">
        <f t="shared" si="4"/>
        <v>280</v>
      </c>
      <c r="L10" s="31">
        <f t="shared" si="5"/>
        <v>56</v>
      </c>
      <c r="M10" s="9">
        <v>8</v>
      </c>
      <c r="N10" s="9">
        <v>5</v>
      </c>
      <c r="O10" s="9">
        <v>0</v>
      </c>
      <c r="P10" s="9">
        <v>60</v>
      </c>
      <c r="Q10" s="9">
        <v>80</v>
      </c>
      <c r="R10" s="9">
        <v>80</v>
      </c>
      <c r="S10" s="9">
        <v>64</v>
      </c>
      <c r="T10" s="9">
        <v>60</v>
      </c>
      <c r="U10" s="9">
        <v>40</v>
      </c>
      <c r="V10" s="9">
        <v>40</v>
      </c>
      <c r="W10" s="9">
        <v>0</v>
      </c>
      <c r="X10" s="9">
        <v>0</v>
      </c>
      <c r="Y10" s="9">
        <v>60</v>
      </c>
      <c r="Z10" s="9">
        <v>80</v>
      </c>
      <c r="AA10" s="9">
        <v>60</v>
      </c>
      <c r="AB10" s="9">
        <v>60</v>
      </c>
      <c r="AC10" s="9">
        <v>40</v>
      </c>
      <c r="AD10" s="9">
        <v>40</v>
      </c>
      <c r="AF10" s="6">
        <v>5120.5600000000004</v>
      </c>
      <c r="AG10" s="6">
        <v>3200.3500000000004</v>
      </c>
      <c r="AH10" s="6">
        <v>0</v>
      </c>
      <c r="AI10" s="6">
        <v>38404.200000000004</v>
      </c>
      <c r="AJ10" s="6">
        <v>51205.600000000006</v>
      </c>
      <c r="AK10" s="6">
        <v>51205.600000000006</v>
      </c>
      <c r="AL10" s="6">
        <v>40964.480000000003</v>
      </c>
      <c r="AM10" s="6">
        <v>38404.200000000004</v>
      </c>
      <c r="AN10" s="6">
        <v>25602.800000000003</v>
      </c>
      <c r="AO10" s="6">
        <v>25602.800000000003</v>
      </c>
      <c r="AP10" s="6">
        <v>0</v>
      </c>
      <c r="AQ10" s="6">
        <v>0</v>
      </c>
      <c r="AR10" s="6">
        <v>38404.200000000004</v>
      </c>
      <c r="AS10" s="6">
        <v>51205.600000000006</v>
      </c>
      <c r="AT10" s="6">
        <v>38404.200000000004</v>
      </c>
      <c r="AU10" s="6">
        <v>38404.200000000004</v>
      </c>
      <c r="AV10" s="6">
        <v>25602.800000000003</v>
      </c>
      <c r="AW10" s="6">
        <v>25602.800000000003</v>
      </c>
      <c r="AX10" s="49"/>
      <c r="AY10" s="51" t="s">
        <v>631</v>
      </c>
      <c r="AZ10" s="51" t="s">
        <v>631</v>
      </c>
      <c r="BA10" s="51"/>
      <c r="BB10" s="51"/>
      <c r="BC10" s="51"/>
      <c r="BD10" s="51"/>
      <c r="BE10" s="51"/>
      <c r="BF10" s="51"/>
      <c r="BG10" s="51"/>
      <c r="BH10" s="51" t="s">
        <v>631</v>
      </c>
      <c r="BI10" s="51"/>
      <c r="BJ10" s="51"/>
      <c r="BK10" s="84" t="s">
        <v>631</v>
      </c>
      <c r="BL10" s="51"/>
      <c r="BM10" s="51"/>
      <c r="BN10" s="51" t="s">
        <v>631</v>
      </c>
      <c r="BO10" s="51"/>
      <c r="BP10" s="51"/>
      <c r="BQ10" s="51"/>
      <c r="BR10" s="51"/>
      <c r="BS10" s="51"/>
      <c r="BT10" s="51"/>
      <c r="BU10" s="51" t="s">
        <v>631</v>
      </c>
      <c r="BV10" s="84" t="s">
        <v>631</v>
      </c>
      <c r="BW10" s="51"/>
      <c r="BX10" s="51"/>
      <c r="BY10" s="51"/>
      <c r="BZ10" s="51"/>
      <c r="CA10" s="51"/>
      <c r="CB10" s="51" t="s">
        <v>631</v>
      </c>
      <c r="CC10" s="51"/>
      <c r="CD10" s="51"/>
      <c r="CE10" s="51"/>
      <c r="CF10" s="51"/>
      <c r="CG10" s="51"/>
      <c r="CH10" s="51" t="s">
        <v>631</v>
      </c>
      <c r="CI10" s="76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>
        <f>COUNTIF(AX10:DO10,"x")</f>
        <v>9</v>
      </c>
    </row>
    <row r="11" spans="1:121" hidden="1" x14ac:dyDescent="0.3">
      <c r="A11" t="s">
        <v>7</v>
      </c>
      <c r="B11" s="4" t="s">
        <v>8</v>
      </c>
      <c r="C11" s="4" t="s">
        <v>21</v>
      </c>
      <c r="D11" s="4" t="s">
        <v>22</v>
      </c>
      <c r="E11" s="4" t="s">
        <v>23</v>
      </c>
      <c r="F11" s="12">
        <v>18.5</v>
      </c>
      <c r="G11" s="34">
        <f t="shared" si="1"/>
        <v>0</v>
      </c>
      <c r="H11" s="28">
        <f t="shared" si="0"/>
        <v>0</v>
      </c>
      <c r="I11" s="28">
        <f t="shared" si="2"/>
        <v>0</v>
      </c>
      <c r="J11" s="26">
        <f t="shared" si="3"/>
        <v>0</v>
      </c>
      <c r="K11" s="24">
        <f t="shared" si="4"/>
        <v>0</v>
      </c>
      <c r="L11" s="31">
        <f t="shared" si="5"/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4"/>
      <c r="AY11" s="4"/>
      <c r="CI11" s="74">
        <v>19</v>
      </c>
    </row>
    <row r="12" spans="1:121" hidden="1" x14ac:dyDescent="0.3">
      <c r="A12" t="s">
        <v>7</v>
      </c>
      <c r="B12" s="4" t="s">
        <v>8</v>
      </c>
      <c r="C12" s="4" t="s">
        <v>24</v>
      </c>
      <c r="D12" s="4" t="s">
        <v>25</v>
      </c>
      <c r="E12" s="4" t="s">
        <v>26</v>
      </c>
      <c r="F12" s="12">
        <v>255.84</v>
      </c>
      <c r="G12" s="34">
        <f t="shared" si="1"/>
        <v>174482.88</v>
      </c>
      <c r="H12" s="28">
        <f t="shared" si="0"/>
        <v>682</v>
      </c>
      <c r="I12" s="28">
        <f t="shared" si="2"/>
        <v>57</v>
      </c>
      <c r="J12" s="26">
        <f t="shared" si="3"/>
        <v>326451.84000000003</v>
      </c>
      <c r="K12" s="24">
        <f t="shared" si="4"/>
        <v>1276</v>
      </c>
      <c r="L12" s="31">
        <f t="shared" si="5"/>
        <v>256</v>
      </c>
      <c r="M12" s="9">
        <v>200</v>
      </c>
      <c r="N12" s="9">
        <v>100</v>
      </c>
      <c r="O12" s="9">
        <v>0</v>
      </c>
      <c r="P12" s="9">
        <v>50</v>
      </c>
      <c r="Q12" s="9">
        <v>100</v>
      </c>
      <c r="R12" s="9">
        <v>0</v>
      </c>
      <c r="S12" s="9">
        <v>0</v>
      </c>
      <c r="T12" s="9">
        <v>100</v>
      </c>
      <c r="U12" s="9">
        <v>0</v>
      </c>
      <c r="V12" s="9">
        <v>0</v>
      </c>
      <c r="W12" s="9">
        <v>0</v>
      </c>
      <c r="X12" s="9">
        <v>100</v>
      </c>
      <c r="Y12" s="9">
        <v>232</v>
      </c>
      <c r="Z12" s="9">
        <v>290</v>
      </c>
      <c r="AA12" s="9">
        <v>232</v>
      </c>
      <c r="AB12" s="9">
        <v>232</v>
      </c>
      <c r="AC12" s="9">
        <v>290</v>
      </c>
      <c r="AD12" s="9">
        <v>232</v>
      </c>
      <c r="AF12" s="6">
        <v>51168</v>
      </c>
      <c r="AG12" s="6">
        <v>25584</v>
      </c>
      <c r="AH12" s="6">
        <v>0</v>
      </c>
      <c r="AI12" s="6">
        <v>12792</v>
      </c>
      <c r="AJ12" s="6">
        <v>25584</v>
      </c>
      <c r="AK12" s="6">
        <v>0</v>
      </c>
      <c r="AL12" s="6">
        <v>0</v>
      </c>
      <c r="AM12" s="6">
        <v>25584</v>
      </c>
      <c r="AN12" s="6">
        <v>0</v>
      </c>
      <c r="AO12" s="6">
        <v>0</v>
      </c>
      <c r="AP12" s="6">
        <v>0</v>
      </c>
      <c r="AQ12" s="6">
        <v>25584</v>
      </c>
      <c r="AR12" s="6">
        <v>59354.879999999997</v>
      </c>
      <c r="AS12" s="6">
        <v>74193.600000000006</v>
      </c>
      <c r="AT12" s="6">
        <v>59354.879999999997</v>
      </c>
      <c r="AU12" s="6">
        <v>59354.879999999997</v>
      </c>
      <c r="AV12" s="6">
        <v>74193.600000000006</v>
      </c>
      <c r="AW12" s="6">
        <v>59354.879999999997</v>
      </c>
      <c r="AX12" s="49"/>
      <c r="AY12" s="51" t="s">
        <v>631</v>
      </c>
      <c r="AZ12" s="51"/>
      <c r="BA12" s="51"/>
      <c r="BB12" s="51" t="s">
        <v>631</v>
      </c>
      <c r="BC12" s="51" t="s">
        <v>631</v>
      </c>
      <c r="BD12" s="51"/>
      <c r="BE12" s="51"/>
      <c r="BF12" s="51"/>
      <c r="BG12" s="51"/>
      <c r="BH12" s="51" t="s">
        <v>631</v>
      </c>
      <c r="BI12" s="51"/>
      <c r="BJ12" s="51" t="s">
        <v>631</v>
      </c>
      <c r="BK12" s="84" t="s">
        <v>631</v>
      </c>
      <c r="BL12" s="51"/>
      <c r="BM12" s="51"/>
      <c r="BN12" s="51" t="s">
        <v>631</v>
      </c>
      <c r="BO12" s="51"/>
      <c r="BP12" s="51"/>
      <c r="BQ12" s="51"/>
      <c r="BR12" s="51"/>
      <c r="BS12" s="51"/>
      <c r="BT12" s="51"/>
      <c r="BU12" s="51" t="s">
        <v>631</v>
      </c>
      <c r="BV12" s="84" t="s">
        <v>631</v>
      </c>
      <c r="BW12" s="51"/>
      <c r="BX12" s="51" t="s">
        <v>631</v>
      </c>
      <c r="BY12" s="51"/>
      <c r="BZ12" s="51"/>
      <c r="CA12" s="51"/>
      <c r="CB12" s="51"/>
      <c r="CC12" s="51"/>
      <c r="CD12" s="51"/>
      <c r="CE12" s="51"/>
      <c r="CF12" s="51"/>
      <c r="CG12" s="51" t="s">
        <v>631</v>
      </c>
      <c r="CH12" s="84" t="s">
        <v>631</v>
      </c>
      <c r="CI12" s="76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>
        <f>COUNTIF(AX12:DO12,"x")</f>
        <v>12</v>
      </c>
    </row>
    <row r="13" spans="1:121" hidden="1" x14ac:dyDescent="0.3">
      <c r="A13" t="s">
        <v>7</v>
      </c>
      <c r="B13" s="4" t="s">
        <v>8</v>
      </c>
      <c r="C13" s="4" t="s">
        <v>27</v>
      </c>
      <c r="D13" s="4" t="s">
        <v>28</v>
      </c>
      <c r="E13" s="4" t="s">
        <v>29</v>
      </c>
      <c r="F13" s="12">
        <v>269.11</v>
      </c>
      <c r="G13" s="34">
        <f t="shared" si="1"/>
        <v>309476.5</v>
      </c>
      <c r="H13" s="28">
        <f t="shared" si="0"/>
        <v>1150</v>
      </c>
      <c r="I13" s="28">
        <f t="shared" si="2"/>
        <v>96</v>
      </c>
      <c r="J13" s="26">
        <f t="shared" si="3"/>
        <v>0</v>
      </c>
      <c r="K13" s="24">
        <f t="shared" si="4"/>
        <v>0</v>
      </c>
      <c r="L13" s="31">
        <f t="shared" si="5"/>
        <v>0</v>
      </c>
      <c r="M13" s="9">
        <v>0</v>
      </c>
      <c r="N13" s="9">
        <v>0</v>
      </c>
      <c r="O13" s="9">
        <v>0</v>
      </c>
      <c r="P13" s="9">
        <v>100</v>
      </c>
      <c r="Q13" s="9">
        <v>100</v>
      </c>
      <c r="R13" s="9">
        <v>200</v>
      </c>
      <c r="S13" s="9">
        <v>300</v>
      </c>
      <c r="T13" s="9">
        <v>0</v>
      </c>
      <c r="U13" s="9">
        <v>150</v>
      </c>
      <c r="V13" s="9">
        <v>100</v>
      </c>
      <c r="W13" s="9">
        <v>0</v>
      </c>
      <c r="X13" s="9">
        <v>200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F13" s="6">
        <v>0</v>
      </c>
      <c r="AG13" s="6">
        <v>0</v>
      </c>
      <c r="AH13" s="6">
        <v>0</v>
      </c>
      <c r="AI13" s="6">
        <v>26911</v>
      </c>
      <c r="AJ13" s="6">
        <v>26911</v>
      </c>
      <c r="AK13" s="6">
        <v>53822</v>
      </c>
      <c r="AL13" s="6">
        <v>80733</v>
      </c>
      <c r="AM13" s="6">
        <v>0</v>
      </c>
      <c r="AN13" s="6">
        <v>40366.5</v>
      </c>
      <c r="AO13" s="6">
        <v>26911</v>
      </c>
      <c r="AP13" s="6">
        <v>0</v>
      </c>
      <c r="AQ13" s="6">
        <v>53822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49"/>
      <c r="AY13" s="51"/>
      <c r="AZ13" s="51"/>
      <c r="BA13" s="51"/>
      <c r="BB13" s="51"/>
      <c r="BC13" s="51" t="s">
        <v>631</v>
      </c>
      <c r="BD13" s="51"/>
      <c r="BE13" s="51"/>
      <c r="BF13" s="51"/>
      <c r="BG13" s="51"/>
      <c r="BH13" s="51" t="s">
        <v>631</v>
      </c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 t="s">
        <v>631</v>
      </c>
      <c r="CH13" s="51" t="s">
        <v>631</v>
      </c>
      <c r="CI13" s="76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>
        <f>COUNTIF(AX13:DO13,"x")</f>
        <v>4</v>
      </c>
    </row>
    <row r="14" spans="1:121" hidden="1" x14ac:dyDescent="0.3">
      <c r="A14" t="s">
        <v>7</v>
      </c>
      <c r="B14" s="4" t="s">
        <v>8</v>
      </c>
      <c r="C14" s="4" t="s">
        <v>24</v>
      </c>
      <c r="D14" s="4" t="s">
        <v>30</v>
      </c>
      <c r="E14" s="4" t="s">
        <v>31</v>
      </c>
      <c r="F14" s="12">
        <v>285.58</v>
      </c>
      <c r="G14" s="34">
        <f t="shared" si="1"/>
        <v>799624</v>
      </c>
      <c r="H14" s="28">
        <f t="shared" si="0"/>
        <v>2800</v>
      </c>
      <c r="I14" s="28">
        <f t="shared" si="2"/>
        <v>234</v>
      </c>
      <c r="J14" s="26">
        <f t="shared" si="3"/>
        <v>628276</v>
      </c>
      <c r="K14" s="24">
        <f t="shared" si="4"/>
        <v>2200</v>
      </c>
      <c r="L14" s="31">
        <f t="shared" si="5"/>
        <v>440</v>
      </c>
      <c r="M14" s="9">
        <v>0</v>
      </c>
      <c r="N14" s="9">
        <v>400</v>
      </c>
      <c r="O14" s="9">
        <v>0</v>
      </c>
      <c r="P14" s="9">
        <v>400</v>
      </c>
      <c r="Q14" s="9">
        <v>200</v>
      </c>
      <c r="R14" s="9">
        <v>100</v>
      </c>
      <c r="S14" s="9">
        <v>0</v>
      </c>
      <c r="T14" s="9">
        <v>200</v>
      </c>
      <c r="U14" s="9">
        <v>0</v>
      </c>
      <c r="V14" s="9">
        <v>200</v>
      </c>
      <c r="W14" s="9">
        <v>500</v>
      </c>
      <c r="X14" s="9">
        <v>400</v>
      </c>
      <c r="Y14" s="9">
        <v>400</v>
      </c>
      <c r="Z14" s="9">
        <v>500</v>
      </c>
      <c r="AA14" s="9">
        <v>400</v>
      </c>
      <c r="AB14" s="9">
        <v>400</v>
      </c>
      <c r="AC14" s="9">
        <v>500</v>
      </c>
      <c r="AD14" s="9">
        <v>400</v>
      </c>
      <c r="AF14" s="6">
        <v>0</v>
      </c>
      <c r="AG14" s="6">
        <v>114232</v>
      </c>
      <c r="AH14" s="6">
        <v>0</v>
      </c>
      <c r="AI14" s="6">
        <v>114232</v>
      </c>
      <c r="AJ14" s="6">
        <v>57116</v>
      </c>
      <c r="AK14" s="6">
        <v>28558</v>
      </c>
      <c r="AL14" s="6">
        <v>0</v>
      </c>
      <c r="AM14" s="6">
        <v>57116</v>
      </c>
      <c r="AN14" s="6">
        <v>0</v>
      </c>
      <c r="AO14" s="6">
        <v>57116</v>
      </c>
      <c r="AP14" s="6">
        <v>142790</v>
      </c>
      <c r="AQ14" s="6">
        <v>114232</v>
      </c>
      <c r="AR14" s="6">
        <v>114232</v>
      </c>
      <c r="AS14" s="6">
        <v>142790</v>
      </c>
      <c r="AT14" s="6">
        <v>114232</v>
      </c>
      <c r="AU14" s="6">
        <v>114232</v>
      </c>
      <c r="AV14" s="6">
        <v>142790</v>
      </c>
      <c r="AW14" s="6">
        <v>114232</v>
      </c>
      <c r="AX14" s="49"/>
      <c r="AY14" s="51" t="s">
        <v>631</v>
      </c>
      <c r="AZ14" s="51"/>
      <c r="BA14" s="51"/>
      <c r="BB14" s="51"/>
      <c r="BC14" s="51"/>
      <c r="BD14" s="51"/>
      <c r="BE14" s="51"/>
      <c r="BF14" s="51"/>
      <c r="BG14" s="51"/>
      <c r="BH14" s="51" t="s">
        <v>631</v>
      </c>
      <c r="BI14" s="51"/>
      <c r="BJ14" s="51" t="s">
        <v>631</v>
      </c>
      <c r="BK14" s="84" t="s">
        <v>631</v>
      </c>
      <c r="BL14" s="51"/>
      <c r="BM14" s="51"/>
      <c r="BN14" s="51"/>
      <c r="BO14" s="51"/>
      <c r="BP14" s="51"/>
      <c r="BQ14" s="51"/>
      <c r="BR14" s="51"/>
      <c r="BS14" s="51"/>
      <c r="BT14" s="51"/>
      <c r="BU14" s="51" t="s">
        <v>631</v>
      </c>
      <c r="BV14" s="84" t="s">
        <v>631</v>
      </c>
      <c r="BW14" s="51"/>
      <c r="BX14" s="51" t="s">
        <v>631</v>
      </c>
      <c r="BY14" s="51"/>
      <c r="BZ14" s="51"/>
      <c r="CA14" s="51"/>
      <c r="CB14" s="51"/>
      <c r="CC14" s="51"/>
      <c r="CD14" s="51"/>
      <c r="CE14" s="51"/>
      <c r="CF14" s="51"/>
      <c r="CG14" s="51" t="s">
        <v>631</v>
      </c>
      <c r="CH14" s="51" t="s">
        <v>631</v>
      </c>
      <c r="CI14" s="76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>
        <f>COUNTIF(AX14:DO14,"x")</f>
        <v>9</v>
      </c>
    </row>
    <row r="15" spans="1:121" hidden="1" x14ac:dyDescent="0.3">
      <c r="A15" t="s">
        <v>7</v>
      </c>
      <c r="B15" s="4" t="s">
        <v>8</v>
      </c>
      <c r="C15" s="4" t="s">
        <v>24</v>
      </c>
      <c r="D15" s="4" t="s">
        <v>32</v>
      </c>
      <c r="E15" s="4" t="s">
        <v>33</v>
      </c>
      <c r="F15" s="12">
        <v>350</v>
      </c>
      <c r="G15" s="34">
        <f t="shared" si="1"/>
        <v>0</v>
      </c>
      <c r="H15" s="28">
        <f t="shared" si="0"/>
        <v>0</v>
      </c>
      <c r="I15" s="28">
        <f t="shared" si="2"/>
        <v>0</v>
      </c>
      <c r="J15" s="26">
        <f t="shared" si="3"/>
        <v>0</v>
      </c>
      <c r="K15" s="24">
        <f t="shared" si="4"/>
        <v>0</v>
      </c>
      <c r="L15" s="31">
        <f t="shared" si="5"/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4"/>
      <c r="AY15" s="4"/>
      <c r="CI15" s="74">
        <v>12</v>
      </c>
    </row>
    <row r="16" spans="1:121" hidden="1" x14ac:dyDescent="0.3">
      <c r="A16" t="s">
        <v>7</v>
      </c>
      <c r="B16" s="4" t="s">
        <v>8</v>
      </c>
      <c r="C16" s="4" t="s">
        <v>24</v>
      </c>
      <c r="D16" s="4" t="s">
        <v>34</v>
      </c>
      <c r="E16" s="4" t="s">
        <v>35</v>
      </c>
      <c r="F16" s="12">
        <v>348.86</v>
      </c>
      <c r="G16" s="34">
        <f t="shared" si="1"/>
        <v>453518</v>
      </c>
      <c r="H16" s="28">
        <f t="shared" si="0"/>
        <v>1300</v>
      </c>
      <c r="I16" s="28">
        <f t="shared" si="2"/>
        <v>109</v>
      </c>
      <c r="J16" s="26">
        <f t="shared" si="3"/>
        <v>34886</v>
      </c>
      <c r="K16" s="24">
        <f t="shared" si="4"/>
        <v>100</v>
      </c>
      <c r="L16" s="31">
        <f t="shared" si="5"/>
        <v>20</v>
      </c>
      <c r="M16" s="9">
        <v>0</v>
      </c>
      <c r="N16" s="9">
        <v>0</v>
      </c>
      <c r="O16" s="9">
        <v>0</v>
      </c>
      <c r="P16" s="9">
        <v>100</v>
      </c>
      <c r="Q16" s="9">
        <v>200</v>
      </c>
      <c r="R16" s="9">
        <v>250</v>
      </c>
      <c r="S16" s="9">
        <v>200</v>
      </c>
      <c r="T16" s="9">
        <v>0</v>
      </c>
      <c r="U16" s="9">
        <v>250</v>
      </c>
      <c r="V16" s="9">
        <v>200</v>
      </c>
      <c r="W16" s="9">
        <v>100</v>
      </c>
      <c r="X16" s="9">
        <v>0</v>
      </c>
      <c r="Y16" s="9">
        <v>0</v>
      </c>
      <c r="Z16" s="9">
        <v>100</v>
      </c>
      <c r="AA16" s="9">
        <v>0</v>
      </c>
      <c r="AB16" s="9">
        <v>0</v>
      </c>
      <c r="AC16" s="9">
        <v>0</v>
      </c>
      <c r="AD16" s="9">
        <v>0</v>
      </c>
      <c r="AF16" s="6">
        <v>0</v>
      </c>
      <c r="AG16" s="6">
        <v>0</v>
      </c>
      <c r="AH16" s="6">
        <v>0</v>
      </c>
      <c r="AI16" s="6">
        <v>34886</v>
      </c>
      <c r="AJ16" s="6">
        <v>69772</v>
      </c>
      <c r="AK16" s="6">
        <v>87215</v>
      </c>
      <c r="AL16" s="6">
        <v>69772</v>
      </c>
      <c r="AM16" s="6">
        <v>0</v>
      </c>
      <c r="AN16" s="6">
        <v>87215</v>
      </c>
      <c r="AO16" s="6">
        <v>69772</v>
      </c>
      <c r="AP16" s="6">
        <v>34886</v>
      </c>
      <c r="AQ16" s="6">
        <v>0</v>
      </c>
      <c r="AR16" s="6">
        <v>0</v>
      </c>
      <c r="AS16" s="6">
        <v>34886</v>
      </c>
      <c r="AT16" s="6">
        <v>0</v>
      </c>
      <c r="AU16" s="6">
        <v>0</v>
      </c>
      <c r="AV16" s="6">
        <v>0</v>
      </c>
      <c r="AW16" s="6">
        <v>0</v>
      </c>
      <c r="AX16" s="49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 t="s">
        <v>631</v>
      </c>
      <c r="CH16" s="51"/>
      <c r="CI16" s="76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>
        <f>COUNTIF(AX16:DO16,"x")</f>
        <v>1</v>
      </c>
    </row>
    <row r="17" spans="1:120" hidden="1" x14ac:dyDescent="0.3">
      <c r="A17" t="s">
        <v>7</v>
      </c>
      <c r="B17" s="4" t="s">
        <v>8</v>
      </c>
      <c r="C17" s="4" t="s">
        <v>27</v>
      </c>
      <c r="D17" s="4" t="s">
        <v>36</v>
      </c>
      <c r="E17" s="4" t="s">
        <v>37</v>
      </c>
      <c r="F17" s="12">
        <v>471.95</v>
      </c>
      <c r="G17" s="34">
        <f t="shared" si="1"/>
        <v>1461157.2</v>
      </c>
      <c r="H17" s="28">
        <f t="shared" si="0"/>
        <v>3096</v>
      </c>
      <c r="I17" s="28">
        <f t="shared" si="2"/>
        <v>258</v>
      </c>
      <c r="J17" s="26">
        <f t="shared" si="3"/>
        <v>1040177.7999999999</v>
      </c>
      <c r="K17" s="24">
        <f t="shared" si="4"/>
        <v>2204</v>
      </c>
      <c r="L17" s="31">
        <f t="shared" si="5"/>
        <v>441</v>
      </c>
      <c r="M17" s="9">
        <v>150</v>
      </c>
      <c r="N17" s="9">
        <v>350</v>
      </c>
      <c r="O17" s="9">
        <v>0</v>
      </c>
      <c r="P17" s="9">
        <v>0</v>
      </c>
      <c r="Q17" s="9">
        <v>200</v>
      </c>
      <c r="R17" s="9">
        <v>250</v>
      </c>
      <c r="S17" s="9">
        <v>100</v>
      </c>
      <c r="T17" s="9">
        <v>300</v>
      </c>
      <c r="U17" s="9">
        <v>200</v>
      </c>
      <c r="V17" s="9">
        <v>448</v>
      </c>
      <c r="W17" s="9">
        <v>400</v>
      </c>
      <c r="X17" s="9">
        <v>400</v>
      </c>
      <c r="Y17" s="9">
        <v>448</v>
      </c>
      <c r="Z17" s="9">
        <v>300</v>
      </c>
      <c r="AA17" s="9">
        <v>448</v>
      </c>
      <c r="AB17" s="9">
        <v>448</v>
      </c>
      <c r="AC17" s="9">
        <v>560</v>
      </c>
      <c r="AD17" s="9">
        <v>448</v>
      </c>
      <c r="AF17" s="6">
        <v>65340</v>
      </c>
      <c r="AG17" s="6">
        <v>159182.5</v>
      </c>
      <c r="AH17" s="6">
        <v>0</v>
      </c>
      <c r="AI17" s="6">
        <v>0</v>
      </c>
      <c r="AJ17" s="6">
        <v>94390</v>
      </c>
      <c r="AK17" s="6">
        <v>117987.5</v>
      </c>
      <c r="AL17" s="6">
        <v>47195</v>
      </c>
      <c r="AM17" s="6">
        <v>141585</v>
      </c>
      <c r="AN17" s="6">
        <v>94390</v>
      </c>
      <c r="AO17" s="6">
        <v>211433.60000000001</v>
      </c>
      <c r="AP17" s="6">
        <v>188780</v>
      </c>
      <c r="AQ17" s="6">
        <v>188780</v>
      </c>
      <c r="AR17" s="6">
        <v>211433.60000000001</v>
      </c>
      <c r="AS17" s="6">
        <v>141585</v>
      </c>
      <c r="AT17" s="6">
        <v>211433.60000000001</v>
      </c>
      <c r="AU17" s="6">
        <v>211433.60000000001</v>
      </c>
      <c r="AV17" s="6">
        <v>264292</v>
      </c>
      <c r="AW17" s="6">
        <v>211433.60000000001</v>
      </c>
      <c r="AX17" s="49"/>
      <c r="AY17" s="51" t="s">
        <v>631</v>
      </c>
      <c r="AZ17" s="51"/>
      <c r="BA17" s="51"/>
      <c r="BB17" s="51"/>
      <c r="BC17" s="51"/>
      <c r="BD17" s="51"/>
      <c r="BE17" s="51"/>
      <c r="BF17" s="51"/>
      <c r="BG17" s="51"/>
      <c r="BH17" s="51" t="s">
        <v>631</v>
      </c>
      <c r="BI17" s="51"/>
      <c r="BJ17" s="51"/>
      <c r="BK17" s="84" t="s">
        <v>631</v>
      </c>
      <c r="BL17" s="51"/>
      <c r="BM17" s="51"/>
      <c r="BN17" s="51" t="s">
        <v>631</v>
      </c>
      <c r="BO17" s="51"/>
      <c r="BP17" s="51"/>
      <c r="BQ17" s="51"/>
      <c r="BR17" s="51"/>
      <c r="BS17" s="51"/>
      <c r="BT17" s="51"/>
      <c r="BU17" s="51" t="s">
        <v>631</v>
      </c>
      <c r="BV17" s="84" t="s">
        <v>631</v>
      </c>
      <c r="BW17" s="51"/>
      <c r="BX17" s="51" t="s">
        <v>631</v>
      </c>
      <c r="BY17" s="51"/>
      <c r="BZ17" s="51"/>
      <c r="CA17" s="51"/>
      <c r="CB17" s="51"/>
      <c r="CC17" s="51"/>
      <c r="CD17" s="51"/>
      <c r="CE17" s="51"/>
      <c r="CF17" s="51"/>
      <c r="CG17" s="51" t="s">
        <v>631</v>
      </c>
      <c r="CH17" s="51" t="s">
        <v>631</v>
      </c>
      <c r="CI17" s="76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>
        <f>COUNTIF(AX17:DO17,"x")</f>
        <v>9</v>
      </c>
    </row>
    <row r="18" spans="1:120" hidden="1" x14ac:dyDescent="0.3">
      <c r="A18" t="s">
        <v>7</v>
      </c>
      <c r="B18" s="4" t="s">
        <v>8</v>
      </c>
      <c r="C18" s="4" t="s">
        <v>27</v>
      </c>
      <c r="D18" s="4" t="s">
        <v>38</v>
      </c>
      <c r="E18" s="4" t="s">
        <v>39</v>
      </c>
      <c r="F18" s="12">
        <v>468.32</v>
      </c>
      <c r="G18" s="34">
        <f t="shared" si="1"/>
        <v>187328</v>
      </c>
      <c r="H18" s="28">
        <f t="shared" si="0"/>
        <v>400</v>
      </c>
      <c r="I18" s="28">
        <f t="shared" si="2"/>
        <v>34</v>
      </c>
      <c r="J18" s="26">
        <f t="shared" si="3"/>
        <v>93664</v>
      </c>
      <c r="K18" s="24">
        <f t="shared" si="4"/>
        <v>200</v>
      </c>
      <c r="L18" s="31">
        <f t="shared" si="5"/>
        <v>40</v>
      </c>
      <c r="M18" s="9">
        <v>200</v>
      </c>
      <c r="N18" s="9">
        <v>0</v>
      </c>
      <c r="O18" s="9">
        <v>0</v>
      </c>
      <c r="P18" s="9">
        <v>200</v>
      </c>
      <c r="Q18" s="9">
        <v>0</v>
      </c>
      <c r="R18" s="9">
        <v>0</v>
      </c>
      <c r="S18" s="9">
        <v>100</v>
      </c>
      <c r="T18" s="9">
        <v>0</v>
      </c>
      <c r="U18" s="9">
        <v>0</v>
      </c>
      <c r="V18" s="9">
        <v>0</v>
      </c>
      <c r="W18" s="9">
        <v>100</v>
      </c>
      <c r="X18" s="9">
        <v>0</v>
      </c>
      <c r="Y18" s="9">
        <v>0</v>
      </c>
      <c r="Z18" s="9">
        <v>0</v>
      </c>
      <c r="AA18" s="9">
        <v>200</v>
      </c>
      <c r="AB18" s="9">
        <v>0</v>
      </c>
      <c r="AC18" s="9">
        <v>0</v>
      </c>
      <c r="AD18" s="9">
        <v>0</v>
      </c>
      <c r="AF18" s="6">
        <v>93664</v>
      </c>
      <c r="AG18" s="6">
        <v>0</v>
      </c>
      <c r="AH18" s="6">
        <v>0</v>
      </c>
      <c r="AI18" s="6">
        <v>93664</v>
      </c>
      <c r="AJ18" s="6">
        <v>0</v>
      </c>
      <c r="AK18" s="6">
        <v>0</v>
      </c>
      <c r="AL18" s="6">
        <v>46832</v>
      </c>
      <c r="AM18" s="6">
        <v>0</v>
      </c>
      <c r="AN18" s="6">
        <v>0</v>
      </c>
      <c r="AO18" s="6">
        <v>0</v>
      </c>
      <c r="AP18" s="6">
        <v>46832</v>
      </c>
      <c r="AQ18" s="6">
        <v>0</v>
      </c>
      <c r="AR18" s="6">
        <v>0</v>
      </c>
      <c r="AS18" s="6">
        <v>0</v>
      </c>
      <c r="AT18" s="6">
        <v>93664</v>
      </c>
      <c r="AU18" s="6">
        <v>0</v>
      </c>
      <c r="AV18" s="6">
        <v>0</v>
      </c>
      <c r="AW18" s="6">
        <v>0</v>
      </c>
      <c r="AX18" s="49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 t="s">
        <v>631</v>
      </c>
      <c r="CH18" s="51" t="s">
        <v>631</v>
      </c>
      <c r="CI18" s="76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>
        <f>COUNTIF(AX18:DO18,"x")</f>
        <v>2</v>
      </c>
    </row>
    <row r="19" spans="1:120" hidden="1" x14ac:dyDescent="0.3">
      <c r="A19" t="s">
        <v>7</v>
      </c>
      <c r="B19" s="4" t="s">
        <v>8</v>
      </c>
      <c r="C19" s="4" t="s">
        <v>24</v>
      </c>
      <c r="D19" s="4" t="s">
        <v>40</v>
      </c>
      <c r="E19" s="4" t="s">
        <v>41</v>
      </c>
      <c r="F19" s="12">
        <v>5.99</v>
      </c>
      <c r="G19" s="34">
        <f t="shared" si="1"/>
        <v>0</v>
      </c>
      <c r="H19" s="28">
        <f t="shared" si="0"/>
        <v>0</v>
      </c>
      <c r="I19" s="28">
        <f t="shared" si="2"/>
        <v>0</v>
      </c>
      <c r="J19" s="26">
        <f t="shared" si="3"/>
        <v>0</v>
      </c>
      <c r="K19" s="24">
        <f t="shared" si="4"/>
        <v>0</v>
      </c>
      <c r="L19" s="31">
        <f t="shared" si="5"/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4"/>
      <c r="AY19" s="4"/>
      <c r="CI19" s="74">
        <v>200</v>
      </c>
    </row>
    <row r="20" spans="1:120" hidden="1" x14ac:dyDescent="0.3">
      <c r="A20" t="s">
        <v>7</v>
      </c>
      <c r="B20" s="4" t="s">
        <v>8</v>
      </c>
      <c r="C20" s="4" t="s">
        <v>27</v>
      </c>
      <c r="D20" s="4" t="s">
        <v>42</v>
      </c>
      <c r="E20" s="4" t="s">
        <v>43</v>
      </c>
      <c r="F20" s="12">
        <v>1.82</v>
      </c>
      <c r="G20" s="34">
        <f t="shared" si="1"/>
        <v>0</v>
      </c>
      <c r="H20" s="28">
        <f t="shared" si="0"/>
        <v>0</v>
      </c>
      <c r="I20" s="28">
        <f t="shared" si="2"/>
        <v>0</v>
      </c>
      <c r="J20" s="26">
        <f t="shared" si="3"/>
        <v>0</v>
      </c>
      <c r="K20" s="24">
        <f t="shared" si="4"/>
        <v>0</v>
      </c>
      <c r="L20" s="31">
        <f t="shared" si="5"/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4"/>
      <c r="AY20" s="4"/>
      <c r="CI20" s="74" t="e">
        <v>#N/A</v>
      </c>
    </row>
    <row r="21" spans="1:120" hidden="1" x14ac:dyDescent="0.3">
      <c r="A21" t="s">
        <v>7</v>
      </c>
      <c r="B21" s="4" t="s">
        <v>8</v>
      </c>
      <c r="C21" s="4" t="s">
        <v>44</v>
      </c>
      <c r="D21" s="4" t="s">
        <v>45</v>
      </c>
      <c r="E21" s="4" t="s">
        <v>46</v>
      </c>
      <c r="F21" s="12">
        <v>5.87</v>
      </c>
      <c r="G21" s="34">
        <f t="shared" si="1"/>
        <v>0</v>
      </c>
      <c r="H21" s="28">
        <f t="shared" si="0"/>
        <v>0</v>
      </c>
      <c r="I21" s="28">
        <f t="shared" si="2"/>
        <v>0</v>
      </c>
      <c r="J21" s="26">
        <f t="shared" si="3"/>
        <v>0</v>
      </c>
      <c r="K21" s="24">
        <f t="shared" si="4"/>
        <v>0</v>
      </c>
      <c r="L21" s="31">
        <f t="shared" si="5"/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4"/>
      <c r="AY21" s="4"/>
      <c r="CI21" s="74" t="e">
        <v>#N/A</v>
      </c>
    </row>
    <row r="22" spans="1:120" hidden="1" x14ac:dyDescent="0.3">
      <c r="A22" t="s">
        <v>7</v>
      </c>
      <c r="B22" s="4" t="s">
        <v>8</v>
      </c>
      <c r="C22" s="4" t="s">
        <v>47</v>
      </c>
      <c r="D22" s="4" t="s">
        <v>48</v>
      </c>
      <c r="E22" s="4" t="s">
        <v>49</v>
      </c>
      <c r="F22" s="12">
        <v>79.11</v>
      </c>
      <c r="G22" s="34">
        <f t="shared" si="1"/>
        <v>0</v>
      </c>
      <c r="H22" s="28">
        <f t="shared" si="0"/>
        <v>0</v>
      </c>
      <c r="I22" s="28">
        <f t="shared" si="2"/>
        <v>0</v>
      </c>
      <c r="J22" s="26">
        <f t="shared" si="3"/>
        <v>0</v>
      </c>
      <c r="K22" s="24">
        <f t="shared" si="4"/>
        <v>0</v>
      </c>
      <c r="L22" s="31">
        <f t="shared" si="5"/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4"/>
      <c r="AY22" s="4"/>
      <c r="CI22" s="74">
        <v>100</v>
      </c>
    </row>
    <row r="23" spans="1:120" hidden="1" x14ac:dyDescent="0.3">
      <c r="A23" t="s">
        <v>7</v>
      </c>
      <c r="B23" s="4" t="s">
        <v>8</v>
      </c>
      <c r="C23" s="4" t="s">
        <v>47</v>
      </c>
      <c r="D23" s="4" t="s">
        <v>50</v>
      </c>
      <c r="E23" s="4" t="s">
        <v>51</v>
      </c>
      <c r="F23" s="12">
        <v>89.36</v>
      </c>
      <c r="G23" s="34">
        <f t="shared" si="1"/>
        <v>0</v>
      </c>
      <c r="H23" s="28">
        <f t="shared" si="0"/>
        <v>0</v>
      </c>
      <c r="I23" s="28">
        <f t="shared" si="2"/>
        <v>0</v>
      </c>
      <c r="J23" s="26">
        <f t="shared" si="3"/>
        <v>0</v>
      </c>
      <c r="K23" s="24">
        <f t="shared" si="4"/>
        <v>0</v>
      </c>
      <c r="L23" s="31">
        <f t="shared" si="5"/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4"/>
      <c r="AY23" s="4"/>
      <c r="CI23" s="74">
        <v>100</v>
      </c>
    </row>
    <row r="24" spans="1:120" hidden="1" x14ac:dyDescent="0.3">
      <c r="A24" t="s">
        <v>7</v>
      </c>
      <c r="B24" s="4" t="s">
        <v>8</v>
      </c>
      <c r="C24" s="4" t="s">
        <v>52</v>
      </c>
      <c r="D24" s="4" t="s">
        <v>53</v>
      </c>
      <c r="E24" s="4" t="s">
        <v>54</v>
      </c>
      <c r="F24" s="12">
        <v>2814.12</v>
      </c>
      <c r="G24" s="34">
        <f t="shared" si="1"/>
        <v>396790.92</v>
      </c>
      <c r="H24" s="28">
        <f t="shared" si="0"/>
        <v>141</v>
      </c>
      <c r="I24" s="28">
        <f t="shared" si="2"/>
        <v>12</v>
      </c>
      <c r="J24" s="26">
        <f t="shared" si="3"/>
        <v>0</v>
      </c>
      <c r="K24" s="24">
        <f t="shared" si="4"/>
        <v>0</v>
      </c>
      <c r="L24" s="31">
        <f t="shared" si="5"/>
        <v>0</v>
      </c>
      <c r="M24" s="9">
        <v>46</v>
      </c>
      <c r="N24" s="9">
        <v>69</v>
      </c>
      <c r="O24" s="9">
        <v>20</v>
      </c>
      <c r="P24" s="9">
        <v>52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F24" s="6">
        <v>129449.51999999999</v>
      </c>
      <c r="AG24" s="6">
        <v>194174.28</v>
      </c>
      <c r="AH24" s="6">
        <v>56282.399999999994</v>
      </c>
      <c r="AI24" s="6">
        <v>146334.24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49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 t="s">
        <v>631</v>
      </c>
      <c r="CC24" s="51"/>
      <c r="CD24" s="51"/>
      <c r="CE24" s="51"/>
      <c r="CF24" s="51"/>
      <c r="CG24" s="51"/>
      <c r="CH24" s="85" t="s">
        <v>631</v>
      </c>
      <c r="CI24" s="76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>
        <f>COUNTIF(AX24:DO24,"x")</f>
        <v>2</v>
      </c>
    </row>
    <row r="25" spans="1:120" hidden="1" x14ac:dyDescent="0.3">
      <c r="A25" t="s">
        <v>7</v>
      </c>
      <c r="B25" s="4" t="s">
        <v>8</v>
      </c>
      <c r="C25" s="4" t="s">
        <v>52</v>
      </c>
      <c r="D25" s="4" t="s">
        <v>55</v>
      </c>
      <c r="E25" s="4" t="s">
        <v>54</v>
      </c>
      <c r="F25" s="12">
        <v>0</v>
      </c>
      <c r="G25" s="34">
        <f t="shared" si="1"/>
        <v>0</v>
      </c>
      <c r="H25" s="28">
        <f t="shared" si="0"/>
        <v>1</v>
      </c>
      <c r="I25" s="28">
        <f t="shared" si="2"/>
        <v>1</v>
      </c>
      <c r="J25" s="26">
        <f t="shared" si="3"/>
        <v>0</v>
      </c>
      <c r="K25" s="24">
        <f t="shared" si="4"/>
        <v>0</v>
      </c>
      <c r="L25" s="31">
        <f t="shared" si="5"/>
        <v>0</v>
      </c>
      <c r="M25" s="9">
        <v>0</v>
      </c>
      <c r="N25" s="9">
        <v>1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F25" s="6">
        <v>0</v>
      </c>
      <c r="AG25" s="6">
        <v>3210.04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49" t="s">
        <v>631</v>
      </c>
      <c r="AY25" s="51" t="s">
        <v>631</v>
      </c>
      <c r="AZ25" s="51" t="s">
        <v>631</v>
      </c>
      <c r="BA25" s="51"/>
      <c r="BB25" s="51"/>
      <c r="BC25" s="51"/>
      <c r="BD25" s="51"/>
      <c r="BE25" s="51"/>
      <c r="BF25" s="51"/>
      <c r="BG25" s="51"/>
      <c r="BH25" s="51" t="s">
        <v>631</v>
      </c>
      <c r="BI25" s="51"/>
      <c r="BJ25" s="51" t="s">
        <v>631</v>
      </c>
      <c r="BK25" s="84" t="s">
        <v>631</v>
      </c>
      <c r="BL25" s="51"/>
      <c r="BM25" s="51"/>
      <c r="BN25" s="51"/>
      <c r="BO25" s="51"/>
      <c r="BP25" s="84" t="s">
        <v>631</v>
      </c>
      <c r="BQ25" s="51"/>
      <c r="BR25" s="51"/>
      <c r="BS25" s="51"/>
      <c r="BT25" s="51"/>
      <c r="BU25" s="51" t="s">
        <v>631</v>
      </c>
      <c r="BV25" s="84" t="s">
        <v>631</v>
      </c>
      <c r="BW25" s="51"/>
      <c r="BX25" s="51" t="s">
        <v>631</v>
      </c>
      <c r="BY25" s="51"/>
      <c r="BZ25" s="51"/>
      <c r="CA25" s="51"/>
      <c r="CB25" s="51" t="s">
        <v>631</v>
      </c>
      <c r="CC25" s="51"/>
      <c r="CD25" s="51"/>
      <c r="CE25" s="51"/>
      <c r="CF25" s="51"/>
      <c r="CG25" s="51"/>
      <c r="CH25" s="51" t="s">
        <v>631</v>
      </c>
      <c r="CI25" s="76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>
        <f>COUNTIF(AX25:DO25,"x")</f>
        <v>12</v>
      </c>
    </row>
    <row r="26" spans="1:120" hidden="1" x14ac:dyDescent="0.3">
      <c r="A26" t="s">
        <v>7</v>
      </c>
      <c r="B26" s="4" t="s">
        <v>8</v>
      </c>
      <c r="C26" s="4" t="s">
        <v>56</v>
      </c>
      <c r="D26" s="4" t="s">
        <v>57</v>
      </c>
      <c r="E26" s="4" t="s">
        <v>58</v>
      </c>
      <c r="F26" s="12">
        <v>55.1</v>
      </c>
      <c r="G26" s="34">
        <f t="shared" si="1"/>
        <v>0</v>
      </c>
      <c r="H26" s="28">
        <f t="shared" si="0"/>
        <v>0</v>
      </c>
      <c r="I26" s="28">
        <f t="shared" si="2"/>
        <v>0</v>
      </c>
      <c r="J26" s="26">
        <f t="shared" si="3"/>
        <v>0</v>
      </c>
      <c r="K26" s="24">
        <f t="shared" si="4"/>
        <v>0</v>
      </c>
      <c r="L26" s="31">
        <f t="shared" si="5"/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4"/>
      <c r="AY26" s="4"/>
      <c r="CI26" s="74">
        <v>60</v>
      </c>
    </row>
    <row r="27" spans="1:120" hidden="1" x14ac:dyDescent="0.3">
      <c r="A27" t="s">
        <v>7</v>
      </c>
      <c r="B27" s="4" t="s">
        <v>8</v>
      </c>
      <c r="C27" s="4" t="s">
        <v>56</v>
      </c>
      <c r="D27" s="4" t="s">
        <v>59</v>
      </c>
      <c r="E27" s="4" t="s">
        <v>60</v>
      </c>
      <c r="F27" s="12">
        <v>6.02</v>
      </c>
      <c r="G27" s="34">
        <f t="shared" si="1"/>
        <v>0</v>
      </c>
      <c r="H27" s="28">
        <f t="shared" si="0"/>
        <v>0</v>
      </c>
      <c r="I27" s="28">
        <f t="shared" si="2"/>
        <v>0</v>
      </c>
      <c r="J27" s="26">
        <f t="shared" si="3"/>
        <v>0</v>
      </c>
      <c r="K27" s="24">
        <f t="shared" si="4"/>
        <v>0</v>
      </c>
      <c r="L27" s="31">
        <f t="shared" si="5"/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4"/>
      <c r="AY27" s="4"/>
      <c r="CI27" s="74">
        <v>100</v>
      </c>
    </row>
    <row r="28" spans="1:120" hidden="1" x14ac:dyDescent="0.3">
      <c r="A28" t="s">
        <v>7</v>
      </c>
      <c r="B28" s="4" t="s">
        <v>8</v>
      </c>
      <c r="C28" s="4" t="s">
        <v>61</v>
      </c>
      <c r="D28" s="4" t="s">
        <v>62</v>
      </c>
      <c r="E28" s="4" t="s">
        <v>63</v>
      </c>
      <c r="F28" s="12">
        <v>7.37</v>
      </c>
      <c r="G28" s="34">
        <f t="shared" si="1"/>
        <v>0</v>
      </c>
      <c r="H28" s="28">
        <f t="shared" si="0"/>
        <v>0</v>
      </c>
      <c r="I28" s="28">
        <f t="shared" si="2"/>
        <v>0</v>
      </c>
      <c r="J28" s="26">
        <f t="shared" si="3"/>
        <v>0</v>
      </c>
      <c r="K28" s="24">
        <f t="shared" si="4"/>
        <v>0</v>
      </c>
      <c r="L28" s="31">
        <f t="shared" si="5"/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4"/>
      <c r="AY28" s="4"/>
      <c r="CI28" s="74">
        <v>100</v>
      </c>
    </row>
    <row r="29" spans="1:120" hidden="1" x14ac:dyDescent="0.3">
      <c r="A29" t="s">
        <v>7</v>
      </c>
      <c r="B29" s="4" t="s">
        <v>8</v>
      </c>
      <c r="C29" s="4" t="s">
        <v>61</v>
      </c>
      <c r="D29" s="4" t="s">
        <v>64</v>
      </c>
      <c r="E29" s="4" t="s">
        <v>63</v>
      </c>
      <c r="F29" s="12">
        <v>7.09</v>
      </c>
      <c r="G29" s="34">
        <f t="shared" si="1"/>
        <v>0</v>
      </c>
      <c r="H29" s="28">
        <f t="shared" si="0"/>
        <v>0</v>
      </c>
      <c r="I29" s="28">
        <f t="shared" si="2"/>
        <v>0</v>
      </c>
      <c r="J29" s="26">
        <f t="shared" si="3"/>
        <v>0</v>
      </c>
      <c r="K29" s="24">
        <f t="shared" si="4"/>
        <v>0</v>
      </c>
      <c r="L29" s="31">
        <f t="shared" si="5"/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4"/>
      <c r="AY29" s="4"/>
      <c r="CI29" s="74">
        <v>100</v>
      </c>
    </row>
    <row r="30" spans="1:120" hidden="1" x14ac:dyDescent="0.3">
      <c r="A30" t="s">
        <v>7</v>
      </c>
      <c r="B30" s="4" t="s">
        <v>8</v>
      </c>
      <c r="C30" s="4" t="s">
        <v>65</v>
      </c>
      <c r="D30" s="4" t="s">
        <v>66</v>
      </c>
      <c r="E30" s="4" t="s">
        <v>67</v>
      </c>
      <c r="F30" s="12">
        <v>90.56</v>
      </c>
      <c r="G30" s="34">
        <f t="shared" si="1"/>
        <v>0</v>
      </c>
      <c r="H30" s="28">
        <f t="shared" si="0"/>
        <v>0</v>
      </c>
      <c r="I30" s="28">
        <f t="shared" si="2"/>
        <v>0</v>
      </c>
      <c r="J30" s="26">
        <f t="shared" si="3"/>
        <v>0</v>
      </c>
      <c r="K30" s="24">
        <f t="shared" si="4"/>
        <v>0</v>
      </c>
      <c r="L30" s="31">
        <f t="shared" si="5"/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4"/>
      <c r="AY30" s="4"/>
      <c r="CI30" s="74">
        <v>60</v>
      </c>
    </row>
    <row r="31" spans="1:120" hidden="1" x14ac:dyDescent="0.3">
      <c r="A31" t="s">
        <v>7</v>
      </c>
      <c r="B31" s="4" t="s">
        <v>8</v>
      </c>
      <c r="C31" s="4" t="s">
        <v>65</v>
      </c>
      <c r="D31" s="4" t="s">
        <v>68</v>
      </c>
      <c r="E31" s="4" t="s">
        <v>69</v>
      </c>
      <c r="F31" s="12">
        <v>7.19</v>
      </c>
      <c r="G31" s="34">
        <f t="shared" si="1"/>
        <v>0</v>
      </c>
      <c r="H31" s="28">
        <f t="shared" si="0"/>
        <v>0</v>
      </c>
      <c r="I31" s="28">
        <f t="shared" si="2"/>
        <v>0</v>
      </c>
      <c r="J31" s="26">
        <f t="shared" si="3"/>
        <v>0</v>
      </c>
      <c r="K31" s="24">
        <f t="shared" si="4"/>
        <v>0</v>
      </c>
      <c r="L31" s="31">
        <f t="shared" si="5"/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4"/>
      <c r="AY31" s="4"/>
      <c r="CI31" s="74" t="e">
        <v>#N/A</v>
      </c>
    </row>
    <row r="32" spans="1:120" x14ac:dyDescent="0.3">
      <c r="A32" t="s">
        <v>7</v>
      </c>
      <c r="B32" s="4" t="s">
        <v>70</v>
      </c>
      <c r="C32" s="4" t="s">
        <v>70</v>
      </c>
      <c r="D32" s="4" t="s">
        <v>72</v>
      </c>
      <c r="E32" s="4" t="s">
        <v>73</v>
      </c>
      <c r="F32" s="12">
        <v>5.38</v>
      </c>
      <c r="G32" s="34">
        <f t="shared" si="1"/>
        <v>1059.8599999999999</v>
      </c>
      <c r="H32" s="28">
        <f t="shared" si="0"/>
        <v>197</v>
      </c>
      <c r="I32" s="28">
        <f t="shared" si="2"/>
        <v>17</v>
      </c>
      <c r="J32" s="26">
        <f t="shared" si="3"/>
        <v>0</v>
      </c>
      <c r="K32" s="24">
        <f t="shared" si="4"/>
        <v>0</v>
      </c>
      <c r="L32" s="31">
        <f t="shared" si="5"/>
        <v>0</v>
      </c>
      <c r="M32" s="9">
        <v>3</v>
      </c>
      <c r="N32" s="9">
        <v>197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F32" s="6">
        <v>16.14</v>
      </c>
      <c r="AG32" s="6">
        <v>1059.8599999999999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48"/>
      <c r="AY32" s="51"/>
      <c r="AZ32" s="51" t="s">
        <v>631</v>
      </c>
      <c r="BA32" s="51"/>
      <c r="BB32" s="51"/>
      <c r="BC32" s="51"/>
      <c r="BD32" s="51"/>
      <c r="BE32" s="51"/>
      <c r="BF32" s="51"/>
      <c r="BG32" s="51"/>
      <c r="BH32" s="51" t="s">
        <v>631</v>
      </c>
      <c r="BI32" s="51"/>
      <c r="BJ32" s="51"/>
      <c r="BK32" s="84" t="s">
        <v>631</v>
      </c>
      <c r="BL32" s="51"/>
      <c r="BM32" s="51"/>
      <c r="BN32" s="51"/>
      <c r="BO32" s="51"/>
      <c r="BP32" s="51"/>
      <c r="BQ32" s="51"/>
      <c r="BR32" s="51"/>
      <c r="BS32" s="51"/>
      <c r="BT32" s="51"/>
      <c r="BU32" s="51" t="s">
        <v>631</v>
      </c>
      <c r="BV32" s="84" t="s">
        <v>631</v>
      </c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 t="s">
        <v>631</v>
      </c>
      <c r="CH32" s="85" t="s">
        <v>631</v>
      </c>
      <c r="CI32" s="76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>
        <f>COUNTIF(AX32:DO32,"x")</f>
        <v>7</v>
      </c>
    </row>
    <row r="33" spans="1:120" x14ac:dyDescent="0.3">
      <c r="A33" t="s">
        <v>7</v>
      </c>
      <c r="B33" s="4" t="s">
        <v>70</v>
      </c>
      <c r="C33" s="4" t="s">
        <v>70</v>
      </c>
      <c r="D33" s="4" t="s">
        <v>74</v>
      </c>
      <c r="E33" s="4" t="s">
        <v>75</v>
      </c>
      <c r="F33" s="12">
        <v>721.83</v>
      </c>
      <c r="G33" s="34">
        <f t="shared" si="1"/>
        <v>2165.4900000000002</v>
      </c>
      <c r="H33" s="28">
        <f t="shared" si="0"/>
        <v>3</v>
      </c>
      <c r="I33" s="28">
        <f t="shared" si="2"/>
        <v>1</v>
      </c>
      <c r="J33" s="26">
        <f t="shared" si="3"/>
        <v>0</v>
      </c>
      <c r="K33" s="24">
        <f t="shared" si="4"/>
        <v>0</v>
      </c>
      <c r="L33" s="31">
        <f t="shared" si="5"/>
        <v>0</v>
      </c>
      <c r="M33" s="9">
        <v>0</v>
      </c>
      <c r="N33" s="9">
        <v>3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F33" s="6">
        <v>0</v>
      </c>
      <c r="AG33" s="6">
        <v>2165.4900000000002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49"/>
      <c r="AY33" s="51"/>
      <c r="AZ33" s="51" t="s">
        <v>631</v>
      </c>
      <c r="BA33" s="51"/>
      <c r="BB33" s="51"/>
      <c r="BC33" s="51"/>
      <c r="BD33" s="51"/>
      <c r="BE33" s="51"/>
      <c r="BF33" s="51"/>
      <c r="BG33" s="51"/>
      <c r="BH33" s="51" t="s">
        <v>631</v>
      </c>
      <c r="BI33" s="51"/>
      <c r="BJ33" s="51" t="s">
        <v>631</v>
      </c>
      <c r="BK33" s="84" t="s">
        <v>631</v>
      </c>
      <c r="BL33" s="51"/>
      <c r="BM33" s="51"/>
      <c r="BN33" s="51"/>
      <c r="BO33" s="51"/>
      <c r="BP33" s="84" t="s">
        <v>631</v>
      </c>
      <c r="BQ33" s="51"/>
      <c r="BR33" s="51"/>
      <c r="BS33" s="51"/>
      <c r="BT33" s="51"/>
      <c r="BU33" s="51" t="s">
        <v>631</v>
      </c>
      <c r="BV33" s="84" t="s">
        <v>631</v>
      </c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 t="s">
        <v>631</v>
      </c>
      <c r="CH33" s="85" t="s">
        <v>631</v>
      </c>
      <c r="CI33" s="76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>
        <f>COUNTIF(AX33:DO33,"x")</f>
        <v>9</v>
      </c>
    </row>
    <row r="34" spans="1:120" hidden="1" x14ac:dyDescent="0.3">
      <c r="A34" t="s">
        <v>7</v>
      </c>
      <c r="B34" s="4" t="s">
        <v>70</v>
      </c>
      <c r="C34" s="4" t="s">
        <v>70</v>
      </c>
      <c r="D34" s="4" t="s">
        <v>76</v>
      </c>
      <c r="E34" s="4" t="s">
        <v>77</v>
      </c>
      <c r="F34" s="12">
        <v>65.260000000000005</v>
      </c>
      <c r="G34" s="34">
        <f t="shared" si="1"/>
        <v>0</v>
      </c>
      <c r="H34" s="28">
        <f t="shared" si="0"/>
        <v>0</v>
      </c>
      <c r="I34" s="28">
        <f t="shared" si="2"/>
        <v>0</v>
      </c>
      <c r="J34" s="26">
        <f t="shared" si="3"/>
        <v>0</v>
      </c>
      <c r="K34" s="24">
        <f t="shared" si="4"/>
        <v>0</v>
      </c>
      <c r="L34" s="31">
        <f t="shared" si="5"/>
        <v>0</v>
      </c>
      <c r="M34" s="9">
        <v>3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F34" s="6">
        <v>195.78000000000003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4"/>
      <c r="AY34" s="4"/>
      <c r="CI34" s="74" t="e">
        <v>#N/A</v>
      </c>
    </row>
    <row r="35" spans="1:120" hidden="1" x14ac:dyDescent="0.3">
      <c r="A35" t="s">
        <v>7</v>
      </c>
      <c r="B35" s="4" t="s">
        <v>70</v>
      </c>
      <c r="C35" s="4" t="s">
        <v>70</v>
      </c>
      <c r="D35" s="4" t="s">
        <v>78</v>
      </c>
      <c r="E35" s="4" t="s">
        <v>79</v>
      </c>
      <c r="F35" s="12">
        <v>82.73</v>
      </c>
      <c r="G35" s="34">
        <f t="shared" si="1"/>
        <v>0</v>
      </c>
      <c r="H35" s="28">
        <f t="shared" si="0"/>
        <v>0</v>
      </c>
      <c r="I35" s="28">
        <f t="shared" si="2"/>
        <v>0</v>
      </c>
      <c r="J35" s="26">
        <f t="shared" si="3"/>
        <v>0</v>
      </c>
      <c r="K35" s="24">
        <f t="shared" si="4"/>
        <v>0</v>
      </c>
      <c r="L35" s="31">
        <f t="shared" si="5"/>
        <v>0</v>
      </c>
      <c r="M35" s="9">
        <v>3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F35" s="6">
        <v>248.19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4"/>
      <c r="AY35" s="4"/>
      <c r="CI35" s="74" t="e">
        <v>#N/A</v>
      </c>
    </row>
    <row r="36" spans="1:120" hidden="1" x14ac:dyDescent="0.3">
      <c r="A36" t="s">
        <v>7</v>
      </c>
      <c r="B36" s="4" t="s">
        <v>70</v>
      </c>
      <c r="C36" s="4" t="s">
        <v>70</v>
      </c>
      <c r="D36" s="4" t="s">
        <v>80</v>
      </c>
      <c r="E36" s="4" t="s">
        <v>81</v>
      </c>
      <c r="F36" s="12">
        <v>183</v>
      </c>
      <c r="G36" s="34">
        <f t="shared" si="1"/>
        <v>0</v>
      </c>
      <c r="H36" s="28">
        <f t="shared" si="0"/>
        <v>0</v>
      </c>
      <c r="I36" s="28">
        <f t="shared" si="2"/>
        <v>0</v>
      </c>
      <c r="J36" s="26">
        <f t="shared" si="3"/>
        <v>0</v>
      </c>
      <c r="K36" s="24">
        <f t="shared" si="4"/>
        <v>0</v>
      </c>
      <c r="L36" s="31">
        <f t="shared" si="5"/>
        <v>0</v>
      </c>
      <c r="M36" s="9">
        <v>3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F36" s="6">
        <v>549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4"/>
      <c r="AY36" s="4"/>
      <c r="CI36" s="74" t="e">
        <v>#N/A</v>
      </c>
    </row>
    <row r="37" spans="1:120" x14ac:dyDescent="0.3">
      <c r="A37" t="s">
        <v>7</v>
      </c>
      <c r="B37" s="4" t="s">
        <v>70</v>
      </c>
      <c r="C37" s="4" t="s">
        <v>70</v>
      </c>
      <c r="D37" s="4" t="s">
        <v>82</v>
      </c>
      <c r="E37" s="4" t="s">
        <v>83</v>
      </c>
      <c r="F37" s="12">
        <v>120.2</v>
      </c>
      <c r="G37" s="34">
        <f t="shared" si="1"/>
        <v>360.6</v>
      </c>
      <c r="H37" s="28">
        <f t="shared" si="0"/>
        <v>3</v>
      </c>
      <c r="I37" s="28">
        <f t="shared" si="2"/>
        <v>1</v>
      </c>
      <c r="J37" s="26">
        <f t="shared" si="3"/>
        <v>0</v>
      </c>
      <c r="K37" s="24">
        <f t="shared" si="4"/>
        <v>0</v>
      </c>
      <c r="L37" s="31">
        <f t="shared" si="5"/>
        <v>0</v>
      </c>
      <c r="M37" s="9">
        <v>0</v>
      </c>
      <c r="N37" s="9">
        <v>3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F37" s="6">
        <v>0</v>
      </c>
      <c r="AG37" s="6">
        <v>360.6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49"/>
      <c r="AY37" s="51"/>
      <c r="AZ37" s="51" t="s">
        <v>631</v>
      </c>
      <c r="BA37" s="51"/>
      <c r="BB37" s="51"/>
      <c r="BC37" s="51"/>
      <c r="BD37" s="51"/>
      <c r="BE37" s="51"/>
      <c r="BF37" s="51"/>
      <c r="BG37" s="51"/>
      <c r="BH37" s="51" t="s">
        <v>631</v>
      </c>
      <c r="BI37" s="51"/>
      <c r="BJ37" s="51"/>
      <c r="BK37" s="84" t="s">
        <v>631</v>
      </c>
      <c r="BL37" s="51"/>
      <c r="BM37" s="51"/>
      <c r="BN37" s="51"/>
      <c r="BO37" s="51"/>
      <c r="BP37" s="84" t="s">
        <v>631</v>
      </c>
      <c r="BQ37" s="51"/>
      <c r="BR37" s="51"/>
      <c r="BS37" s="51"/>
      <c r="BT37" s="51"/>
      <c r="BU37" s="51" t="s">
        <v>631</v>
      </c>
      <c r="BV37" s="84" t="s">
        <v>631</v>
      </c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 t="s">
        <v>631</v>
      </c>
      <c r="CH37" s="85" t="s">
        <v>631</v>
      </c>
      <c r="CI37" s="76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>
        <f>COUNTIF(AX37:DO37,"x")</f>
        <v>8</v>
      </c>
    </row>
    <row r="38" spans="1:120" hidden="1" x14ac:dyDescent="0.3">
      <c r="A38" t="s">
        <v>7</v>
      </c>
      <c r="B38" s="4" t="s">
        <v>70</v>
      </c>
      <c r="C38" s="4" t="s">
        <v>70</v>
      </c>
      <c r="D38" s="4" t="s">
        <v>84</v>
      </c>
      <c r="E38" s="4" t="s">
        <v>85</v>
      </c>
      <c r="F38" s="12">
        <v>85.98</v>
      </c>
      <c r="G38" s="34">
        <f t="shared" si="1"/>
        <v>0</v>
      </c>
      <c r="H38" s="28">
        <f t="shared" ref="H38:H70" si="6">SUM(N38:Y38)</f>
        <v>0</v>
      </c>
      <c r="I38" s="28">
        <f t="shared" si="2"/>
        <v>0</v>
      </c>
      <c r="J38" s="26">
        <f t="shared" si="3"/>
        <v>0</v>
      </c>
      <c r="K38" s="24">
        <f t="shared" si="4"/>
        <v>0</v>
      </c>
      <c r="L38" s="31">
        <f t="shared" si="5"/>
        <v>0</v>
      </c>
      <c r="M38" s="9">
        <v>3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F38" s="6">
        <v>257.94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4"/>
      <c r="AY38" s="4"/>
      <c r="CI38" s="74" t="e">
        <v>#N/A</v>
      </c>
    </row>
    <row r="39" spans="1:120" x14ac:dyDescent="0.3">
      <c r="A39" t="s">
        <v>7</v>
      </c>
      <c r="B39" s="4" t="s">
        <v>70</v>
      </c>
      <c r="C39" s="4" t="s">
        <v>70</v>
      </c>
      <c r="D39" s="4" t="s">
        <v>86</v>
      </c>
      <c r="E39" s="4" t="s">
        <v>87</v>
      </c>
      <c r="F39" s="12">
        <v>511.04</v>
      </c>
      <c r="G39" s="34">
        <f t="shared" si="1"/>
        <v>1533.1200000000001</v>
      </c>
      <c r="H39" s="28">
        <f t="shared" si="6"/>
        <v>3</v>
      </c>
      <c r="I39" s="28">
        <f t="shared" si="2"/>
        <v>1</v>
      </c>
      <c r="J39" s="26">
        <f t="shared" si="3"/>
        <v>0</v>
      </c>
      <c r="K39" s="24">
        <f t="shared" si="4"/>
        <v>0</v>
      </c>
      <c r="L39" s="31">
        <f t="shared" si="5"/>
        <v>0</v>
      </c>
      <c r="M39" s="9">
        <v>0</v>
      </c>
      <c r="N39" s="9">
        <v>3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F39" s="6">
        <v>0</v>
      </c>
      <c r="AG39" s="6">
        <v>1533.1200000000001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49"/>
      <c r="AY39" s="51"/>
      <c r="AZ39" s="51" t="s">
        <v>631</v>
      </c>
      <c r="BA39" s="51"/>
      <c r="BB39" s="51"/>
      <c r="BC39" s="51"/>
      <c r="BD39" s="51"/>
      <c r="BE39" s="51"/>
      <c r="BF39" s="51"/>
      <c r="BG39" s="51"/>
      <c r="BH39" s="51" t="s">
        <v>631</v>
      </c>
      <c r="BI39" s="51"/>
      <c r="BJ39" s="51" t="s">
        <v>631</v>
      </c>
      <c r="BK39" s="84" t="s">
        <v>631</v>
      </c>
      <c r="BL39" s="51"/>
      <c r="BM39" s="51"/>
      <c r="BN39" s="51"/>
      <c r="BO39" s="51"/>
      <c r="BP39" s="84" t="s">
        <v>631</v>
      </c>
      <c r="BQ39" s="51"/>
      <c r="BR39" s="51"/>
      <c r="BS39" s="51"/>
      <c r="BT39" s="51"/>
      <c r="BU39" s="51" t="s">
        <v>631</v>
      </c>
      <c r="BV39" s="84" t="s">
        <v>631</v>
      </c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 t="s">
        <v>631</v>
      </c>
      <c r="CH39" s="85" t="s">
        <v>631</v>
      </c>
      <c r="CI39" s="76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>
        <f>COUNTIF(AX39:DO39,"x")</f>
        <v>9</v>
      </c>
    </row>
    <row r="40" spans="1:120" hidden="1" x14ac:dyDescent="0.3">
      <c r="A40" t="s">
        <v>7</v>
      </c>
      <c r="B40" s="4" t="s">
        <v>70</v>
      </c>
      <c r="C40" s="4" t="s">
        <v>70</v>
      </c>
      <c r="D40" s="4" t="s">
        <v>88</v>
      </c>
      <c r="E40" s="4" t="s">
        <v>89</v>
      </c>
      <c r="F40" s="12">
        <v>71.2</v>
      </c>
      <c r="G40" s="34">
        <f t="shared" si="1"/>
        <v>0</v>
      </c>
      <c r="H40" s="28">
        <f t="shared" si="6"/>
        <v>0</v>
      </c>
      <c r="I40" s="28">
        <f t="shared" si="2"/>
        <v>0</v>
      </c>
      <c r="J40" s="26">
        <f t="shared" si="3"/>
        <v>0</v>
      </c>
      <c r="K40" s="24">
        <f t="shared" si="4"/>
        <v>0</v>
      </c>
      <c r="L40" s="31">
        <f t="shared" si="5"/>
        <v>0</v>
      </c>
      <c r="M40" s="9">
        <v>3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F40" s="6">
        <v>213.60000000000002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4"/>
      <c r="AY40" s="4"/>
      <c r="CI40" s="74" t="e">
        <v>#N/A</v>
      </c>
    </row>
    <row r="41" spans="1:120" hidden="1" x14ac:dyDescent="0.3">
      <c r="A41" t="s">
        <v>7</v>
      </c>
      <c r="B41" s="4" t="s">
        <v>70</v>
      </c>
      <c r="C41" s="4" t="s">
        <v>70</v>
      </c>
      <c r="D41" s="4" t="s">
        <v>90</v>
      </c>
      <c r="E41" s="4" t="s">
        <v>91</v>
      </c>
      <c r="F41" s="12">
        <v>32.979999999999997</v>
      </c>
      <c r="G41" s="34">
        <f t="shared" si="1"/>
        <v>0</v>
      </c>
      <c r="H41" s="28">
        <f t="shared" si="6"/>
        <v>0</v>
      </c>
      <c r="I41" s="28">
        <f t="shared" si="2"/>
        <v>0</v>
      </c>
      <c r="J41" s="26">
        <f t="shared" si="3"/>
        <v>0</v>
      </c>
      <c r="K41" s="24">
        <f t="shared" si="4"/>
        <v>0</v>
      </c>
      <c r="L41" s="31">
        <f t="shared" si="5"/>
        <v>0</v>
      </c>
      <c r="M41" s="9">
        <v>25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F41" s="6">
        <v>824.5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4"/>
      <c r="AY41" s="4"/>
      <c r="CI41" s="74" t="e">
        <v>#N/A</v>
      </c>
    </row>
    <row r="42" spans="1:120" x14ac:dyDescent="0.3">
      <c r="A42" t="s">
        <v>7</v>
      </c>
      <c r="B42" s="4" t="s">
        <v>70</v>
      </c>
      <c r="C42" s="4" t="s">
        <v>70</v>
      </c>
      <c r="D42" s="4" t="s">
        <v>92</v>
      </c>
      <c r="E42" s="4" t="s">
        <v>93</v>
      </c>
      <c r="F42" s="12">
        <v>762.75</v>
      </c>
      <c r="G42" s="34">
        <f t="shared" si="1"/>
        <v>2288.25</v>
      </c>
      <c r="H42" s="28">
        <f t="shared" si="6"/>
        <v>3</v>
      </c>
      <c r="I42" s="28">
        <f t="shared" si="2"/>
        <v>1</v>
      </c>
      <c r="J42" s="26">
        <f t="shared" si="3"/>
        <v>0</v>
      </c>
      <c r="K42" s="24">
        <f t="shared" si="4"/>
        <v>0</v>
      </c>
      <c r="L42" s="31">
        <f t="shared" si="5"/>
        <v>0</v>
      </c>
      <c r="M42" s="9">
        <v>0</v>
      </c>
      <c r="N42" s="9">
        <v>3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F42" s="6">
        <v>0</v>
      </c>
      <c r="AG42" s="6">
        <v>2288.25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49"/>
      <c r="AY42" s="51"/>
      <c r="AZ42" s="51" t="s">
        <v>631</v>
      </c>
      <c r="BA42" s="51"/>
      <c r="BB42" s="51"/>
      <c r="BC42" s="51"/>
      <c r="BD42" s="51"/>
      <c r="BE42" s="51"/>
      <c r="BF42" s="51"/>
      <c r="BG42" s="51"/>
      <c r="BH42" s="51" t="s">
        <v>631</v>
      </c>
      <c r="BI42" s="51"/>
      <c r="BJ42" s="51" t="s">
        <v>631</v>
      </c>
      <c r="BK42" s="84" t="s">
        <v>631</v>
      </c>
      <c r="BL42" s="51"/>
      <c r="BM42" s="51"/>
      <c r="BN42" s="51"/>
      <c r="BO42" s="51"/>
      <c r="BP42" s="84" t="s">
        <v>631</v>
      </c>
      <c r="BQ42" s="51"/>
      <c r="BR42" s="51"/>
      <c r="BS42" s="51"/>
      <c r="BT42" s="51"/>
      <c r="BU42" s="51" t="s">
        <v>631</v>
      </c>
      <c r="BV42" s="84" t="s">
        <v>631</v>
      </c>
      <c r="BW42" s="51"/>
      <c r="BX42" s="51" t="s">
        <v>631</v>
      </c>
      <c r="BY42" s="51"/>
      <c r="BZ42" s="51"/>
      <c r="CA42" s="51"/>
      <c r="CB42" s="51"/>
      <c r="CC42" s="51"/>
      <c r="CD42" s="51"/>
      <c r="CE42" s="51"/>
      <c r="CF42" s="51"/>
      <c r="CG42" s="51" t="s">
        <v>631</v>
      </c>
      <c r="CH42" s="85" t="s">
        <v>631</v>
      </c>
      <c r="CI42" s="76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>
        <f>COUNTIF(AX42:DO42,"x")</f>
        <v>10</v>
      </c>
    </row>
    <row r="43" spans="1:120" hidden="1" x14ac:dyDescent="0.3">
      <c r="A43" t="s">
        <v>7</v>
      </c>
      <c r="B43" s="4" t="s">
        <v>70</v>
      </c>
      <c r="C43" s="4" t="s">
        <v>70</v>
      </c>
      <c r="D43" s="4" t="s">
        <v>94</v>
      </c>
      <c r="E43" s="4" t="s">
        <v>95</v>
      </c>
      <c r="F43" s="12">
        <v>125.66</v>
      </c>
      <c r="G43" s="34">
        <f t="shared" si="1"/>
        <v>0</v>
      </c>
      <c r="H43" s="28">
        <f t="shared" si="6"/>
        <v>0</v>
      </c>
      <c r="I43" s="28">
        <f t="shared" si="2"/>
        <v>0</v>
      </c>
      <c r="J43" s="26">
        <f t="shared" si="3"/>
        <v>0</v>
      </c>
      <c r="K43" s="24">
        <f t="shared" si="4"/>
        <v>0</v>
      </c>
      <c r="L43" s="31">
        <f t="shared" si="5"/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4"/>
      <c r="AY43" s="4"/>
      <c r="CI43" s="74" t="e">
        <v>#N/A</v>
      </c>
    </row>
    <row r="44" spans="1:120" hidden="1" x14ac:dyDescent="0.3">
      <c r="A44" t="s">
        <v>7</v>
      </c>
      <c r="B44" s="4" t="s">
        <v>70</v>
      </c>
      <c r="C44" s="4" t="s">
        <v>70</v>
      </c>
      <c r="D44" s="4" t="s">
        <v>96</v>
      </c>
      <c r="E44" s="4" t="s">
        <v>97</v>
      </c>
      <c r="F44" s="12">
        <v>3.71</v>
      </c>
      <c r="G44" s="34">
        <f t="shared" si="1"/>
        <v>0</v>
      </c>
      <c r="H44" s="28">
        <f t="shared" si="6"/>
        <v>0</v>
      </c>
      <c r="I44" s="28">
        <f t="shared" si="2"/>
        <v>0</v>
      </c>
      <c r="J44" s="26">
        <f t="shared" si="3"/>
        <v>0</v>
      </c>
      <c r="K44" s="24">
        <f t="shared" si="4"/>
        <v>0</v>
      </c>
      <c r="L44" s="31">
        <f t="shared" si="5"/>
        <v>0</v>
      </c>
      <c r="M44" s="9">
        <v>25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F44" s="6">
        <v>92.75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4"/>
      <c r="AY44" s="4"/>
      <c r="CI44" s="74" t="e">
        <v>#N/A</v>
      </c>
    </row>
    <row r="45" spans="1:120" x14ac:dyDescent="0.3">
      <c r="A45" t="s">
        <v>7</v>
      </c>
      <c r="B45" s="4" t="s">
        <v>70</v>
      </c>
      <c r="C45" s="4" t="s">
        <v>70</v>
      </c>
      <c r="D45" s="4" t="s">
        <v>98</v>
      </c>
      <c r="E45" s="4" t="s">
        <v>99</v>
      </c>
      <c r="F45" s="12">
        <v>10</v>
      </c>
      <c r="G45" s="34">
        <f t="shared" si="1"/>
        <v>1940</v>
      </c>
      <c r="H45" s="28">
        <f t="shared" si="6"/>
        <v>194</v>
      </c>
      <c r="I45" s="28">
        <f t="shared" si="2"/>
        <v>17</v>
      </c>
      <c r="J45" s="26">
        <f t="shared" si="3"/>
        <v>0</v>
      </c>
      <c r="K45" s="24">
        <f t="shared" si="4"/>
        <v>0</v>
      </c>
      <c r="L45" s="31">
        <f t="shared" si="5"/>
        <v>0</v>
      </c>
      <c r="M45" s="9">
        <v>3</v>
      </c>
      <c r="N45" s="9">
        <v>97</v>
      </c>
      <c r="O45" s="9">
        <v>0</v>
      </c>
      <c r="P45" s="9">
        <v>97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F45" s="6">
        <v>30</v>
      </c>
      <c r="AG45" s="6">
        <v>970</v>
      </c>
      <c r="AH45" s="6">
        <v>0</v>
      </c>
      <c r="AI45" s="6">
        <v>970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49"/>
      <c r="AY45" s="51"/>
      <c r="AZ45" s="51" t="s">
        <v>631</v>
      </c>
      <c r="BA45" s="51"/>
      <c r="BB45" s="51"/>
      <c r="BC45" s="51"/>
      <c r="BD45" s="51"/>
      <c r="BE45" s="51"/>
      <c r="BF45" s="51"/>
      <c r="BG45" s="51"/>
      <c r="BH45" s="51" t="s">
        <v>631</v>
      </c>
      <c r="BI45" s="51"/>
      <c r="BJ45" s="51" t="s">
        <v>631</v>
      </c>
      <c r="BK45" s="84" t="s">
        <v>631</v>
      </c>
      <c r="BL45" s="51"/>
      <c r="BM45" s="51"/>
      <c r="BN45" s="51"/>
      <c r="BO45" s="51"/>
      <c r="BP45" s="51"/>
      <c r="BQ45" s="51"/>
      <c r="BR45" s="51"/>
      <c r="BS45" s="51"/>
      <c r="BT45" s="51"/>
      <c r="BU45" s="51" t="s">
        <v>631</v>
      </c>
      <c r="BV45" s="84" t="s">
        <v>631</v>
      </c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 t="s">
        <v>631</v>
      </c>
      <c r="CH45" s="85" t="s">
        <v>631</v>
      </c>
      <c r="CI45" s="76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>
        <f>COUNTIF(AX45:DO45,"x")</f>
        <v>8</v>
      </c>
    </row>
    <row r="46" spans="1:120" x14ac:dyDescent="0.3">
      <c r="A46" t="s">
        <v>7</v>
      </c>
      <c r="B46" s="4" t="s">
        <v>70</v>
      </c>
      <c r="C46" s="4" t="s">
        <v>70</v>
      </c>
      <c r="D46" s="4" t="s">
        <v>100</v>
      </c>
      <c r="E46" s="4" t="s">
        <v>99</v>
      </c>
      <c r="F46" s="12">
        <v>10</v>
      </c>
      <c r="G46" s="34">
        <f t="shared" si="1"/>
        <v>970</v>
      </c>
      <c r="H46" s="28">
        <f t="shared" si="6"/>
        <v>97</v>
      </c>
      <c r="I46" s="28">
        <f t="shared" si="2"/>
        <v>9</v>
      </c>
      <c r="J46" s="26">
        <f t="shared" si="3"/>
        <v>0</v>
      </c>
      <c r="K46" s="24">
        <f t="shared" si="4"/>
        <v>0</v>
      </c>
      <c r="L46" s="31">
        <f t="shared" si="5"/>
        <v>0</v>
      </c>
      <c r="M46" s="9">
        <v>3</v>
      </c>
      <c r="N46" s="9">
        <v>97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F46" s="6">
        <v>30</v>
      </c>
      <c r="AG46" s="6">
        <v>970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47"/>
      <c r="AY46" s="51"/>
      <c r="AZ46" s="51" t="s">
        <v>631</v>
      </c>
      <c r="BA46" s="51"/>
      <c r="BB46" s="51"/>
      <c r="BC46" s="51"/>
      <c r="BD46" s="51"/>
      <c r="BE46" s="51"/>
      <c r="BF46" s="51"/>
      <c r="BG46" s="51"/>
      <c r="BH46" s="51" t="s">
        <v>631</v>
      </c>
      <c r="BI46" s="51"/>
      <c r="BJ46" s="51" t="s">
        <v>631</v>
      </c>
      <c r="BK46" s="84" t="s">
        <v>631</v>
      </c>
      <c r="BL46" s="51"/>
      <c r="BM46" s="51"/>
      <c r="BN46" s="51"/>
      <c r="BO46" s="51"/>
      <c r="BP46" s="51"/>
      <c r="BQ46" s="51"/>
      <c r="BR46" s="51"/>
      <c r="BS46" s="51"/>
      <c r="BT46" s="51"/>
      <c r="BU46" s="51" t="s">
        <v>631</v>
      </c>
      <c r="BV46" s="84" t="s">
        <v>631</v>
      </c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 t="s">
        <v>631</v>
      </c>
      <c r="CH46" s="85" t="s">
        <v>631</v>
      </c>
      <c r="CI46" s="76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>
        <f>COUNTIF(AX46:DO46,"x")</f>
        <v>8</v>
      </c>
    </row>
    <row r="47" spans="1:120" x14ac:dyDescent="0.3">
      <c r="A47" t="s">
        <v>7</v>
      </c>
      <c r="B47" s="4" t="s">
        <v>70</v>
      </c>
      <c r="C47" s="4" t="s">
        <v>70</v>
      </c>
      <c r="D47" s="4" t="s">
        <v>101</v>
      </c>
      <c r="E47" s="4" t="s">
        <v>102</v>
      </c>
      <c r="F47" s="12">
        <v>40.409999999999997</v>
      </c>
      <c r="G47" s="34">
        <f t="shared" si="1"/>
        <v>808.19999999999993</v>
      </c>
      <c r="H47" s="28">
        <f t="shared" si="6"/>
        <v>20</v>
      </c>
      <c r="I47" s="28">
        <f t="shared" si="2"/>
        <v>2</v>
      </c>
      <c r="J47" s="26">
        <f t="shared" si="3"/>
        <v>0</v>
      </c>
      <c r="K47" s="24">
        <f t="shared" si="4"/>
        <v>0</v>
      </c>
      <c r="L47" s="31">
        <f t="shared" si="5"/>
        <v>0</v>
      </c>
      <c r="M47" s="9">
        <v>0</v>
      </c>
      <c r="N47" s="9">
        <v>20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F47" s="6">
        <v>0</v>
      </c>
      <c r="AG47" s="6">
        <v>808.19999999999993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49"/>
      <c r="AY47" s="51"/>
      <c r="AZ47" s="51" t="s">
        <v>631</v>
      </c>
      <c r="BA47" s="51"/>
      <c r="BB47" s="51"/>
      <c r="BC47" s="51"/>
      <c r="BD47" s="51"/>
      <c r="BE47" s="51"/>
      <c r="BF47" s="51"/>
      <c r="BG47" s="51"/>
      <c r="BH47" s="51" t="s">
        <v>631</v>
      </c>
      <c r="BI47" s="51"/>
      <c r="BJ47" s="51" t="s">
        <v>631</v>
      </c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 t="s">
        <v>631</v>
      </c>
      <c r="BV47" s="84" t="s">
        <v>631</v>
      </c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 t="s">
        <v>631</v>
      </c>
      <c r="CH47" s="85" t="s">
        <v>631</v>
      </c>
      <c r="CI47" s="76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>
        <f>COUNTIF(AX47:DO47,"x")</f>
        <v>7</v>
      </c>
    </row>
    <row r="48" spans="1:120" x14ac:dyDescent="0.3">
      <c r="A48" t="s">
        <v>7</v>
      </c>
      <c r="B48" s="4" t="s">
        <v>70</v>
      </c>
      <c r="C48" s="4" t="s">
        <v>70</v>
      </c>
      <c r="D48" s="4" t="s">
        <v>103</v>
      </c>
      <c r="E48" s="4" t="s">
        <v>104</v>
      </c>
      <c r="F48" s="12">
        <v>59.58</v>
      </c>
      <c r="G48" s="34">
        <f t="shared" si="1"/>
        <v>2800.2599999999998</v>
      </c>
      <c r="H48" s="28">
        <f t="shared" si="6"/>
        <v>47</v>
      </c>
      <c r="I48" s="28">
        <f t="shared" si="2"/>
        <v>4</v>
      </c>
      <c r="J48" s="26">
        <f t="shared" si="3"/>
        <v>0</v>
      </c>
      <c r="K48" s="24">
        <f t="shared" si="4"/>
        <v>0</v>
      </c>
      <c r="L48" s="31">
        <f t="shared" si="5"/>
        <v>0</v>
      </c>
      <c r="M48" s="9">
        <v>0</v>
      </c>
      <c r="N48" s="9">
        <v>3</v>
      </c>
      <c r="O48" s="9">
        <v>22</v>
      </c>
      <c r="P48" s="9">
        <v>22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F48" s="6">
        <v>0</v>
      </c>
      <c r="AG48" s="6">
        <v>178.74</v>
      </c>
      <c r="AH48" s="6">
        <v>1310.76</v>
      </c>
      <c r="AI48" s="6">
        <v>1310.76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49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84" t="s">
        <v>631</v>
      </c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 t="s">
        <v>631</v>
      </c>
      <c r="CH48" s="85" t="s">
        <v>631</v>
      </c>
      <c r="CI48" s="76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>
        <f>COUNTIF(AX48:DO48,"x")</f>
        <v>3</v>
      </c>
    </row>
    <row r="49" spans="1:120" x14ac:dyDescent="0.3">
      <c r="A49" t="s">
        <v>7</v>
      </c>
      <c r="B49" s="4" t="s">
        <v>70</v>
      </c>
      <c r="C49" s="4" t="s">
        <v>70</v>
      </c>
      <c r="D49" s="4" t="s">
        <v>105</v>
      </c>
      <c r="E49" s="4" t="s">
        <v>106</v>
      </c>
      <c r="F49" s="12">
        <v>44.23</v>
      </c>
      <c r="G49" s="34">
        <f t="shared" si="1"/>
        <v>1105.75</v>
      </c>
      <c r="H49" s="28">
        <f t="shared" si="6"/>
        <v>25</v>
      </c>
      <c r="I49" s="28">
        <f t="shared" si="2"/>
        <v>3</v>
      </c>
      <c r="J49" s="26">
        <f t="shared" si="3"/>
        <v>2211.5</v>
      </c>
      <c r="K49" s="24">
        <f t="shared" si="4"/>
        <v>50</v>
      </c>
      <c r="L49" s="31">
        <f t="shared" si="5"/>
        <v>10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25</v>
      </c>
      <c r="Z49" s="9">
        <v>25</v>
      </c>
      <c r="AA49" s="9">
        <v>25</v>
      </c>
      <c r="AB49" s="9">
        <v>0</v>
      </c>
      <c r="AC49" s="9">
        <v>0</v>
      </c>
      <c r="AD49" s="9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1105.75</v>
      </c>
      <c r="AS49" s="6">
        <v>1105.75</v>
      </c>
      <c r="AT49" s="6">
        <v>1105.75</v>
      </c>
      <c r="AU49" s="6">
        <v>0</v>
      </c>
      <c r="AV49" s="6">
        <v>0</v>
      </c>
      <c r="AW49" s="6">
        <v>0</v>
      </c>
      <c r="AX49" s="49"/>
      <c r="AY49" s="51"/>
      <c r="AZ49" s="51" t="s">
        <v>631</v>
      </c>
      <c r="BA49" s="51"/>
      <c r="BB49" s="51"/>
      <c r="BC49" s="51"/>
      <c r="BD49" s="51"/>
      <c r="BE49" s="51"/>
      <c r="BF49" s="51"/>
      <c r="BG49" s="51"/>
      <c r="BH49" s="51" t="s">
        <v>631</v>
      </c>
      <c r="BI49" s="51"/>
      <c r="BJ49" s="51" t="s">
        <v>631</v>
      </c>
      <c r="BK49" s="84" t="s">
        <v>631</v>
      </c>
      <c r="BL49" s="51"/>
      <c r="BM49" s="51"/>
      <c r="BN49" s="51"/>
      <c r="BO49" s="51"/>
      <c r="BP49" s="51"/>
      <c r="BQ49" s="51"/>
      <c r="BR49" s="51"/>
      <c r="BS49" s="51"/>
      <c r="BT49" s="51"/>
      <c r="BU49" s="51" t="s">
        <v>631</v>
      </c>
      <c r="BV49" s="84" t="s">
        <v>631</v>
      </c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 t="s">
        <v>631</v>
      </c>
      <c r="CH49" s="85" t="s">
        <v>631</v>
      </c>
      <c r="CI49" s="76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>
        <f>COUNTIF(AX49:DO49,"x")</f>
        <v>8</v>
      </c>
    </row>
    <row r="50" spans="1:120" hidden="1" x14ac:dyDescent="0.3">
      <c r="A50" t="s">
        <v>7</v>
      </c>
      <c r="B50" s="4" t="s">
        <v>70</v>
      </c>
      <c r="C50" s="4" t="s">
        <v>70</v>
      </c>
      <c r="D50" s="4" t="s">
        <v>107</v>
      </c>
      <c r="E50" s="4" t="s">
        <v>108</v>
      </c>
      <c r="F50" s="12">
        <v>27.49</v>
      </c>
      <c r="G50" s="34">
        <f t="shared" si="1"/>
        <v>0</v>
      </c>
      <c r="H50" s="28">
        <f t="shared" si="6"/>
        <v>0</v>
      </c>
      <c r="I50" s="28">
        <f t="shared" si="2"/>
        <v>0</v>
      </c>
      <c r="J50" s="26">
        <f t="shared" si="3"/>
        <v>0</v>
      </c>
      <c r="K50" s="24">
        <f t="shared" si="4"/>
        <v>0</v>
      </c>
      <c r="L50" s="31">
        <f t="shared" si="5"/>
        <v>0</v>
      </c>
      <c r="M50" s="9">
        <v>50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F50" s="6">
        <v>1374.5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4"/>
      <c r="AY50" s="4"/>
      <c r="CI50" s="74" t="e">
        <v>#N/A</v>
      </c>
    </row>
    <row r="51" spans="1:120" x14ac:dyDescent="0.3">
      <c r="A51" t="s">
        <v>7</v>
      </c>
      <c r="B51" s="4" t="s">
        <v>70</v>
      </c>
      <c r="C51" s="4" t="s">
        <v>70</v>
      </c>
      <c r="D51" s="4" t="s">
        <v>109</v>
      </c>
      <c r="E51" s="4" t="s">
        <v>110</v>
      </c>
      <c r="F51" s="12">
        <v>420.07</v>
      </c>
      <c r="G51" s="34">
        <f t="shared" si="1"/>
        <v>42007</v>
      </c>
      <c r="H51" s="28">
        <f t="shared" si="6"/>
        <v>100</v>
      </c>
      <c r="I51" s="28">
        <f t="shared" si="2"/>
        <v>9</v>
      </c>
      <c r="J51" s="26">
        <f t="shared" si="3"/>
        <v>0</v>
      </c>
      <c r="K51" s="24">
        <f t="shared" si="4"/>
        <v>0</v>
      </c>
      <c r="L51" s="31">
        <f t="shared" si="5"/>
        <v>0</v>
      </c>
      <c r="M51" s="9">
        <v>0</v>
      </c>
      <c r="N51" s="9">
        <v>0</v>
      </c>
      <c r="O51" s="9">
        <v>0</v>
      </c>
      <c r="P51" s="9">
        <v>0</v>
      </c>
      <c r="Q51" s="9">
        <v>50</v>
      </c>
      <c r="R51" s="9">
        <v>50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F51" s="6">
        <v>0</v>
      </c>
      <c r="AG51" s="6">
        <v>0</v>
      </c>
      <c r="AH51" s="6">
        <v>0</v>
      </c>
      <c r="AI51" s="6">
        <v>0</v>
      </c>
      <c r="AJ51" s="6">
        <v>21003.5</v>
      </c>
      <c r="AK51" s="6">
        <v>21003.5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49"/>
      <c r="AY51" s="51" t="s">
        <v>631</v>
      </c>
      <c r="AZ51" s="51"/>
      <c r="BA51" s="51"/>
      <c r="BB51" s="51"/>
      <c r="BC51" s="51"/>
      <c r="BD51" s="51"/>
      <c r="BE51" s="51"/>
      <c r="BF51" s="51" t="s">
        <v>631</v>
      </c>
      <c r="BG51" s="51"/>
      <c r="BH51" s="51" t="s">
        <v>631</v>
      </c>
      <c r="BI51" s="51"/>
      <c r="BJ51" s="51" t="s">
        <v>631</v>
      </c>
      <c r="BK51" s="84" t="s">
        <v>631</v>
      </c>
      <c r="BL51" s="51"/>
      <c r="BM51" s="51"/>
      <c r="BN51" s="51"/>
      <c r="BO51" s="51"/>
      <c r="BP51" s="51"/>
      <c r="BQ51" s="51"/>
      <c r="BR51" s="51"/>
      <c r="BS51" s="51"/>
      <c r="BT51" s="51"/>
      <c r="BU51" s="51" t="s">
        <v>631</v>
      </c>
      <c r="BV51" s="84" t="s">
        <v>631</v>
      </c>
      <c r="BW51" s="51"/>
      <c r="BX51" s="51" t="s">
        <v>631</v>
      </c>
      <c r="BY51" s="51"/>
      <c r="BZ51" s="51"/>
      <c r="CA51" s="51"/>
      <c r="CB51" s="51"/>
      <c r="CC51" s="51"/>
      <c r="CD51" s="51"/>
      <c r="CE51" s="51"/>
      <c r="CF51" s="51"/>
      <c r="CG51" s="51" t="s">
        <v>631</v>
      </c>
      <c r="CH51" s="85" t="s">
        <v>631</v>
      </c>
      <c r="CI51" s="76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>
        <f>COUNTIF(AX51:DO51,"x")</f>
        <v>10</v>
      </c>
    </row>
    <row r="52" spans="1:120" hidden="1" x14ac:dyDescent="0.3">
      <c r="A52" t="s">
        <v>7</v>
      </c>
      <c r="B52" s="4" t="s">
        <v>70</v>
      </c>
      <c r="C52" s="4" t="s">
        <v>70</v>
      </c>
      <c r="D52" s="4" t="s">
        <v>111</v>
      </c>
      <c r="E52" s="4" t="s">
        <v>112</v>
      </c>
      <c r="F52" s="12">
        <v>185.09</v>
      </c>
      <c r="G52" s="34">
        <f t="shared" si="1"/>
        <v>0</v>
      </c>
      <c r="H52" s="28">
        <f t="shared" si="6"/>
        <v>0</v>
      </c>
      <c r="I52" s="28">
        <f t="shared" si="2"/>
        <v>0</v>
      </c>
      <c r="J52" s="26">
        <f t="shared" si="3"/>
        <v>0</v>
      </c>
      <c r="K52" s="24">
        <f t="shared" si="4"/>
        <v>0</v>
      </c>
      <c r="L52" s="31">
        <f t="shared" si="5"/>
        <v>0</v>
      </c>
      <c r="M52" s="9">
        <v>3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F52" s="6">
        <v>555.27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4"/>
      <c r="AY52" s="4"/>
      <c r="CI52" s="74" t="e">
        <v>#N/A</v>
      </c>
    </row>
    <row r="53" spans="1:120" hidden="1" x14ac:dyDescent="0.3">
      <c r="A53" t="s">
        <v>7</v>
      </c>
      <c r="B53" s="4" t="s">
        <v>70</v>
      </c>
      <c r="C53" s="4" t="s">
        <v>70</v>
      </c>
      <c r="D53" s="4" t="s">
        <v>113</v>
      </c>
      <c r="E53" s="4" t="s">
        <v>114</v>
      </c>
      <c r="F53" s="12">
        <v>99.54</v>
      </c>
      <c r="G53" s="34">
        <f t="shared" si="1"/>
        <v>0</v>
      </c>
      <c r="H53" s="28">
        <f t="shared" si="6"/>
        <v>0</v>
      </c>
      <c r="I53" s="28">
        <f t="shared" si="2"/>
        <v>0</v>
      </c>
      <c r="J53" s="26">
        <f t="shared" si="3"/>
        <v>0</v>
      </c>
      <c r="K53" s="24">
        <f t="shared" si="4"/>
        <v>0</v>
      </c>
      <c r="L53" s="31">
        <f t="shared" si="5"/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4"/>
      <c r="AY53" s="4"/>
      <c r="CI53" s="74" t="e">
        <v>#N/A</v>
      </c>
    </row>
    <row r="54" spans="1:120" x14ac:dyDescent="0.3">
      <c r="A54" t="s">
        <v>7</v>
      </c>
      <c r="B54" s="4" t="s">
        <v>70</v>
      </c>
      <c r="C54" s="4" t="s">
        <v>70</v>
      </c>
      <c r="D54" s="4" t="s">
        <v>115</v>
      </c>
      <c r="E54" s="4" t="s">
        <v>116</v>
      </c>
      <c r="F54" s="12">
        <v>744.82</v>
      </c>
      <c r="G54" s="34">
        <f t="shared" si="1"/>
        <v>2234.46</v>
      </c>
      <c r="H54" s="28">
        <f t="shared" si="6"/>
        <v>3</v>
      </c>
      <c r="I54" s="28">
        <f t="shared" si="2"/>
        <v>1</v>
      </c>
      <c r="J54" s="26">
        <f t="shared" si="3"/>
        <v>0</v>
      </c>
      <c r="K54" s="24">
        <f t="shared" si="4"/>
        <v>0</v>
      </c>
      <c r="L54" s="31">
        <f t="shared" si="5"/>
        <v>0</v>
      </c>
      <c r="M54" s="9">
        <v>0</v>
      </c>
      <c r="N54" s="9">
        <v>3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F54" s="6">
        <v>0</v>
      </c>
      <c r="AG54" s="6">
        <v>2234.46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49"/>
      <c r="AY54" s="51"/>
      <c r="AZ54" s="51" t="s">
        <v>631</v>
      </c>
      <c r="BA54" s="51"/>
      <c r="BB54" s="51"/>
      <c r="BC54" s="51"/>
      <c r="BD54" s="51"/>
      <c r="BE54" s="51"/>
      <c r="BF54" s="51" t="s">
        <v>631</v>
      </c>
      <c r="BG54" s="51"/>
      <c r="BH54" s="51" t="s">
        <v>631</v>
      </c>
      <c r="BI54" s="51"/>
      <c r="BJ54" s="51"/>
      <c r="BK54" s="84" t="s">
        <v>631</v>
      </c>
      <c r="BL54" s="51"/>
      <c r="BM54" s="51"/>
      <c r="BN54" s="51" t="s">
        <v>631</v>
      </c>
      <c r="BO54" s="51"/>
      <c r="BP54" s="84" t="s">
        <v>631</v>
      </c>
      <c r="BQ54" s="51"/>
      <c r="BR54" s="51"/>
      <c r="BS54" s="51"/>
      <c r="BT54" s="51"/>
      <c r="BU54" s="51" t="s">
        <v>631</v>
      </c>
      <c r="BV54" s="84" t="s">
        <v>631</v>
      </c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 t="s">
        <v>631</v>
      </c>
      <c r="CH54" s="85" t="s">
        <v>631</v>
      </c>
      <c r="CI54" s="76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>
        <f>COUNTIF(AX54:DO54,"x")</f>
        <v>10</v>
      </c>
    </row>
    <row r="55" spans="1:120" x14ac:dyDescent="0.3">
      <c r="A55" t="s">
        <v>7</v>
      </c>
      <c r="B55" s="4" t="s">
        <v>70</v>
      </c>
      <c r="C55" s="4" t="s">
        <v>70</v>
      </c>
      <c r="D55" s="4" t="s">
        <v>117</v>
      </c>
      <c r="E55" s="4" t="s">
        <v>116</v>
      </c>
      <c r="F55" s="12">
        <v>753.18</v>
      </c>
      <c r="G55" s="34">
        <f t="shared" si="1"/>
        <v>2259.54</v>
      </c>
      <c r="H55" s="28">
        <f t="shared" si="6"/>
        <v>3</v>
      </c>
      <c r="I55" s="28">
        <f t="shared" si="2"/>
        <v>1</v>
      </c>
      <c r="J55" s="26">
        <f t="shared" si="3"/>
        <v>0</v>
      </c>
      <c r="K55" s="24">
        <f t="shared" si="4"/>
        <v>0</v>
      </c>
      <c r="L55" s="31">
        <f t="shared" si="5"/>
        <v>0</v>
      </c>
      <c r="M55" s="9">
        <v>0</v>
      </c>
      <c r="N55" s="9">
        <v>3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F55" s="6">
        <v>0</v>
      </c>
      <c r="AG55" s="6">
        <v>2259.54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49"/>
      <c r="AY55" s="51"/>
      <c r="AZ55" s="51" t="s">
        <v>631</v>
      </c>
      <c r="BA55" s="51"/>
      <c r="BB55" s="51"/>
      <c r="BC55" s="51"/>
      <c r="BD55" s="51"/>
      <c r="BE55" s="51"/>
      <c r="BF55" s="51"/>
      <c r="BG55" s="51"/>
      <c r="BH55" s="51" t="s">
        <v>631</v>
      </c>
      <c r="BI55" s="51"/>
      <c r="BJ55" s="51" t="s">
        <v>631</v>
      </c>
      <c r="BK55" s="84" t="s">
        <v>631</v>
      </c>
      <c r="BL55" s="51"/>
      <c r="BM55" s="51"/>
      <c r="BN55" s="51"/>
      <c r="BO55" s="51"/>
      <c r="BP55" s="84" t="s">
        <v>631</v>
      </c>
      <c r="BQ55" s="51"/>
      <c r="BR55" s="51"/>
      <c r="BS55" s="51"/>
      <c r="BT55" s="51"/>
      <c r="BU55" s="51" t="s">
        <v>631</v>
      </c>
      <c r="BV55" s="84" t="s">
        <v>631</v>
      </c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 t="s">
        <v>631</v>
      </c>
      <c r="CH55" s="85" t="s">
        <v>631</v>
      </c>
      <c r="CI55" s="76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</row>
    <row r="56" spans="1:120" hidden="1" x14ac:dyDescent="0.3">
      <c r="A56" t="s">
        <v>7</v>
      </c>
      <c r="B56" s="4" t="s">
        <v>70</v>
      </c>
      <c r="C56" s="4" t="s">
        <v>118</v>
      </c>
      <c r="D56" s="4" t="s">
        <v>119</v>
      </c>
      <c r="E56" s="4" t="s">
        <v>102</v>
      </c>
      <c r="F56" s="12">
        <v>4.07</v>
      </c>
      <c r="G56" s="34">
        <f t="shared" si="1"/>
        <v>1005.2900000000001</v>
      </c>
      <c r="H56" s="28">
        <f t="shared" si="6"/>
        <v>247</v>
      </c>
      <c r="I56" s="28">
        <f t="shared" si="2"/>
        <v>21</v>
      </c>
      <c r="J56" s="26">
        <f t="shared" si="3"/>
        <v>0</v>
      </c>
      <c r="K56" s="24">
        <f t="shared" si="4"/>
        <v>0</v>
      </c>
      <c r="L56" s="31">
        <f t="shared" si="5"/>
        <v>0</v>
      </c>
      <c r="M56" s="9">
        <v>3</v>
      </c>
      <c r="N56" s="9">
        <v>247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F56" s="6">
        <v>12.21</v>
      </c>
      <c r="AG56" s="6">
        <v>1005.2900000000001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49"/>
      <c r="AY56" s="51"/>
      <c r="AZ56" s="51" t="s">
        <v>631</v>
      </c>
      <c r="BA56" s="51"/>
      <c r="BB56" s="51"/>
      <c r="BC56" s="51"/>
      <c r="BD56" s="51"/>
      <c r="BE56" s="51"/>
      <c r="BF56" s="51"/>
      <c r="BG56" s="51"/>
      <c r="BH56" s="51" t="s">
        <v>631</v>
      </c>
      <c r="BI56" s="51"/>
      <c r="BJ56" s="51"/>
      <c r="BK56" s="84" t="s">
        <v>631</v>
      </c>
      <c r="BL56" s="51"/>
      <c r="BM56" s="51"/>
      <c r="BN56" s="51"/>
      <c r="BO56" s="51"/>
      <c r="BP56" s="51"/>
      <c r="BQ56" s="51"/>
      <c r="BR56" s="51"/>
      <c r="BS56" s="51"/>
      <c r="BT56" s="51"/>
      <c r="BU56" s="51" t="s">
        <v>631</v>
      </c>
      <c r="BV56" s="84" t="s">
        <v>631</v>
      </c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 t="s">
        <v>631</v>
      </c>
      <c r="CH56" s="85" t="s">
        <v>631</v>
      </c>
      <c r="CI56" s="76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</row>
    <row r="57" spans="1:120" hidden="1" x14ac:dyDescent="0.3">
      <c r="A57" t="s">
        <v>7</v>
      </c>
      <c r="B57" s="4" t="s">
        <v>120</v>
      </c>
      <c r="C57" s="4" t="s">
        <v>121</v>
      </c>
      <c r="D57" s="4" t="s">
        <v>122</v>
      </c>
      <c r="E57" s="4" t="s">
        <v>123</v>
      </c>
      <c r="F57" s="12">
        <v>56.94</v>
      </c>
      <c r="G57" s="34">
        <f t="shared" si="1"/>
        <v>0</v>
      </c>
      <c r="H57" s="28">
        <f t="shared" si="6"/>
        <v>0</v>
      </c>
      <c r="I57" s="28">
        <f t="shared" si="2"/>
        <v>0</v>
      </c>
      <c r="J57" s="26">
        <f t="shared" si="3"/>
        <v>0</v>
      </c>
      <c r="K57" s="24">
        <f t="shared" si="4"/>
        <v>0</v>
      </c>
      <c r="L57" s="31">
        <f t="shared" si="5"/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4"/>
      <c r="AY57" s="4"/>
      <c r="CI57" s="74">
        <v>40</v>
      </c>
    </row>
    <row r="58" spans="1:120" hidden="1" x14ac:dyDescent="0.3">
      <c r="A58" t="s">
        <v>7</v>
      </c>
      <c r="B58" s="4" t="s">
        <v>120</v>
      </c>
      <c r="C58" s="4" t="s">
        <v>121</v>
      </c>
      <c r="D58" s="4" t="s">
        <v>124</v>
      </c>
      <c r="E58" s="4" t="s">
        <v>125</v>
      </c>
      <c r="F58" s="12">
        <v>6.28</v>
      </c>
      <c r="G58" s="34">
        <f t="shared" si="1"/>
        <v>0</v>
      </c>
      <c r="H58" s="28">
        <f t="shared" si="6"/>
        <v>0</v>
      </c>
      <c r="I58" s="28">
        <f t="shared" si="2"/>
        <v>0</v>
      </c>
      <c r="J58" s="26">
        <f t="shared" si="3"/>
        <v>0</v>
      </c>
      <c r="K58" s="24">
        <f t="shared" si="4"/>
        <v>0</v>
      </c>
      <c r="L58" s="31">
        <f t="shared" si="5"/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4"/>
      <c r="AY58" s="4"/>
      <c r="CI58" s="74" t="e">
        <v>#N/A</v>
      </c>
    </row>
    <row r="59" spans="1:120" hidden="1" x14ac:dyDescent="0.3">
      <c r="A59" t="s">
        <v>7</v>
      </c>
      <c r="B59" s="4" t="s">
        <v>126</v>
      </c>
      <c r="C59" s="4" t="s">
        <v>127</v>
      </c>
      <c r="D59" s="4" t="s">
        <v>128</v>
      </c>
      <c r="E59" s="4" t="s">
        <v>129</v>
      </c>
      <c r="F59" s="12">
        <v>69.56</v>
      </c>
      <c r="G59" s="34">
        <f t="shared" si="1"/>
        <v>66012.44</v>
      </c>
      <c r="H59" s="28">
        <f t="shared" si="6"/>
        <v>949</v>
      </c>
      <c r="I59" s="28">
        <f t="shared" si="2"/>
        <v>80</v>
      </c>
      <c r="J59" s="26">
        <f t="shared" si="3"/>
        <v>0</v>
      </c>
      <c r="K59" s="24">
        <f t="shared" si="4"/>
        <v>0</v>
      </c>
      <c r="L59" s="31">
        <f t="shared" si="5"/>
        <v>0</v>
      </c>
      <c r="M59" s="9">
        <v>0</v>
      </c>
      <c r="N59" s="9">
        <v>476</v>
      </c>
      <c r="O59" s="9">
        <v>473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F59" s="6">
        <v>0</v>
      </c>
      <c r="AG59" s="6">
        <v>24856.720000000001</v>
      </c>
      <c r="AH59" s="6">
        <v>24700.059999999998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49" t="s">
        <v>631</v>
      </c>
      <c r="AY59" s="51" t="s">
        <v>631</v>
      </c>
      <c r="AZ59" s="51"/>
      <c r="BA59" s="51"/>
      <c r="BB59" s="51"/>
      <c r="BC59" s="51"/>
      <c r="BD59" s="51"/>
      <c r="BE59" s="51"/>
      <c r="BF59" s="51"/>
      <c r="BG59" s="51"/>
      <c r="BH59" s="51" t="s">
        <v>631</v>
      </c>
      <c r="BI59" s="51"/>
      <c r="BJ59" s="51" t="s">
        <v>631</v>
      </c>
      <c r="BK59" s="84" t="s">
        <v>631</v>
      </c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 t="s">
        <v>631</v>
      </c>
      <c r="CA59" s="51"/>
      <c r="CB59" s="51"/>
      <c r="CC59" s="51"/>
      <c r="CD59" s="51"/>
      <c r="CE59" s="51"/>
      <c r="CF59" s="51"/>
      <c r="CG59" s="51"/>
      <c r="CH59" s="85" t="s">
        <v>631</v>
      </c>
      <c r="CI59" s="76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</row>
    <row r="60" spans="1:120" hidden="1" x14ac:dyDescent="0.3">
      <c r="A60" t="s">
        <v>7</v>
      </c>
      <c r="B60" s="4" t="s">
        <v>126</v>
      </c>
      <c r="C60" s="4" t="s">
        <v>127</v>
      </c>
      <c r="D60" s="4" t="s">
        <v>130</v>
      </c>
      <c r="E60" s="4" t="s">
        <v>131</v>
      </c>
      <c r="F60" s="12">
        <v>26.01</v>
      </c>
      <c r="G60" s="34">
        <f t="shared" si="1"/>
        <v>51811.920000000006</v>
      </c>
      <c r="H60" s="28">
        <f t="shared" si="6"/>
        <v>1992</v>
      </c>
      <c r="I60" s="28">
        <f t="shared" si="2"/>
        <v>166</v>
      </c>
      <c r="J60" s="26">
        <f t="shared" si="3"/>
        <v>0</v>
      </c>
      <c r="K60" s="24">
        <f t="shared" si="4"/>
        <v>0</v>
      </c>
      <c r="L60" s="31">
        <f t="shared" si="5"/>
        <v>0</v>
      </c>
      <c r="M60" s="9">
        <v>0</v>
      </c>
      <c r="N60" s="9">
        <v>1992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F60" s="6">
        <v>0</v>
      </c>
      <c r="AG60" s="6">
        <v>49461.36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49" t="s">
        <v>631</v>
      </c>
      <c r="AY60" s="51" t="s">
        <v>631</v>
      </c>
      <c r="AZ60" s="51"/>
      <c r="BA60" s="51"/>
      <c r="BB60" s="51"/>
      <c r="BC60" s="51"/>
      <c r="BD60" s="51"/>
      <c r="BE60" s="51"/>
      <c r="BF60" s="51"/>
      <c r="BG60" s="51"/>
      <c r="BH60" s="51" t="s">
        <v>631</v>
      </c>
      <c r="BI60" s="51"/>
      <c r="BJ60" s="51"/>
      <c r="BK60" s="84" t="s">
        <v>631</v>
      </c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 t="s">
        <v>631</v>
      </c>
      <c r="CA60" s="51"/>
      <c r="CB60" s="51"/>
      <c r="CC60" s="51"/>
      <c r="CD60" s="51"/>
      <c r="CE60" s="51"/>
      <c r="CF60" s="51"/>
      <c r="CG60" s="51"/>
      <c r="CH60" s="85" t="s">
        <v>631</v>
      </c>
      <c r="CI60" s="76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</row>
    <row r="61" spans="1:120" hidden="1" x14ac:dyDescent="0.3">
      <c r="A61" t="s">
        <v>7</v>
      </c>
      <c r="B61" s="4" t="s">
        <v>126</v>
      </c>
      <c r="C61" s="4" t="s">
        <v>132</v>
      </c>
      <c r="D61" s="4" t="s">
        <v>133</v>
      </c>
      <c r="E61" s="4" t="s">
        <v>134</v>
      </c>
      <c r="F61" s="12">
        <v>2079.84</v>
      </c>
      <c r="G61" s="34">
        <f t="shared" si="1"/>
        <v>0</v>
      </c>
      <c r="H61" s="28">
        <f t="shared" si="6"/>
        <v>0</v>
      </c>
      <c r="I61" s="28">
        <f t="shared" si="2"/>
        <v>0</v>
      </c>
      <c r="J61" s="26">
        <f t="shared" si="3"/>
        <v>0</v>
      </c>
      <c r="K61" s="24">
        <f t="shared" si="4"/>
        <v>0</v>
      </c>
      <c r="L61" s="31">
        <f t="shared" si="5"/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4"/>
      <c r="AY61" s="4"/>
      <c r="CI61" s="74">
        <v>1</v>
      </c>
    </row>
    <row r="62" spans="1:120" hidden="1" x14ac:dyDescent="0.3">
      <c r="A62" t="s">
        <v>7</v>
      </c>
      <c r="B62" s="4" t="s">
        <v>126</v>
      </c>
      <c r="C62" s="4" t="s">
        <v>135</v>
      </c>
      <c r="D62" s="4" t="s">
        <v>136</v>
      </c>
      <c r="E62" s="4" t="s">
        <v>137</v>
      </c>
      <c r="F62" s="12">
        <v>269.39999999999998</v>
      </c>
      <c r="G62" s="34">
        <f t="shared" si="1"/>
        <v>14008.8</v>
      </c>
      <c r="H62" s="28">
        <f t="shared" si="6"/>
        <v>52</v>
      </c>
      <c r="I62" s="28">
        <f t="shared" si="2"/>
        <v>5</v>
      </c>
      <c r="J62" s="26">
        <f t="shared" si="3"/>
        <v>0</v>
      </c>
      <c r="K62" s="24">
        <f t="shared" si="4"/>
        <v>0</v>
      </c>
      <c r="L62" s="31">
        <f t="shared" si="5"/>
        <v>0</v>
      </c>
      <c r="M62" s="9">
        <v>0</v>
      </c>
      <c r="N62" s="9">
        <v>0</v>
      </c>
      <c r="O62" s="9">
        <v>52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F62" s="6">
        <v>0</v>
      </c>
      <c r="AG62" s="6">
        <v>0</v>
      </c>
      <c r="AH62" s="6">
        <v>14008.8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49" t="s">
        <v>631</v>
      </c>
      <c r="AY62" s="51" t="s">
        <v>631</v>
      </c>
      <c r="AZ62" s="51" t="s">
        <v>631</v>
      </c>
      <c r="BA62" s="51"/>
      <c r="BB62" s="51"/>
      <c r="BC62" s="51"/>
      <c r="BD62" s="51"/>
      <c r="BE62" s="51"/>
      <c r="BF62" s="51"/>
      <c r="BG62" s="51" t="s">
        <v>631</v>
      </c>
      <c r="BH62" s="51" t="s">
        <v>631</v>
      </c>
      <c r="BI62" s="51"/>
      <c r="BJ62" s="51" t="s">
        <v>631</v>
      </c>
      <c r="BK62" s="84" t="s">
        <v>631</v>
      </c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 t="s">
        <v>631</v>
      </c>
      <c r="CH62" s="85" t="s">
        <v>631</v>
      </c>
      <c r="CI62" s="76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</row>
    <row r="63" spans="1:120" hidden="1" x14ac:dyDescent="0.3">
      <c r="A63" t="s">
        <v>7</v>
      </c>
      <c r="B63" s="4" t="s">
        <v>126</v>
      </c>
      <c r="C63" s="4" t="s">
        <v>135</v>
      </c>
      <c r="D63" s="4" t="s">
        <v>138</v>
      </c>
      <c r="E63" s="4" t="s">
        <v>139</v>
      </c>
      <c r="F63" s="12">
        <v>15.32</v>
      </c>
      <c r="G63" s="34">
        <f t="shared" si="1"/>
        <v>0</v>
      </c>
      <c r="H63" s="28">
        <f t="shared" si="6"/>
        <v>0</v>
      </c>
      <c r="I63" s="28">
        <f t="shared" si="2"/>
        <v>0</v>
      </c>
      <c r="J63" s="26">
        <f t="shared" si="3"/>
        <v>0</v>
      </c>
      <c r="K63" s="24">
        <f t="shared" si="4"/>
        <v>0</v>
      </c>
      <c r="L63" s="31">
        <f t="shared" si="5"/>
        <v>0</v>
      </c>
      <c r="M63" s="9">
        <v>52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F63" s="6">
        <v>796.64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4"/>
      <c r="AY63" s="4"/>
      <c r="CI63" s="74">
        <v>115</v>
      </c>
    </row>
    <row r="64" spans="1:120" hidden="1" x14ac:dyDescent="0.3">
      <c r="A64" t="s">
        <v>7</v>
      </c>
      <c r="B64" s="4" t="s">
        <v>126</v>
      </c>
      <c r="C64" s="4" t="s">
        <v>135</v>
      </c>
      <c r="D64" s="4" t="s">
        <v>140</v>
      </c>
      <c r="E64" s="4" t="s">
        <v>141</v>
      </c>
      <c r="F64" s="12">
        <v>10.38</v>
      </c>
      <c r="G64" s="34">
        <f t="shared" si="1"/>
        <v>0</v>
      </c>
      <c r="H64" s="28">
        <f t="shared" si="6"/>
        <v>0</v>
      </c>
      <c r="I64" s="28">
        <f t="shared" si="2"/>
        <v>0</v>
      </c>
      <c r="J64" s="26">
        <f t="shared" si="3"/>
        <v>0</v>
      </c>
      <c r="K64" s="24">
        <f t="shared" si="4"/>
        <v>0</v>
      </c>
      <c r="L64" s="31">
        <f t="shared" si="5"/>
        <v>0</v>
      </c>
      <c r="M64" s="9">
        <v>62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F64" s="6">
        <v>643.56000000000006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4"/>
      <c r="AY64" s="4"/>
      <c r="CI64" s="74" t="e">
        <v>#N/A</v>
      </c>
    </row>
    <row r="65" spans="1:119" hidden="1" x14ac:dyDescent="0.3">
      <c r="A65" t="s">
        <v>7</v>
      </c>
      <c r="B65" s="4" t="s">
        <v>126</v>
      </c>
      <c r="C65" s="4" t="s">
        <v>135</v>
      </c>
      <c r="D65" s="4" t="s">
        <v>142</v>
      </c>
      <c r="E65" s="4" t="s">
        <v>131</v>
      </c>
      <c r="F65" s="12">
        <v>7.37</v>
      </c>
      <c r="G65" s="34">
        <f t="shared" si="1"/>
        <v>0</v>
      </c>
      <c r="H65" s="28">
        <f t="shared" si="6"/>
        <v>0</v>
      </c>
      <c r="I65" s="28">
        <f t="shared" si="2"/>
        <v>0</v>
      </c>
      <c r="J65" s="26">
        <f t="shared" si="3"/>
        <v>0</v>
      </c>
      <c r="K65" s="24">
        <f t="shared" si="4"/>
        <v>0</v>
      </c>
      <c r="L65" s="31">
        <f t="shared" si="5"/>
        <v>0</v>
      </c>
      <c r="M65" s="9">
        <v>62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F65" s="6">
        <v>456.94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4"/>
      <c r="AY65" s="4"/>
      <c r="CI65" s="74">
        <v>69</v>
      </c>
    </row>
    <row r="66" spans="1:119" hidden="1" x14ac:dyDescent="0.3">
      <c r="A66" t="s">
        <v>7</v>
      </c>
      <c r="B66" s="4" t="s">
        <v>126</v>
      </c>
      <c r="C66" s="4" t="s">
        <v>143</v>
      </c>
      <c r="D66" s="4" t="s">
        <v>144</v>
      </c>
      <c r="E66" s="4" t="s">
        <v>145</v>
      </c>
      <c r="F66" s="12">
        <v>38.130000000000003</v>
      </c>
      <c r="G66" s="34">
        <f t="shared" si="1"/>
        <v>0</v>
      </c>
      <c r="H66" s="28">
        <f t="shared" si="6"/>
        <v>0</v>
      </c>
      <c r="I66" s="28">
        <f t="shared" si="2"/>
        <v>0</v>
      </c>
      <c r="J66" s="26">
        <f t="shared" si="3"/>
        <v>0</v>
      </c>
      <c r="K66" s="24">
        <f t="shared" si="4"/>
        <v>0</v>
      </c>
      <c r="L66" s="31">
        <f t="shared" si="5"/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4"/>
      <c r="AY66" s="4"/>
      <c r="CI66" s="74" t="e">
        <v>#N/A</v>
      </c>
    </row>
    <row r="67" spans="1:119" hidden="1" x14ac:dyDescent="0.3">
      <c r="A67" t="s">
        <v>7</v>
      </c>
      <c r="B67" s="4" t="s">
        <v>126</v>
      </c>
      <c r="C67" s="4" t="s">
        <v>143</v>
      </c>
      <c r="D67" s="4" t="s">
        <v>146</v>
      </c>
      <c r="E67" s="4" t="s">
        <v>147</v>
      </c>
      <c r="F67" s="12">
        <v>47.35</v>
      </c>
      <c r="G67" s="34">
        <f t="shared" si="1"/>
        <v>0</v>
      </c>
      <c r="H67" s="28">
        <f t="shared" si="6"/>
        <v>0</v>
      </c>
      <c r="I67" s="28">
        <f t="shared" si="2"/>
        <v>0</v>
      </c>
      <c r="J67" s="26">
        <f t="shared" si="3"/>
        <v>0</v>
      </c>
      <c r="K67" s="24">
        <f t="shared" si="4"/>
        <v>0</v>
      </c>
      <c r="L67" s="31">
        <f t="shared" si="5"/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4"/>
      <c r="AY67" s="4"/>
      <c r="CI67" s="74">
        <v>100</v>
      </c>
    </row>
    <row r="68" spans="1:119" hidden="1" x14ac:dyDescent="0.3">
      <c r="A68" t="s">
        <v>7</v>
      </c>
      <c r="B68" s="4" t="s">
        <v>126</v>
      </c>
      <c r="C68" s="4" t="s">
        <v>143</v>
      </c>
      <c r="D68" s="4" t="s">
        <v>148</v>
      </c>
      <c r="E68" s="4" t="s">
        <v>149</v>
      </c>
      <c r="F68" s="12">
        <v>1209.8499999999999</v>
      </c>
      <c r="G68" s="34">
        <f t="shared" si="1"/>
        <v>0</v>
      </c>
      <c r="H68" s="28">
        <f t="shared" si="6"/>
        <v>0</v>
      </c>
      <c r="I68" s="28">
        <f t="shared" si="2"/>
        <v>0</v>
      </c>
      <c r="J68" s="26">
        <f t="shared" si="3"/>
        <v>0</v>
      </c>
      <c r="K68" s="24">
        <f t="shared" si="4"/>
        <v>0</v>
      </c>
      <c r="L68" s="31">
        <f t="shared" si="5"/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4"/>
      <c r="AY68" s="4"/>
      <c r="CI68" s="74">
        <v>40.729999999999997</v>
      </c>
    </row>
    <row r="69" spans="1:119" hidden="1" x14ac:dyDescent="0.3">
      <c r="A69" t="s">
        <v>7</v>
      </c>
      <c r="B69" s="4" t="s">
        <v>126</v>
      </c>
      <c r="C69" s="4" t="s">
        <v>150</v>
      </c>
      <c r="D69" s="4" t="s">
        <v>151</v>
      </c>
      <c r="E69" s="4" t="s">
        <v>152</v>
      </c>
      <c r="F69" s="12">
        <v>3.53</v>
      </c>
      <c r="G69" s="34">
        <f t="shared" si="1"/>
        <v>3830.0499999999997</v>
      </c>
      <c r="H69" s="28">
        <f t="shared" si="6"/>
        <v>1085</v>
      </c>
      <c r="I69" s="28">
        <f t="shared" si="2"/>
        <v>91</v>
      </c>
      <c r="J69" s="26">
        <f t="shared" si="3"/>
        <v>2329.7999999999997</v>
      </c>
      <c r="K69" s="24">
        <f t="shared" si="4"/>
        <v>660</v>
      </c>
      <c r="L69" s="31">
        <f t="shared" si="5"/>
        <v>132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185</v>
      </c>
      <c r="S69" s="9">
        <v>120</v>
      </c>
      <c r="T69" s="9">
        <v>150</v>
      </c>
      <c r="U69" s="9">
        <v>120</v>
      </c>
      <c r="V69" s="9">
        <v>120</v>
      </c>
      <c r="W69" s="9">
        <v>150</v>
      </c>
      <c r="X69" s="9">
        <v>120</v>
      </c>
      <c r="Y69" s="9">
        <v>120</v>
      </c>
      <c r="Z69" s="9">
        <v>150</v>
      </c>
      <c r="AA69" s="9">
        <v>120</v>
      </c>
      <c r="AB69" s="9">
        <v>120</v>
      </c>
      <c r="AC69" s="9">
        <v>150</v>
      </c>
      <c r="AD69" s="9">
        <v>120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654.9</v>
      </c>
      <c r="AL69" s="6">
        <v>424.8</v>
      </c>
      <c r="AM69" s="6">
        <v>531</v>
      </c>
      <c r="AN69" s="6">
        <v>424.8</v>
      </c>
      <c r="AO69" s="6">
        <v>424.8</v>
      </c>
      <c r="AP69" s="6">
        <v>531</v>
      </c>
      <c r="AQ69" s="6">
        <v>424.8</v>
      </c>
      <c r="AR69" s="6">
        <v>424.8</v>
      </c>
      <c r="AS69" s="6">
        <v>531</v>
      </c>
      <c r="AT69" s="6">
        <v>424.8</v>
      </c>
      <c r="AU69" s="6">
        <v>424.8</v>
      </c>
      <c r="AV69" s="6">
        <v>531</v>
      </c>
      <c r="AW69" s="6">
        <v>424.8</v>
      </c>
      <c r="AX69" s="49"/>
      <c r="AY69" s="51"/>
      <c r="AZ69" s="51" t="s">
        <v>631</v>
      </c>
      <c r="BA69" s="51"/>
      <c r="BB69" s="51"/>
      <c r="BC69" s="51"/>
      <c r="BD69" s="51"/>
      <c r="BE69" s="51"/>
      <c r="BF69" s="51"/>
      <c r="BG69" s="51"/>
      <c r="BH69" s="51" t="s">
        <v>631</v>
      </c>
      <c r="BI69" s="51"/>
      <c r="BJ69" s="51" t="s">
        <v>631</v>
      </c>
      <c r="BK69" s="84" t="s">
        <v>631</v>
      </c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 t="s">
        <v>631</v>
      </c>
      <c r="CI69" s="76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</row>
    <row r="70" spans="1:119" hidden="1" x14ac:dyDescent="0.3">
      <c r="A70" t="s">
        <v>7</v>
      </c>
      <c r="B70" s="4" t="s">
        <v>126</v>
      </c>
      <c r="C70" s="4" t="s">
        <v>150</v>
      </c>
      <c r="D70" s="4" t="s">
        <v>153</v>
      </c>
      <c r="E70" s="4" t="s">
        <v>154</v>
      </c>
      <c r="F70" s="12">
        <v>13.22</v>
      </c>
      <c r="G70" s="34">
        <f t="shared" si="1"/>
        <v>31728</v>
      </c>
      <c r="H70" s="28">
        <f t="shared" si="6"/>
        <v>2400</v>
      </c>
      <c r="I70" s="28">
        <f t="shared" si="2"/>
        <v>200</v>
      </c>
      <c r="J70" s="26">
        <f t="shared" si="3"/>
        <v>8725.2000000000007</v>
      </c>
      <c r="K70" s="24">
        <f t="shared" si="4"/>
        <v>660</v>
      </c>
      <c r="L70" s="31">
        <f t="shared" si="5"/>
        <v>132</v>
      </c>
      <c r="M70" s="9">
        <v>0</v>
      </c>
      <c r="N70" s="9">
        <v>0</v>
      </c>
      <c r="O70" s="9">
        <v>0</v>
      </c>
      <c r="P70" s="9">
        <v>500</v>
      </c>
      <c r="Q70" s="9">
        <v>500</v>
      </c>
      <c r="R70" s="9">
        <v>500</v>
      </c>
      <c r="S70" s="9">
        <v>120</v>
      </c>
      <c r="T70" s="9">
        <v>150</v>
      </c>
      <c r="U70" s="9">
        <v>120</v>
      </c>
      <c r="V70" s="9">
        <v>120</v>
      </c>
      <c r="W70" s="9">
        <v>150</v>
      </c>
      <c r="X70" s="9">
        <v>120</v>
      </c>
      <c r="Y70" s="9">
        <v>120</v>
      </c>
      <c r="Z70" s="9">
        <v>150</v>
      </c>
      <c r="AA70" s="9">
        <v>120</v>
      </c>
      <c r="AB70" s="9">
        <v>120</v>
      </c>
      <c r="AC70" s="9">
        <v>150</v>
      </c>
      <c r="AD70" s="9">
        <v>120</v>
      </c>
      <c r="AF70" s="6">
        <v>0</v>
      </c>
      <c r="AG70" s="6">
        <v>0</v>
      </c>
      <c r="AH70" s="6">
        <v>0</v>
      </c>
      <c r="AI70" s="6">
        <v>5875</v>
      </c>
      <c r="AJ70" s="6">
        <v>5875</v>
      </c>
      <c r="AK70" s="6">
        <v>5875</v>
      </c>
      <c r="AL70" s="6">
        <v>1410</v>
      </c>
      <c r="AM70" s="6">
        <v>1699.5</v>
      </c>
      <c r="AN70" s="6">
        <v>1359.6</v>
      </c>
      <c r="AO70" s="6">
        <v>1359.6</v>
      </c>
      <c r="AP70" s="6">
        <v>1699.5</v>
      </c>
      <c r="AQ70" s="6">
        <v>1359.6</v>
      </c>
      <c r="AR70" s="6">
        <v>1359.6</v>
      </c>
      <c r="AS70" s="6">
        <v>1699.5</v>
      </c>
      <c r="AT70" s="6">
        <v>1359.6</v>
      </c>
      <c r="AU70" s="6">
        <v>1359.6</v>
      </c>
      <c r="AV70" s="6">
        <v>1699.5</v>
      </c>
      <c r="AW70" s="6">
        <v>1359.6</v>
      </c>
      <c r="AX70" s="49" t="s">
        <v>631</v>
      </c>
      <c r="AY70" s="51"/>
      <c r="AZ70" s="51"/>
      <c r="BA70" s="51"/>
      <c r="BB70" s="51"/>
      <c r="BC70" s="51"/>
      <c r="BD70" s="51"/>
      <c r="BE70" s="51"/>
      <c r="BF70" s="51"/>
      <c r="BG70" s="51"/>
      <c r="BH70" s="51" t="s">
        <v>631</v>
      </c>
      <c r="BI70" s="51"/>
      <c r="BJ70" s="51"/>
      <c r="BK70" s="84" t="s">
        <v>631</v>
      </c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 t="s">
        <v>631</v>
      </c>
      <c r="CH70" s="85" t="s">
        <v>631</v>
      </c>
      <c r="CI70" s="76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</row>
    <row r="71" spans="1:119" hidden="1" x14ac:dyDescent="0.3">
      <c r="A71" t="s">
        <v>7</v>
      </c>
      <c r="B71" s="4" t="s">
        <v>126</v>
      </c>
      <c r="C71" s="4" t="s">
        <v>150</v>
      </c>
      <c r="D71" s="4" t="s">
        <v>155</v>
      </c>
      <c r="E71" s="4" t="s">
        <v>156</v>
      </c>
      <c r="F71" s="12">
        <v>184.88</v>
      </c>
      <c r="G71" s="34">
        <f t="shared" ref="G71:G134" si="7">F71*H71</f>
        <v>385474.8</v>
      </c>
      <c r="H71" s="28">
        <f t="shared" ref="H71:H134" si="8">SUM(N71:Y71)</f>
        <v>2085</v>
      </c>
      <c r="I71" s="28">
        <f t="shared" ref="I71:I134" si="9">ROUNDUP(H71/12,0)</f>
        <v>174</v>
      </c>
      <c r="J71" s="26">
        <f t="shared" ref="J71:J134" si="10">K71*F71</f>
        <v>122020.8</v>
      </c>
      <c r="K71" s="24">
        <f t="shared" ref="K71:K134" si="11">SUM(Z71:AD71)</f>
        <v>660</v>
      </c>
      <c r="L71" s="31">
        <f t="shared" ref="L71:L134" si="12">ROUNDUP(K71/5,0)</f>
        <v>132</v>
      </c>
      <c r="M71" s="9">
        <v>0</v>
      </c>
      <c r="N71" s="9">
        <v>0</v>
      </c>
      <c r="O71" s="9">
        <v>0</v>
      </c>
      <c r="P71" s="9">
        <v>500</v>
      </c>
      <c r="Q71" s="9">
        <v>500</v>
      </c>
      <c r="R71" s="9">
        <v>185</v>
      </c>
      <c r="S71" s="9">
        <v>120</v>
      </c>
      <c r="T71" s="9">
        <v>150</v>
      </c>
      <c r="U71" s="9">
        <v>120</v>
      </c>
      <c r="V71" s="9">
        <v>120</v>
      </c>
      <c r="W71" s="9">
        <v>150</v>
      </c>
      <c r="X71" s="9">
        <v>120</v>
      </c>
      <c r="Y71" s="9">
        <v>120</v>
      </c>
      <c r="Z71" s="9">
        <v>150</v>
      </c>
      <c r="AA71" s="9">
        <v>120</v>
      </c>
      <c r="AB71" s="9">
        <v>120</v>
      </c>
      <c r="AC71" s="9">
        <v>150</v>
      </c>
      <c r="AD71" s="9">
        <v>120</v>
      </c>
      <c r="AF71" s="6">
        <v>0</v>
      </c>
      <c r="AG71" s="6">
        <v>0</v>
      </c>
      <c r="AH71" s="6">
        <v>0</v>
      </c>
      <c r="AI71" s="6">
        <v>92440</v>
      </c>
      <c r="AJ71" s="6">
        <v>92440</v>
      </c>
      <c r="AK71" s="6">
        <v>34202.799999999996</v>
      </c>
      <c r="AL71" s="6">
        <v>22185.599999999999</v>
      </c>
      <c r="AM71" s="6">
        <v>27732</v>
      </c>
      <c r="AN71" s="6">
        <v>22185.599999999999</v>
      </c>
      <c r="AO71" s="6">
        <v>22185.599999999999</v>
      </c>
      <c r="AP71" s="6">
        <v>27732</v>
      </c>
      <c r="AQ71" s="6">
        <v>22185.599999999999</v>
      </c>
      <c r="AR71" s="6">
        <v>22185.599999999999</v>
      </c>
      <c r="AS71" s="6">
        <v>27732</v>
      </c>
      <c r="AT71" s="6">
        <v>22185.599999999999</v>
      </c>
      <c r="AU71" s="6">
        <v>22185.599999999999</v>
      </c>
      <c r="AV71" s="6">
        <v>27732</v>
      </c>
      <c r="AW71" s="6">
        <v>22185.599999999999</v>
      </c>
      <c r="AX71" s="49" t="s">
        <v>631</v>
      </c>
      <c r="AY71" s="51" t="s">
        <v>631</v>
      </c>
      <c r="AZ71" s="51" t="s">
        <v>631</v>
      </c>
      <c r="BA71" s="51"/>
      <c r="BB71" s="51" t="s">
        <v>631</v>
      </c>
      <c r="BC71" s="51"/>
      <c r="BD71" s="51"/>
      <c r="BE71" s="51"/>
      <c r="BF71" s="51"/>
      <c r="BG71" s="51" t="s">
        <v>631</v>
      </c>
      <c r="BH71" s="51" t="s">
        <v>631</v>
      </c>
      <c r="BI71" s="51"/>
      <c r="BJ71" s="51" t="s">
        <v>631</v>
      </c>
      <c r="BK71" s="84" t="s">
        <v>631</v>
      </c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 t="s">
        <v>631</v>
      </c>
      <c r="CH71" s="85" t="s">
        <v>631</v>
      </c>
      <c r="CI71" s="76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</row>
    <row r="72" spans="1:119" hidden="1" x14ac:dyDescent="0.3">
      <c r="A72" t="s">
        <v>7</v>
      </c>
      <c r="B72" s="4" t="s">
        <v>126</v>
      </c>
      <c r="C72" s="4" t="s">
        <v>150</v>
      </c>
      <c r="D72" s="4" t="s">
        <v>157</v>
      </c>
      <c r="E72" s="4" t="s">
        <v>158</v>
      </c>
      <c r="F72" s="12">
        <v>9.14</v>
      </c>
      <c r="G72" s="34">
        <f t="shared" si="7"/>
        <v>12147.060000000001</v>
      </c>
      <c r="H72" s="28">
        <f t="shared" si="8"/>
        <v>1329</v>
      </c>
      <c r="I72" s="28">
        <f t="shared" si="9"/>
        <v>111</v>
      </c>
      <c r="J72" s="26">
        <f t="shared" si="10"/>
        <v>6032.4000000000005</v>
      </c>
      <c r="K72" s="24">
        <f t="shared" si="11"/>
        <v>660</v>
      </c>
      <c r="L72" s="31">
        <f t="shared" si="12"/>
        <v>132</v>
      </c>
      <c r="M72" s="9">
        <v>0</v>
      </c>
      <c r="N72" s="9">
        <v>244</v>
      </c>
      <c r="O72" s="9">
        <v>0</v>
      </c>
      <c r="P72" s="9">
        <v>0</v>
      </c>
      <c r="Q72" s="9">
        <v>0</v>
      </c>
      <c r="R72" s="9">
        <v>185</v>
      </c>
      <c r="S72" s="9">
        <v>120</v>
      </c>
      <c r="T72" s="9">
        <v>150</v>
      </c>
      <c r="U72" s="9">
        <v>120</v>
      </c>
      <c r="V72" s="9">
        <v>120</v>
      </c>
      <c r="W72" s="9">
        <v>150</v>
      </c>
      <c r="X72" s="9">
        <v>120</v>
      </c>
      <c r="Y72" s="9">
        <v>120</v>
      </c>
      <c r="Z72" s="9">
        <v>150</v>
      </c>
      <c r="AA72" s="9">
        <v>120</v>
      </c>
      <c r="AB72" s="9">
        <v>120</v>
      </c>
      <c r="AC72" s="9">
        <v>150</v>
      </c>
      <c r="AD72" s="9">
        <v>120</v>
      </c>
      <c r="AF72" s="6">
        <v>0</v>
      </c>
      <c r="AG72" s="6">
        <v>2156.96</v>
      </c>
      <c r="AH72" s="6">
        <v>0</v>
      </c>
      <c r="AI72" s="6">
        <v>0</v>
      </c>
      <c r="AJ72" s="6">
        <v>0</v>
      </c>
      <c r="AK72" s="6">
        <v>1646.5</v>
      </c>
      <c r="AL72" s="6">
        <v>1068</v>
      </c>
      <c r="AM72" s="6">
        <v>1335</v>
      </c>
      <c r="AN72" s="6">
        <v>1060.8</v>
      </c>
      <c r="AO72" s="6">
        <v>1060.8</v>
      </c>
      <c r="AP72" s="6">
        <v>1326</v>
      </c>
      <c r="AQ72" s="6">
        <v>1060.8</v>
      </c>
      <c r="AR72" s="6">
        <v>1060.8</v>
      </c>
      <c r="AS72" s="6">
        <v>1326</v>
      </c>
      <c r="AT72" s="6">
        <v>1060.8</v>
      </c>
      <c r="AU72" s="6">
        <v>1060.8</v>
      </c>
      <c r="AV72" s="6">
        <v>1326</v>
      </c>
      <c r="AW72" s="6">
        <v>1060.8</v>
      </c>
      <c r="AX72" s="49" t="s">
        <v>631</v>
      </c>
      <c r="AY72" s="51"/>
      <c r="AZ72" s="51"/>
      <c r="BA72" s="51"/>
      <c r="BB72" s="51"/>
      <c r="BC72" s="51"/>
      <c r="BD72" s="51"/>
      <c r="BE72" s="51"/>
      <c r="BF72" s="51"/>
      <c r="BG72" s="51"/>
      <c r="BH72" s="51" t="s">
        <v>631</v>
      </c>
      <c r="BI72" s="51"/>
      <c r="BJ72" s="51" t="s">
        <v>631</v>
      </c>
      <c r="BK72" s="84" t="s">
        <v>631</v>
      </c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 t="s">
        <v>631</v>
      </c>
      <c r="CH72" s="85" t="s">
        <v>631</v>
      </c>
      <c r="CI72" s="76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</row>
    <row r="73" spans="1:119" hidden="1" x14ac:dyDescent="0.3">
      <c r="A73" t="s">
        <v>7</v>
      </c>
      <c r="B73" s="4" t="s">
        <v>126</v>
      </c>
      <c r="C73" s="4" t="s">
        <v>150</v>
      </c>
      <c r="D73" s="4" t="s">
        <v>159</v>
      </c>
      <c r="E73" s="4" t="s">
        <v>160</v>
      </c>
      <c r="F73" s="12">
        <v>7.27</v>
      </c>
      <c r="G73" s="34">
        <f t="shared" si="7"/>
        <v>11522.949999999999</v>
      </c>
      <c r="H73" s="28">
        <f t="shared" si="8"/>
        <v>1585</v>
      </c>
      <c r="I73" s="28">
        <f t="shared" si="9"/>
        <v>133</v>
      </c>
      <c r="J73" s="26">
        <f t="shared" si="10"/>
        <v>4798.2</v>
      </c>
      <c r="K73" s="24">
        <f t="shared" si="11"/>
        <v>660</v>
      </c>
      <c r="L73" s="31">
        <f t="shared" si="12"/>
        <v>132</v>
      </c>
      <c r="M73" s="9">
        <v>0</v>
      </c>
      <c r="N73" s="9">
        <v>500</v>
      </c>
      <c r="O73" s="9">
        <v>0</v>
      </c>
      <c r="P73" s="9">
        <v>0</v>
      </c>
      <c r="Q73" s="9">
        <v>0</v>
      </c>
      <c r="R73" s="9">
        <v>185</v>
      </c>
      <c r="S73" s="9">
        <v>120</v>
      </c>
      <c r="T73" s="9">
        <v>150</v>
      </c>
      <c r="U73" s="9">
        <v>120</v>
      </c>
      <c r="V73" s="9">
        <v>120</v>
      </c>
      <c r="W73" s="9">
        <v>150</v>
      </c>
      <c r="X73" s="9">
        <v>120</v>
      </c>
      <c r="Y73" s="9">
        <v>120</v>
      </c>
      <c r="Z73" s="9">
        <v>150</v>
      </c>
      <c r="AA73" s="9">
        <v>120</v>
      </c>
      <c r="AB73" s="9">
        <v>120</v>
      </c>
      <c r="AC73" s="9">
        <v>150</v>
      </c>
      <c r="AD73" s="9">
        <v>120</v>
      </c>
      <c r="AF73" s="6">
        <v>0</v>
      </c>
      <c r="AG73" s="6">
        <v>3635</v>
      </c>
      <c r="AH73" s="6">
        <v>0</v>
      </c>
      <c r="AI73" s="6">
        <v>0</v>
      </c>
      <c r="AJ73" s="6">
        <v>0</v>
      </c>
      <c r="AK73" s="6">
        <v>1344.9499999999998</v>
      </c>
      <c r="AL73" s="6">
        <v>872.4</v>
      </c>
      <c r="AM73" s="6">
        <v>1090.5</v>
      </c>
      <c r="AN73" s="6">
        <v>872.4</v>
      </c>
      <c r="AO73" s="6">
        <v>872.4</v>
      </c>
      <c r="AP73" s="6">
        <v>1090.5</v>
      </c>
      <c r="AQ73" s="6">
        <v>872.4</v>
      </c>
      <c r="AR73" s="6">
        <v>872.4</v>
      </c>
      <c r="AS73" s="6">
        <v>1090.5</v>
      </c>
      <c r="AT73" s="6">
        <v>872.4</v>
      </c>
      <c r="AU73" s="6">
        <v>872.4</v>
      </c>
      <c r="AV73" s="6">
        <v>1090.5</v>
      </c>
      <c r="AW73" s="6">
        <v>872.4</v>
      </c>
      <c r="AX73" s="49"/>
      <c r="AY73" s="51"/>
      <c r="AZ73" s="51"/>
      <c r="BA73" s="51"/>
      <c r="BB73" s="51"/>
      <c r="BC73" s="51" t="s">
        <v>631</v>
      </c>
      <c r="BD73" s="51"/>
      <c r="BE73" s="51"/>
      <c r="BF73" s="51"/>
      <c r="BG73" s="51"/>
      <c r="BH73" s="51"/>
      <c r="BI73" s="51"/>
      <c r="BJ73" s="51" t="s">
        <v>631</v>
      </c>
      <c r="BK73" s="84" t="s">
        <v>631</v>
      </c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 t="s">
        <v>631</v>
      </c>
      <c r="CH73" s="85" t="s">
        <v>631</v>
      </c>
      <c r="CI73" s="76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</row>
    <row r="74" spans="1:119" hidden="1" x14ac:dyDescent="0.3">
      <c r="A74" t="s">
        <v>7</v>
      </c>
      <c r="B74" s="4" t="s">
        <v>126</v>
      </c>
      <c r="C74" s="4" t="s">
        <v>161</v>
      </c>
      <c r="D74" s="4" t="s">
        <v>162</v>
      </c>
      <c r="E74" s="4" t="s">
        <v>163</v>
      </c>
      <c r="F74" s="12">
        <v>22.07</v>
      </c>
      <c r="G74" s="34">
        <f t="shared" si="7"/>
        <v>0</v>
      </c>
      <c r="H74" s="28">
        <f t="shared" si="8"/>
        <v>0</v>
      </c>
      <c r="I74" s="28">
        <f t="shared" si="9"/>
        <v>0</v>
      </c>
      <c r="J74" s="26">
        <f t="shared" si="10"/>
        <v>0</v>
      </c>
      <c r="K74" s="24">
        <f t="shared" si="11"/>
        <v>0</v>
      </c>
      <c r="L74" s="31">
        <f t="shared" si="12"/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4"/>
      <c r="AY74" s="4"/>
      <c r="CI74" s="74">
        <v>200</v>
      </c>
    </row>
    <row r="75" spans="1:119" hidden="1" x14ac:dyDescent="0.3">
      <c r="A75" t="s">
        <v>7</v>
      </c>
      <c r="B75" s="4" t="s">
        <v>126</v>
      </c>
      <c r="C75" s="4" t="s">
        <v>161</v>
      </c>
      <c r="D75" s="4" t="s">
        <v>164</v>
      </c>
      <c r="E75" s="4" t="s">
        <v>163</v>
      </c>
      <c r="F75" s="12">
        <v>21.98</v>
      </c>
      <c r="G75" s="34">
        <f t="shared" si="7"/>
        <v>0</v>
      </c>
      <c r="H75" s="28">
        <f t="shared" si="8"/>
        <v>0</v>
      </c>
      <c r="I75" s="28">
        <f t="shared" si="9"/>
        <v>0</v>
      </c>
      <c r="J75" s="26">
        <f t="shared" si="10"/>
        <v>0</v>
      </c>
      <c r="K75" s="24">
        <f t="shared" si="11"/>
        <v>0</v>
      </c>
      <c r="L75" s="31">
        <f t="shared" si="12"/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4"/>
      <c r="AY75" s="4"/>
      <c r="CI75" s="74">
        <v>200</v>
      </c>
    </row>
    <row r="76" spans="1:119" hidden="1" x14ac:dyDescent="0.3">
      <c r="A76" t="s">
        <v>7</v>
      </c>
      <c r="B76" s="4" t="s">
        <v>126</v>
      </c>
      <c r="C76" s="4" t="s">
        <v>161</v>
      </c>
      <c r="D76" s="4" t="s">
        <v>165</v>
      </c>
      <c r="E76" s="4" t="s">
        <v>166</v>
      </c>
      <c r="F76" s="12">
        <v>32.24</v>
      </c>
      <c r="G76" s="34">
        <f t="shared" si="7"/>
        <v>0</v>
      </c>
      <c r="H76" s="28">
        <f t="shared" si="8"/>
        <v>0</v>
      </c>
      <c r="I76" s="28">
        <f t="shared" si="9"/>
        <v>0</v>
      </c>
      <c r="J76" s="26">
        <f t="shared" si="10"/>
        <v>0</v>
      </c>
      <c r="K76" s="24">
        <f t="shared" si="11"/>
        <v>0</v>
      </c>
      <c r="L76" s="31">
        <f t="shared" si="12"/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4"/>
      <c r="AY76" s="4"/>
      <c r="CI76" s="74">
        <v>55</v>
      </c>
    </row>
    <row r="77" spans="1:119" hidden="1" x14ac:dyDescent="0.3">
      <c r="A77" t="s">
        <v>7</v>
      </c>
      <c r="B77" s="4" t="s">
        <v>126</v>
      </c>
      <c r="C77" s="4" t="s">
        <v>167</v>
      </c>
      <c r="D77" s="4" t="s">
        <v>168</v>
      </c>
      <c r="E77" s="4" t="s">
        <v>166</v>
      </c>
      <c r="F77" s="12">
        <v>81.23</v>
      </c>
      <c r="G77" s="34">
        <f t="shared" si="7"/>
        <v>0</v>
      </c>
      <c r="H77" s="28">
        <f t="shared" si="8"/>
        <v>0</v>
      </c>
      <c r="I77" s="28">
        <f t="shared" si="9"/>
        <v>0</v>
      </c>
      <c r="J77" s="26">
        <f t="shared" si="10"/>
        <v>0</v>
      </c>
      <c r="K77" s="24">
        <f t="shared" si="11"/>
        <v>0</v>
      </c>
      <c r="L77" s="31">
        <f t="shared" si="12"/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4"/>
      <c r="AY77" s="4"/>
      <c r="CI77" s="74">
        <v>55</v>
      </c>
    </row>
    <row r="78" spans="1:119" hidden="1" x14ac:dyDescent="0.3">
      <c r="A78" t="s">
        <v>7</v>
      </c>
      <c r="B78" s="4" t="s">
        <v>126</v>
      </c>
      <c r="C78" s="4" t="s">
        <v>167</v>
      </c>
      <c r="D78" s="4" t="s">
        <v>169</v>
      </c>
      <c r="E78" s="4" t="s">
        <v>166</v>
      </c>
      <c r="F78" s="12">
        <v>90.87</v>
      </c>
      <c r="G78" s="34">
        <f t="shared" si="7"/>
        <v>0</v>
      </c>
      <c r="H78" s="28">
        <f t="shared" si="8"/>
        <v>0</v>
      </c>
      <c r="I78" s="28">
        <f t="shared" si="9"/>
        <v>0</v>
      </c>
      <c r="J78" s="26">
        <f t="shared" si="10"/>
        <v>0</v>
      </c>
      <c r="K78" s="24">
        <f t="shared" si="11"/>
        <v>0</v>
      </c>
      <c r="L78" s="31">
        <f t="shared" si="12"/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4"/>
      <c r="AY78" s="4"/>
      <c r="CI78" s="74">
        <v>55</v>
      </c>
    </row>
    <row r="79" spans="1:119" hidden="1" x14ac:dyDescent="0.3">
      <c r="A79" t="s">
        <v>7</v>
      </c>
      <c r="B79" s="4" t="s">
        <v>126</v>
      </c>
      <c r="C79" s="4" t="s">
        <v>170</v>
      </c>
      <c r="D79" s="4" t="s">
        <v>171</v>
      </c>
      <c r="E79" s="4" t="s">
        <v>172</v>
      </c>
      <c r="F79" s="12">
        <v>4275.07</v>
      </c>
      <c r="G79" s="34">
        <f t="shared" si="7"/>
        <v>0</v>
      </c>
      <c r="H79" s="28">
        <f t="shared" si="8"/>
        <v>0</v>
      </c>
      <c r="I79" s="28">
        <f t="shared" si="9"/>
        <v>0</v>
      </c>
      <c r="J79" s="26">
        <f t="shared" si="10"/>
        <v>0</v>
      </c>
      <c r="K79" s="24">
        <f t="shared" si="11"/>
        <v>0</v>
      </c>
      <c r="L79" s="31">
        <f t="shared" si="12"/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4"/>
      <c r="AY79" s="4"/>
      <c r="CI79" s="74">
        <v>2</v>
      </c>
    </row>
    <row r="80" spans="1:119" hidden="1" x14ac:dyDescent="0.3">
      <c r="A80" t="s">
        <v>7</v>
      </c>
      <c r="B80" s="4" t="s">
        <v>126</v>
      </c>
      <c r="C80" s="4" t="s">
        <v>173</v>
      </c>
      <c r="D80" s="4" t="s">
        <v>174</v>
      </c>
      <c r="E80" s="4" t="s">
        <v>175</v>
      </c>
      <c r="F80" s="12">
        <v>4.05</v>
      </c>
      <c r="G80" s="34">
        <f t="shared" si="7"/>
        <v>4110.75</v>
      </c>
      <c r="H80" s="28">
        <f t="shared" si="8"/>
        <v>1015</v>
      </c>
      <c r="I80" s="28">
        <f t="shared" si="9"/>
        <v>85</v>
      </c>
      <c r="J80" s="26">
        <f t="shared" si="10"/>
        <v>2583.9</v>
      </c>
      <c r="K80" s="24">
        <f t="shared" si="11"/>
        <v>638</v>
      </c>
      <c r="L80" s="31">
        <f t="shared" si="12"/>
        <v>128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145</v>
      </c>
      <c r="S80" s="9">
        <v>116</v>
      </c>
      <c r="T80" s="9">
        <v>145</v>
      </c>
      <c r="U80" s="9">
        <v>116</v>
      </c>
      <c r="V80" s="9">
        <v>116</v>
      </c>
      <c r="W80" s="9">
        <v>145</v>
      </c>
      <c r="X80" s="9">
        <v>116</v>
      </c>
      <c r="Y80" s="9">
        <v>116</v>
      </c>
      <c r="Z80" s="9">
        <v>145</v>
      </c>
      <c r="AA80" s="9">
        <v>116</v>
      </c>
      <c r="AB80" s="9">
        <v>116</v>
      </c>
      <c r="AC80" s="9">
        <v>145</v>
      </c>
      <c r="AD80" s="9">
        <v>116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540.85</v>
      </c>
      <c r="AL80" s="6">
        <v>432.68</v>
      </c>
      <c r="AM80" s="6">
        <v>540.85</v>
      </c>
      <c r="AN80" s="6">
        <v>432.68</v>
      </c>
      <c r="AO80" s="6">
        <v>432.68</v>
      </c>
      <c r="AP80" s="6">
        <v>540.85</v>
      </c>
      <c r="AQ80" s="6">
        <v>432.68</v>
      </c>
      <c r="AR80" s="6">
        <v>432.68</v>
      </c>
      <c r="AS80" s="6">
        <v>540.85</v>
      </c>
      <c r="AT80" s="6">
        <v>432.68</v>
      </c>
      <c r="AU80" s="6">
        <v>432.68</v>
      </c>
      <c r="AV80" s="6">
        <v>540.85</v>
      </c>
      <c r="AW80" s="6">
        <v>432.68</v>
      </c>
      <c r="AX80" s="49"/>
      <c r="AY80" s="51"/>
      <c r="AZ80" s="51"/>
      <c r="BA80" s="51"/>
      <c r="BB80" s="51"/>
      <c r="BC80" s="51" t="s">
        <v>631</v>
      </c>
      <c r="BD80" s="51"/>
      <c r="BE80" s="51"/>
      <c r="BF80" s="51"/>
      <c r="BG80" s="51"/>
      <c r="BH80" s="51"/>
      <c r="BI80" s="51"/>
      <c r="BJ80" s="51" t="s">
        <v>631</v>
      </c>
      <c r="BK80" s="84" t="s">
        <v>631</v>
      </c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 t="s">
        <v>631</v>
      </c>
      <c r="CH80" s="51" t="s">
        <v>631</v>
      </c>
      <c r="CI80" s="76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</row>
    <row r="81" spans="1:119" hidden="1" x14ac:dyDescent="0.3">
      <c r="A81" t="s">
        <v>7</v>
      </c>
      <c r="B81" s="4" t="s">
        <v>126</v>
      </c>
      <c r="C81" s="4" t="s">
        <v>173</v>
      </c>
      <c r="D81" s="4" t="s">
        <v>176</v>
      </c>
      <c r="E81" s="4" t="s">
        <v>177</v>
      </c>
      <c r="F81" s="12">
        <v>10</v>
      </c>
      <c r="G81" s="34">
        <f t="shared" si="7"/>
        <v>10150</v>
      </c>
      <c r="H81" s="28">
        <f t="shared" si="8"/>
        <v>1015</v>
      </c>
      <c r="I81" s="28">
        <f t="shared" si="9"/>
        <v>85</v>
      </c>
      <c r="J81" s="26">
        <f t="shared" si="10"/>
        <v>6380</v>
      </c>
      <c r="K81" s="24">
        <f t="shared" si="11"/>
        <v>638</v>
      </c>
      <c r="L81" s="31">
        <f t="shared" si="12"/>
        <v>128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145</v>
      </c>
      <c r="S81" s="9">
        <v>116</v>
      </c>
      <c r="T81" s="9">
        <v>145</v>
      </c>
      <c r="U81" s="9">
        <v>116</v>
      </c>
      <c r="V81" s="9">
        <v>116</v>
      </c>
      <c r="W81" s="9">
        <v>145</v>
      </c>
      <c r="X81" s="9">
        <v>116</v>
      </c>
      <c r="Y81" s="9">
        <v>116</v>
      </c>
      <c r="Z81" s="9">
        <v>145</v>
      </c>
      <c r="AA81" s="9">
        <v>116</v>
      </c>
      <c r="AB81" s="9">
        <v>116</v>
      </c>
      <c r="AC81" s="9">
        <v>145</v>
      </c>
      <c r="AD81" s="9">
        <v>116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1450</v>
      </c>
      <c r="AL81" s="6">
        <v>1160</v>
      </c>
      <c r="AM81" s="6">
        <v>1450</v>
      </c>
      <c r="AN81" s="6">
        <v>1160</v>
      </c>
      <c r="AO81" s="6">
        <v>1160</v>
      </c>
      <c r="AP81" s="6">
        <v>1450</v>
      </c>
      <c r="AQ81" s="6">
        <v>1160</v>
      </c>
      <c r="AR81" s="6">
        <v>1160</v>
      </c>
      <c r="AS81" s="6">
        <v>1450</v>
      </c>
      <c r="AT81" s="6">
        <v>1160</v>
      </c>
      <c r="AU81" s="6">
        <v>1160</v>
      </c>
      <c r="AV81" s="6">
        <v>1450</v>
      </c>
      <c r="AW81" s="6">
        <v>1160</v>
      </c>
      <c r="AX81" s="49"/>
      <c r="AY81" s="51"/>
      <c r="AZ81" s="51" t="s">
        <v>631</v>
      </c>
      <c r="BA81" s="51"/>
      <c r="BB81" s="51"/>
      <c r="BC81" s="51"/>
      <c r="BD81" s="51"/>
      <c r="BE81" s="51"/>
      <c r="BF81" s="51"/>
      <c r="BG81" s="51"/>
      <c r="BH81" s="51" t="s">
        <v>631</v>
      </c>
      <c r="BI81" s="51"/>
      <c r="BJ81" s="51" t="s">
        <v>631</v>
      </c>
      <c r="BK81" s="84" t="s">
        <v>631</v>
      </c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 t="s">
        <v>631</v>
      </c>
      <c r="CI81" s="76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</row>
    <row r="82" spans="1:119" hidden="1" x14ac:dyDescent="0.3">
      <c r="A82" t="s">
        <v>7</v>
      </c>
      <c r="B82" s="4" t="s">
        <v>126</v>
      </c>
      <c r="C82" s="4" t="s">
        <v>173</v>
      </c>
      <c r="D82" s="4" t="s">
        <v>178</v>
      </c>
      <c r="E82" s="4" t="s">
        <v>179</v>
      </c>
      <c r="F82" s="12">
        <v>11.71</v>
      </c>
      <c r="G82" s="34">
        <f t="shared" si="7"/>
        <v>13056.650000000001</v>
      </c>
      <c r="H82" s="28">
        <f t="shared" si="8"/>
        <v>1115</v>
      </c>
      <c r="I82" s="28">
        <f t="shared" si="9"/>
        <v>93</v>
      </c>
      <c r="J82" s="26">
        <f t="shared" si="10"/>
        <v>7470.9800000000005</v>
      </c>
      <c r="K82" s="24">
        <f t="shared" si="11"/>
        <v>638</v>
      </c>
      <c r="L82" s="31">
        <f t="shared" si="12"/>
        <v>128</v>
      </c>
      <c r="M82" s="9">
        <v>0</v>
      </c>
      <c r="N82" s="9">
        <v>100</v>
      </c>
      <c r="O82" s="9">
        <v>0</v>
      </c>
      <c r="P82" s="9">
        <v>0</v>
      </c>
      <c r="Q82" s="9">
        <v>0</v>
      </c>
      <c r="R82" s="9">
        <v>145</v>
      </c>
      <c r="S82" s="9">
        <v>116</v>
      </c>
      <c r="T82" s="9">
        <v>145</v>
      </c>
      <c r="U82" s="9">
        <v>116</v>
      </c>
      <c r="V82" s="9">
        <v>116</v>
      </c>
      <c r="W82" s="9">
        <v>145</v>
      </c>
      <c r="X82" s="9">
        <v>116</v>
      </c>
      <c r="Y82" s="9">
        <v>116</v>
      </c>
      <c r="Z82" s="9">
        <v>145</v>
      </c>
      <c r="AA82" s="9">
        <v>116</v>
      </c>
      <c r="AB82" s="9">
        <v>116</v>
      </c>
      <c r="AC82" s="9">
        <v>145</v>
      </c>
      <c r="AD82" s="9">
        <v>116</v>
      </c>
      <c r="AF82" s="6">
        <v>0</v>
      </c>
      <c r="AG82" s="6">
        <v>1113</v>
      </c>
      <c r="AH82" s="6">
        <v>0</v>
      </c>
      <c r="AI82" s="6">
        <v>0</v>
      </c>
      <c r="AJ82" s="6">
        <v>0</v>
      </c>
      <c r="AK82" s="6">
        <v>1697.95</v>
      </c>
      <c r="AL82" s="6">
        <v>1358.3600000000001</v>
      </c>
      <c r="AM82" s="6">
        <v>1613.8500000000001</v>
      </c>
      <c r="AN82" s="6">
        <v>1291.0800000000002</v>
      </c>
      <c r="AO82" s="6">
        <v>1291.0800000000002</v>
      </c>
      <c r="AP82" s="6">
        <v>1613.8500000000001</v>
      </c>
      <c r="AQ82" s="6">
        <v>1291.0800000000002</v>
      </c>
      <c r="AR82" s="6">
        <v>1291.0800000000002</v>
      </c>
      <c r="AS82" s="6">
        <v>1613.8500000000001</v>
      </c>
      <c r="AT82" s="6">
        <v>1291.0800000000002</v>
      </c>
      <c r="AU82" s="6">
        <v>1291.0800000000002</v>
      </c>
      <c r="AV82" s="6">
        <v>1613.8500000000001</v>
      </c>
      <c r="AW82" s="6">
        <v>1291.0800000000002</v>
      </c>
      <c r="AX82" s="49" t="s">
        <v>631</v>
      </c>
      <c r="AY82" s="51"/>
      <c r="AZ82" s="51"/>
      <c r="BA82" s="51"/>
      <c r="BB82" s="51" t="s">
        <v>631</v>
      </c>
      <c r="BC82" s="51"/>
      <c r="BD82" s="51"/>
      <c r="BE82" s="51"/>
      <c r="BF82" s="51"/>
      <c r="BG82" s="51"/>
      <c r="BH82" s="51" t="s">
        <v>631</v>
      </c>
      <c r="BI82" s="51"/>
      <c r="BJ82" s="51" t="s">
        <v>631</v>
      </c>
      <c r="BK82" s="84" t="s">
        <v>631</v>
      </c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85" t="s">
        <v>631</v>
      </c>
      <c r="CI82" s="76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</row>
    <row r="83" spans="1:119" hidden="1" x14ac:dyDescent="0.3">
      <c r="A83" t="s">
        <v>7</v>
      </c>
      <c r="B83" s="4" t="s">
        <v>126</v>
      </c>
      <c r="C83" s="4" t="s">
        <v>173</v>
      </c>
      <c r="D83" s="4" t="s">
        <v>180</v>
      </c>
      <c r="E83" s="4" t="s">
        <v>181</v>
      </c>
      <c r="F83" s="12">
        <v>36.42</v>
      </c>
      <c r="G83" s="34">
        <f t="shared" si="7"/>
        <v>36966.300000000003</v>
      </c>
      <c r="H83" s="28">
        <f t="shared" si="8"/>
        <v>1015</v>
      </c>
      <c r="I83" s="28">
        <f t="shared" si="9"/>
        <v>85</v>
      </c>
      <c r="J83" s="26">
        <f t="shared" si="10"/>
        <v>23235.960000000003</v>
      </c>
      <c r="K83" s="24">
        <f t="shared" si="11"/>
        <v>638</v>
      </c>
      <c r="L83" s="31">
        <f t="shared" si="12"/>
        <v>128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145</v>
      </c>
      <c r="S83" s="9">
        <v>116</v>
      </c>
      <c r="T83" s="9">
        <v>145</v>
      </c>
      <c r="U83" s="9">
        <v>116</v>
      </c>
      <c r="V83" s="9">
        <v>116</v>
      </c>
      <c r="W83" s="9">
        <v>145</v>
      </c>
      <c r="X83" s="9">
        <v>116</v>
      </c>
      <c r="Y83" s="9">
        <v>116</v>
      </c>
      <c r="Z83" s="9">
        <v>145</v>
      </c>
      <c r="AA83" s="9">
        <v>116</v>
      </c>
      <c r="AB83" s="9">
        <v>116</v>
      </c>
      <c r="AC83" s="9">
        <v>145</v>
      </c>
      <c r="AD83" s="9">
        <v>116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5280.9000000000005</v>
      </c>
      <c r="AL83" s="6">
        <v>4224.72</v>
      </c>
      <c r="AM83" s="6">
        <v>5280.9000000000005</v>
      </c>
      <c r="AN83" s="6">
        <v>4224.72</v>
      </c>
      <c r="AO83" s="6">
        <v>4224.72</v>
      </c>
      <c r="AP83" s="6">
        <v>5280.9000000000005</v>
      </c>
      <c r="AQ83" s="6">
        <v>4224.72</v>
      </c>
      <c r="AR83" s="6">
        <v>4224.72</v>
      </c>
      <c r="AS83" s="6">
        <v>5280.9000000000005</v>
      </c>
      <c r="AT83" s="6">
        <v>4224.72</v>
      </c>
      <c r="AU83" s="6">
        <v>4224.72</v>
      </c>
      <c r="AV83" s="6">
        <v>5280.9000000000005</v>
      </c>
      <c r="AW83" s="6">
        <v>4224.72</v>
      </c>
      <c r="AX83" s="49" t="s">
        <v>631</v>
      </c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 t="s">
        <v>631</v>
      </c>
      <c r="BK83" s="84" t="s">
        <v>631</v>
      </c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 t="s">
        <v>631</v>
      </c>
      <c r="CH83" s="85" t="s">
        <v>631</v>
      </c>
      <c r="CI83" s="76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</row>
    <row r="84" spans="1:119" hidden="1" x14ac:dyDescent="0.3">
      <c r="A84" t="s">
        <v>7</v>
      </c>
      <c r="B84" s="4" t="s">
        <v>126</v>
      </c>
      <c r="C84" s="4" t="s">
        <v>173</v>
      </c>
      <c r="D84" s="4" t="s">
        <v>182</v>
      </c>
      <c r="E84" s="4" t="s">
        <v>183</v>
      </c>
      <c r="F84" s="12">
        <v>5.38</v>
      </c>
      <c r="G84" s="34">
        <f t="shared" si="7"/>
        <v>0</v>
      </c>
      <c r="H84" s="28">
        <f t="shared" si="8"/>
        <v>0</v>
      </c>
      <c r="I84" s="28">
        <f t="shared" si="9"/>
        <v>0</v>
      </c>
      <c r="J84" s="26">
        <f t="shared" si="10"/>
        <v>0</v>
      </c>
      <c r="K84" s="24">
        <f t="shared" si="11"/>
        <v>0</v>
      </c>
      <c r="L84" s="31">
        <f t="shared" si="12"/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4"/>
      <c r="AY84" s="4"/>
      <c r="CI84" s="74">
        <v>80</v>
      </c>
    </row>
    <row r="85" spans="1:119" hidden="1" x14ac:dyDescent="0.3">
      <c r="A85" t="s">
        <v>7</v>
      </c>
      <c r="B85" s="4" t="s">
        <v>126</v>
      </c>
      <c r="C85" s="4" t="s">
        <v>173</v>
      </c>
      <c r="D85" s="4" t="s">
        <v>184</v>
      </c>
      <c r="E85" s="4" t="s">
        <v>185</v>
      </c>
      <c r="F85" s="12">
        <v>7</v>
      </c>
      <c r="G85" s="34">
        <f t="shared" si="7"/>
        <v>7105</v>
      </c>
      <c r="H85" s="28">
        <f t="shared" si="8"/>
        <v>1015</v>
      </c>
      <c r="I85" s="28">
        <f t="shared" si="9"/>
        <v>85</v>
      </c>
      <c r="J85" s="26">
        <f t="shared" si="10"/>
        <v>4466</v>
      </c>
      <c r="K85" s="24">
        <f t="shared" si="11"/>
        <v>638</v>
      </c>
      <c r="L85" s="31">
        <f t="shared" si="12"/>
        <v>128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145</v>
      </c>
      <c r="S85" s="9">
        <v>116</v>
      </c>
      <c r="T85" s="9">
        <v>145</v>
      </c>
      <c r="U85" s="9">
        <v>116</v>
      </c>
      <c r="V85" s="9">
        <v>116</v>
      </c>
      <c r="W85" s="9">
        <v>145</v>
      </c>
      <c r="X85" s="9">
        <v>116</v>
      </c>
      <c r="Y85" s="9">
        <v>116</v>
      </c>
      <c r="Z85" s="9">
        <v>145</v>
      </c>
      <c r="AA85" s="9">
        <v>116</v>
      </c>
      <c r="AB85" s="9">
        <v>116</v>
      </c>
      <c r="AC85" s="9">
        <v>145</v>
      </c>
      <c r="AD85" s="9">
        <v>116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974.4</v>
      </c>
      <c r="AL85" s="6">
        <v>779.52</v>
      </c>
      <c r="AM85" s="6">
        <v>974.4</v>
      </c>
      <c r="AN85" s="6">
        <v>779.52</v>
      </c>
      <c r="AO85" s="6">
        <v>779.52</v>
      </c>
      <c r="AP85" s="6">
        <v>974.4</v>
      </c>
      <c r="AQ85" s="6">
        <v>779.52</v>
      </c>
      <c r="AR85" s="6">
        <v>779.52</v>
      </c>
      <c r="AS85" s="6">
        <v>974.4</v>
      </c>
      <c r="AT85" s="6">
        <v>779.52</v>
      </c>
      <c r="AU85" s="6">
        <v>779.52</v>
      </c>
      <c r="AV85" s="6">
        <v>974.4</v>
      </c>
      <c r="AW85" s="6">
        <v>779.52</v>
      </c>
      <c r="AX85" s="49"/>
      <c r="AY85" s="51"/>
      <c r="AZ85" s="51"/>
      <c r="BA85" s="51"/>
      <c r="BB85" s="51" t="s">
        <v>631</v>
      </c>
      <c r="BC85" s="51"/>
      <c r="BD85" s="51"/>
      <c r="BE85" s="51"/>
      <c r="BF85" s="51"/>
      <c r="BG85" s="51"/>
      <c r="BH85" s="51" t="s">
        <v>631</v>
      </c>
      <c r="BI85" s="51"/>
      <c r="BJ85" s="51" t="s">
        <v>631</v>
      </c>
      <c r="BK85" s="84" t="s">
        <v>631</v>
      </c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 t="s">
        <v>631</v>
      </c>
      <c r="CH85" s="51" t="s">
        <v>631</v>
      </c>
      <c r="CI85" s="76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</row>
    <row r="86" spans="1:119" hidden="1" x14ac:dyDescent="0.3">
      <c r="A86" t="s">
        <v>7</v>
      </c>
      <c r="B86" s="4" t="s">
        <v>126</v>
      </c>
      <c r="C86" s="4" t="s">
        <v>173</v>
      </c>
      <c r="D86" s="4" t="s">
        <v>186</v>
      </c>
      <c r="E86" s="4" t="s">
        <v>187</v>
      </c>
      <c r="F86" s="12">
        <v>30.98</v>
      </c>
      <c r="G86" s="34">
        <f t="shared" si="7"/>
        <v>31444.7</v>
      </c>
      <c r="H86" s="28">
        <f t="shared" si="8"/>
        <v>1015</v>
      </c>
      <c r="I86" s="28">
        <f t="shared" si="9"/>
        <v>85</v>
      </c>
      <c r="J86" s="26">
        <f t="shared" si="10"/>
        <v>19765.240000000002</v>
      </c>
      <c r="K86" s="24">
        <f t="shared" si="11"/>
        <v>638</v>
      </c>
      <c r="L86" s="31">
        <f t="shared" si="12"/>
        <v>128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145</v>
      </c>
      <c r="S86" s="9">
        <v>116</v>
      </c>
      <c r="T86" s="9">
        <v>145</v>
      </c>
      <c r="U86" s="9">
        <v>116</v>
      </c>
      <c r="V86" s="9">
        <v>116</v>
      </c>
      <c r="W86" s="9">
        <v>145</v>
      </c>
      <c r="X86" s="9">
        <v>116</v>
      </c>
      <c r="Y86" s="9">
        <v>116</v>
      </c>
      <c r="Z86" s="9">
        <v>145</v>
      </c>
      <c r="AA86" s="9">
        <v>116</v>
      </c>
      <c r="AB86" s="9">
        <v>116</v>
      </c>
      <c r="AC86" s="9">
        <v>145</v>
      </c>
      <c r="AD86" s="9">
        <v>116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4492.1000000000004</v>
      </c>
      <c r="AL86" s="6">
        <v>3593.68</v>
      </c>
      <c r="AM86" s="6">
        <v>4492.1000000000004</v>
      </c>
      <c r="AN86" s="6">
        <v>3593.68</v>
      </c>
      <c r="AO86" s="6">
        <v>3593.68</v>
      </c>
      <c r="AP86" s="6">
        <v>4492.1000000000004</v>
      </c>
      <c r="AQ86" s="6">
        <v>3593.68</v>
      </c>
      <c r="AR86" s="6">
        <v>3593.68</v>
      </c>
      <c r="AS86" s="6">
        <v>4492.1000000000004</v>
      </c>
      <c r="AT86" s="6">
        <v>3593.68</v>
      </c>
      <c r="AU86" s="6">
        <v>3593.68</v>
      </c>
      <c r="AV86" s="6">
        <v>4492.1000000000004</v>
      </c>
      <c r="AW86" s="6">
        <v>3593.68</v>
      </c>
      <c r="AX86" s="49" t="s">
        <v>631</v>
      </c>
      <c r="AY86" s="51"/>
      <c r="AZ86" s="51"/>
      <c r="BA86" s="51"/>
      <c r="BB86" s="51"/>
      <c r="BC86" s="51"/>
      <c r="BD86" s="51"/>
      <c r="BE86" s="51"/>
      <c r="BF86" s="51"/>
      <c r="BG86" s="51"/>
      <c r="BH86" s="51" t="s">
        <v>631</v>
      </c>
      <c r="BI86" s="51"/>
      <c r="BJ86" s="51" t="s">
        <v>631</v>
      </c>
      <c r="BK86" s="84" t="s">
        <v>631</v>
      </c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 t="s">
        <v>631</v>
      </c>
      <c r="CH86" s="85" t="s">
        <v>631</v>
      </c>
      <c r="CI86" s="76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</row>
    <row r="87" spans="1:119" hidden="1" x14ac:dyDescent="0.3">
      <c r="A87" t="s">
        <v>7</v>
      </c>
      <c r="B87" s="4" t="s">
        <v>126</v>
      </c>
      <c r="C87" s="4" t="s">
        <v>173</v>
      </c>
      <c r="D87" s="4" t="s">
        <v>188</v>
      </c>
      <c r="E87" s="4" t="s">
        <v>189</v>
      </c>
      <c r="F87" s="12">
        <v>7.43</v>
      </c>
      <c r="G87" s="34">
        <f t="shared" si="7"/>
        <v>7541.45</v>
      </c>
      <c r="H87" s="28">
        <f t="shared" si="8"/>
        <v>1015</v>
      </c>
      <c r="I87" s="28">
        <f t="shared" si="9"/>
        <v>85</v>
      </c>
      <c r="J87" s="26">
        <f t="shared" si="10"/>
        <v>4740.34</v>
      </c>
      <c r="K87" s="24">
        <f t="shared" si="11"/>
        <v>638</v>
      </c>
      <c r="L87" s="31">
        <f t="shared" si="12"/>
        <v>128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145</v>
      </c>
      <c r="S87" s="9">
        <v>116</v>
      </c>
      <c r="T87" s="9">
        <v>145</v>
      </c>
      <c r="U87" s="9">
        <v>116</v>
      </c>
      <c r="V87" s="9">
        <v>116</v>
      </c>
      <c r="W87" s="9">
        <v>145</v>
      </c>
      <c r="X87" s="9">
        <v>116</v>
      </c>
      <c r="Y87" s="9">
        <v>116</v>
      </c>
      <c r="Z87" s="9">
        <v>145</v>
      </c>
      <c r="AA87" s="9">
        <v>116</v>
      </c>
      <c r="AB87" s="9">
        <v>116</v>
      </c>
      <c r="AC87" s="9">
        <v>145</v>
      </c>
      <c r="AD87" s="9">
        <v>116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1077.3499999999999</v>
      </c>
      <c r="AL87" s="6">
        <v>861.88</v>
      </c>
      <c r="AM87" s="6">
        <v>1077.3499999999999</v>
      </c>
      <c r="AN87" s="6">
        <v>861.88</v>
      </c>
      <c r="AO87" s="6">
        <v>861.88</v>
      </c>
      <c r="AP87" s="6">
        <v>1077.3499999999999</v>
      </c>
      <c r="AQ87" s="6">
        <v>861.88</v>
      </c>
      <c r="AR87" s="6">
        <v>861.88</v>
      </c>
      <c r="AS87" s="6">
        <v>1077.3499999999999</v>
      </c>
      <c r="AT87" s="6">
        <v>861.88</v>
      </c>
      <c r="AU87" s="6">
        <v>861.88</v>
      </c>
      <c r="AV87" s="6">
        <v>1077.3499999999999</v>
      </c>
      <c r="AW87" s="6">
        <v>861.88</v>
      </c>
      <c r="AX87" s="49" t="s">
        <v>631</v>
      </c>
      <c r="AY87" s="51"/>
      <c r="AZ87" s="51"/>
      <c r="BA87" s="51"/>
      <c r="BB87" s="51" t="s">
        <v>631</v>
      </c>
      <c r="BC87" s="51"/>
      <c r="BD87" s="51"/>
      <c r="BE87" s="51"/>
      <c r="BF87" s="51"/>
      <c r="BG87" s="51"/>
      <c r="BH87" s="51" t="s">
        <v>631</v>
      </c>
      <c r="BI87" s="51"/>
      <c r="BJ87" s="51" t="s">
        <v>631</v>
      </c>
      <c r="BK87" s="84" t="s">
        <v>631</v>
      </c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 t="s">
        <v>631</v>
      </c>
      <c r="CH87" s="85" t="s">
        <v>631</v>
      </c>
      <c r="CI87" s="76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</row>
    <row r="88" spans="1:119" hidden="1" x14ac:dyDescent="0.3">
      <c r="A88" t="s">
        <v>7</v>
      </c>
      <c r="B88" s="4" t="s">
        <v>126</v>
      </c>
      <c r="C88" s="4" t="s">
        <v>173</v>
      </c>
      <c r="D88" s="4" t="s">
        <v>190</v>
      </c>
      <c r="E88" s="4" t="s">
        <v>191</v>
      </c>
      <c r="F88" s="12">
        <v>4.95</v>
      </c>
      <c r="G88" s="34">
        <f t="shared" si="7"/>
        <v>0</v>
      </c>
      <c r="H88" s="28">
        <f t="shared" si="8"/>
        <v>0</v>
      </c>
      <c r="I88" s="28">
        <f t="shared" si="9"/>
        <v>0</v>
      </c>
      <c r="J88" s="26">
        <f t="shared" si="10"/>
        <v>0</v>
      </c>
      <c r="K88" s="24">
        <f t="shared" si="11"/>
        <v>0</v>
      </c>
      <c r="L88" s="31">
        <f t="shared" si="12"/>
        <v>0</v>
      </c>
      <c r="M88" s="9">
        <v>850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F88" s="6">
        <v>5474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4"/>
      <c r="AY88" s="4"/>
      <c r="CI88" s="74">
        <v>78</v>
      </c>
    </row>
    <row r="89" spans="1:119" hidden="1" x14ac:dyDescent="0.3">
      <c r="A89" t="s">
        <v>7</v>
      </c>
      <c r="B89" s="4" t="s">
        <v>126</v>
      </c>
      <c r="C89" s="4" t="s">
        <v>173</v>
      </c>
      <c r="D89" s="4" t="s">
        <v>192</v>
      </c>
      <c r="E89" s="4" t="s">
        <v>193</v>
      </c>
      <c r="F89" s="12">
        <v>4.6100000000000003</v>
      </c>
      <c r="G89" s="34">
        <f t="shared" si="7"/>
        <v>4679.1500000000005</v>
      </c>
      <c r="H89" s="28">
        <f t="shared" si="8"/>
        <v>1015</v>
      </c>
      <c r="I89" s="28">
        <f t="shared" si="9"/>
        <v>85</v>
      </c>
      <c r="J89" s="26">
        <f t="shared" si="10"/>
        <v>2941.1800000000003</v>
      </c>
      <c r="K89" s="24">
        <f t="shared" si="11"/>
        <v>638</v>
      </c>
      <c r="L89" s="31">
        <f t="shared" si="12"/>
        <v>128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145</v>
      </c>
      <c r="S89" s="9">
        <v>116</v>
      </c>
      <c r="T89" s="9">
        <v>145</v>
      </c>
      <c r="U89" s="9">
        <v>116</v>
      </c>
      <c r="V89" s="9">
        <v>116</v>
      </c>
      <c r="W89" s="9">
        <v>145</v>
      </c>
      <c r="X89" s="9">
        <v>116</v>
      </c>
      <c r="Y89" s="9">
        <v>116</v>
      </c>
      <c r="Z89" s="9">
        <v>145</v>
      </c>
      <c r="AA89" s="9">
        <v>116</v>
      </c>
      <c r="AB89" s="9">
        <v>116</v>
      </c>
      <c r="AC89" s="9">
        <v>145</v>
      </c>
      <c r="AD89" s="9">
        <v>116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668.45</v>
      </c>
      <c r="AL89" s="6">
        <v>534.76</v>
      </c>
      <c r="AM89" s="6">
        <v>668.45</v>
      </c>
      <c r="AN89" s="6">
        <v>534.76</v>
      </c>
      <c r="AO89" s="6">
        <v>534.76</v>
      </c>
      <c r="AP89" s="6">
        <v>668.45</v>
      </c>
      <c r="AQ89" s="6">
        <v>534.76</v>
      </c>
      <c r="AR89" s="6">
        <v>534.76</v>
      </c>
      <c r="AS89" s="6">
        <v>668.45</v>
      </c>
      <c r="AT89" s="6">
        <v>534.76</v>
      </c>
      <c r="AU89" s="6">
        <v>534.76</v>
      </c>
      <c r="AV89" s="6">
        <v>668.45</v>
      </c>
      <c r="AW89" s="6">
        <v>534.76</v>
      </c>
      <c r="AX89" s="49"/>
      <c r="AY89" s="51"/>
      <c r="AZ89" s="51" t="s">
        <v>631</v>
      </c>
      <c r="BA89" s="51"/>
      <c r="BB89" s="51"/>
      <c r="BC89" s="51"/>
      <c r="BD89" s="51"/>
      <c r="BE89" s="51"/>
      <c r="BF89" s="51"/>
      <c r="BG89" s="51"/>
      <c r="BH89" s="51" t="s">
        <v>631</v>
      </c>
      <c r="BI89" s="51"/>
      <c r="BJ89" s="51" t="s">
        <v>631</v>
      </c>
      <c r="BK89" s="84" t="s">
        <v>631</v>
      </c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 t="s">
        <v>631</v>
      </c>
      <c r="CH89" s="85" t="s">
        <v>631</v>
      </c>
      <c r="CI89" s="76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</row>
    <row r="90" spans="1:119" hidden="1" x14ac:dyDescent="0.3">
      <c r="A90" t="s">
        <v>7</v>
      </c>
      <c r="B90" s="4" t="s">
        <v>126</v>
      </c>
      <c r="C90" s="4" t="s">
        <v>173</v>
      </c>
      <c r="D90" s="4" t="s">
        <v>194</v>
      </c>
      <c r="E90" s="4" t="s">
        <v>195</v>
      </c>
      <c r="F90" s="12">
        <v>10.210000000000001</v>
      </c>
      <c r="G90" s="34">
        <f t="shared" si="7"/>
        <v>10363.150000000001</v>
      </c>
      <c r="H90" s="28">
        <f t="shared" si="8"/>
        <v>1015</v>
      </c>
      <c r="I90" s="28">
        <f t="shared" si="9"/>
        <v>85</v>
      </c>
      <c r="J90" s="26">
        <f t="shared" si="10"/>
        <v>6513.9800000000005</v>
      </c>
      <c r="K90" s="24">
        <f t="shared" si="11"/>
        <v>638</v>
      </c>
      <c r="L90" s="31">
        <f t="shared" si="12"/>
        <v>128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145</v>
      </c>
      <c r="S90" s="9">
        <v>116</v>
      </c>
      <c r="T90" s="9">
        <v>145</v>
      </c>
      <c r="U90" s="9">
        <v>116</v>
      </c>
      <c r="V90" s="9">
        <v>116</v>
      </c>
      <c r="W90" s="9">
        <v>145</v>
      </c>
      <c r="X90" s="9">
        <v>116</v>
      </c>
      <c r="Y90" s="9">
        <v>116</v>
      </c>
      <c r="Z90" s="9">
        <v>145</v>
      </c>
      <c r="AA90" s="9">
        <v>116</v>
      </c>
      <c r="AB90" s="9">
        <v>116</v>
      </c>
      <c r="AC90" s="9">
        <v>145</v>
      </c>
      <c r="AD90" s="9">
        <v>116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1480.45</v>
      </c>
      <c r="AL90" s="6">
        <v>1184.3600000000001</v>
      </c>
      <c r="AM90" s="6">
        <v>1480.45</v>
      </c>
      <c r="AN90" s="6">
        <v>1184.3600000000001</v>
      </c>
      <c r="AO90" s="6">
        <v>1184.3600000000001</v>
      </c>
      <c r="AP90" s="6">
        <v>1480.45</v>
      </c>
      <c r="AQ90" s="6">
        <v>1184.3600000000001</v>
      </c>
      <c r="AR90" s="6">
        <v>1184.3600000000001</v>
      </c>
      <c r="AS90" s="6">
        <v>1480.45</v>
      </c>
      <c r="AT90" s="6">
        <v>1184.3600000000001</v>
      </c>
      <c r="AU90" s="6">
        <v>1184.3600000000001</v>
      </c>
      <c r="AV90" s="6">
        <v>1480.45</v>
      </c>
      <c r="AW90" s="6">
        <v>1184.3600000000001</v>
      </c>
      <c r="AX90" s="49" t="s">
        <v>631</v>
      </c>
      <c r="AY90" s="51"/>
      <c r="AZ90" s="51"/>
      <c r="BA90" s="51"/>
      <c r="BB90" s="51"/>
      <c r="BC90" s="51"/>
      <c r="BD90" s="51"/>
      <c r="BE90" s="51"/>
      <c r="BF90" s="51"/>
      <c r="BG90" s="51"/>
      <c r="BH90" s="51" t="s">
        <v>631</v>
      </c>
      <c r="BI90" s="51"/>
      <c r="BJ90" s="51" t="s">
        <v>631</v>
      </c>
      <c r="BK90" s="84" t="s">
        <v>631</v>
      </c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85" t="s">
        <v>631</v>
      </c>
      <c r="CI90" s="76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</row>
    <row r="91" spans="1:119" hidden="1" x14ac:dyDescent="0.3">
      <c r="A91" t="s">
        <v>7</v>
      </c>
      <c r="B91" s="4" t="s">
        <v>126</v>
      </c>
      <c r="C91" s="4" t="s">
        <v>173</v>
      </c>
      <c r="D91" s="4" t="s">
        <v>196</v>
      </c>
      <c r="E91" s="4" t="s">
        <v>197</v>
      </c>
      <c r="F91" s="12">
        <v>32.380000000000003</v>
      </c>
      <c r="G91" s="34">
        <f t="shared" si="7"/>
        <v>32865.700000000004</v>
      </c>
      <c r="H91" s="28">
        <f t="shared" si="8"/>
        <v>1015</v>
      </c>
      <c r="I91" s="28">
        <f t="shared" si="9"/>
        <v>85</v>
      </c>
      <c r="J91" s="26">
        <f t="shared" si="10"/>
        <v>20658.440000000002</v>
      </c>
      <c r="K91" s="24">
        <f t="shared" si="11"/>
        <v>638</v>
      </c>
      <c r="L91" s="31">
        <f t="shared" si="12"/>
        <v>128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145</v>
      </c>
      <c r="S91" s="9">
        <v>116</v>
      </c>
      <c r="T91" s="9">
        <v>145</v>
      </c>
      <c r="U91" s="9">
        <v>116</v>
      </c>
      <c r="V91" s="9">
        <v>116</v>
      </c>
      <c r="W91" s="9">
        <v>145</v>
      </c>
      <c r="X91" s="9">
        <v>116</v>
      </c>
      <c r="Y91" s="9">
        <v>116</v>
      </c>
      <c r="Z91" s="9">
        <v>145</v>
      </c>
      <c r="AA91" s="9">
        <v>116</v>
      </c>
      <c r="AB91" s="9">
        <v>116</v>
      </c>
      <c r="AC91" s="9">
        <v>145</v>
      </c>
      <c r="AD91" s="9">
        <v>116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4580.55</v>
      </c>
      <c r="AL91" s="6">
        <v>3664.44</v>
      </c>
      <c r="AM91" s="6">
        <v>4580.55</v>
      </c>
      <c r="AN91" s="6">
        <v>3664.44</v>
      </c>
      <c r="AO91" s="6">
        <v>3664.44</v>
      </c>
      <c r="AP91" s="6">
        <v>4580.55</v>
      </c>
      <c r="AQ91" s="6">
        <v>3664.44</v>
      </c>
      <c r="AR91" s="6">
        <v>3664.44</v>
      </c>
      <c r="AS91" s="6">
        <v>4580.55</v>
      </c>
      <c r="AT91" s="6">
        <v>3664.44</v>
      </c>
      <c r="AU91" s="6">
        <v>3664.44</v>
      </c>
      <c r="AV91" s="6">
        <v>4580.55</v>
      </c>
      <c r="AW91" s="6">
        <v>3664.44</v>
      </c>
      <c r="AX91" s="49"/>
      <c r="AY91" s="51"/>
      <c r="AZ91" s="51"/>
      <c r="BA91" s="51"/>
      <c r="BB91" s="51" t="s">
        <v>631</v>
      </c>
      <c r="BC91" s="51"/>
      <c r="BD91" s="51"/>
      <c r="BE91" s="51"/>
      <c r="BF91" s="51"/>
      <c r="BG91" s="51"/>
      <c r="BH91" s="51" t="s">
        <v>631</v>
      </c>
      <c r="BI91" s="51"/>
      <c r="BJ91" s="51" t="s">
        <v>631</v>
      </c>
      <c r="BK91" s="84" t="s">
        <v>631</v>
      </c>
      <c r="BL91" s="51"/>
      <c r="BM91" s="51"/>
      <c r="BN91" s="51"/>
      <c r="BO91" s="51"/>
      <c r="BP91" s="51"/>
      <c r="BQ91" s="51"/>
      <c r="BR91" s="51"/>
      <c r="BS91" s="51"/>
      <c r="BT91" s="51"/>
      <c r="BU91" s="51" t="s">
        <v>631</v>
      </c>
      <c r="BV91" s="84" t="s">
        <v>631</v>
      </c>
      <c r="BW91" s="51"/>
      <c r="BX91" s="51" t="s">
        <v>631</v>
      </c>
      <c r="BY91" s="51"/>
      <c r="BZ91" s="51"/>
      <c r="CA91" s="51"/>
      <c r="CB91" s="51"/>
      <c r="CC91" s="51"/>
      <c r="CD91" s="51"/>
      <c r="CE91" s="51"/>
      <c r="CF91" s="51"/>
      <c r="CG91" s="51" t="s">
        <v>631</v>
      </c>
      <c r="CH91" s="85" t="s">
        <v>631</v>
      </c>
      <c r="CI91" s="76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</row>
    <row r="92" spans="1:119" hidden="1" x14ac:dyDescent="0.3">
      <c r="A92" t="s">
        <v>7</v>
      </c>
      <c r="B92" s="4" t="s">
        <v>126</v>
      </c>
      <c r="C92" s="4" t="s">
        <v>173</v>
      </c>
      <c r="D92" s="4" t="s">
        <v>198</v>
      </c>
      <c r="E92" s="4" t="s">
        <v>199</v>
      </c>
      <c r="F92" s="12">
        <v>47.95</v>
      </c>
      <c r="G92" s="34">
        <f t="shared" si="7"/>
        <v>74562.25</v>
      </c>
      <c r="H92" s="28">
        <f t="shared" si="8"/>
        <v>1555</v>
      </c>
      <c r="I92" s="28">
        <f t="shared" si="9"/>
        <v>130</v>
      </c>
      <c r="J92" s="26">
        <f t="shared" si="10"/>
        <v>24262.7</v>
      </c>
      <c r="K92" s="24">
        <f t="shared" si="11"/>
        <v>506</v>
      </c>
      <c r="L92" s="31">
        <f t="shared" si="12"/>
        <v>102</v>
      </c>
      <c r="M92" s="9">
        <v>250</v>
      </c>
      <c r="N92" s="9">
        <v>500</v>
      </c>
      <c r="O92" s="9">
        <v>250</v>
      </c>
      <c r="P92" s="9">
        <v>0</v>
      </c>
      <c r="Q92" s="9">
        <v>0</v>
      </c>
      <c r="R92" s="9">
        <v>115</v>
      </c>
      <c r="S92" s="9">
        <v>92</v>
      </c>
      <c r="T92" s="9">
        <v>115</v>
      </c>
      <c r="U92" s="9">
        <v>92</v>
      </c>
      <c r="V92" s="9">
        <v>92</v>
      </c>
      <c r="W92" s="9">
        <v>115</v>
      </c>
      <c r="X92" s="9">
        <v>92</v>
      </c>
      <c r="Y92" s="9">
        <v>92</v>
      </c>
      <c r="Z92" s="9">
        <v>115</v>
      </c>
      <c r="AA92" s="9">
        <v>92</v>
      </c>
      <c r="AB92" s="9">
        <v>92</v>
      </c>
      <c r="AC92" s="9">
        <v>115</v>
      </c>
      <c r="AD92" s="9">
        <v>92</v>
      </c>
      <c r="AF92" s="6">
        <v>12627.5</v>
      </c>
      <c r="AG92" s="6">
        <v>25255</v>
      </c>
      <c r="AH92" s="6">
        <v>12627.5</v>
      </c>
      <c r="AI92" s="6">
        <v>0</v>
      </c>
      <c r="AJ92" s="6">
        <v>0</v>
      </c>
      <c r="AK92" s="6">
        <v>5514.25</v>
      </c>
      <c r="AL92" s="6">
        <v>4411.4000000000005</v>
      </c>
      <c r="AM92" s="6">
        <v>5514.25</v>
      </c>
      <c r="AN92" s="6">
        <v>4411.4000000000005</v>
      </c>
      <c r="AO92" s="6">
        <v>4411.4000000000005</v>
      </c>
      <c r="AP92" s="6">
        <v>5514.25</v>
      </c>
      <c r="AQ92" s="6">
        <v>4411.4000000000005</v>
      </c>
      <c r="AR92" s="6">
        <v>4411.4000000000005</v>
      </c>
      <c r="AS92" s="6">
        <v>5514.25</v>
      </c>
      <c r="AT92" s="6">
        <v>4411.4000000000005</v>
      </c>
      <c r="AU92" s="6">
        <v>4411.4000000000005</v>
      </c>
      <c r="AV92" s="6">
        <v>5514.25</v>
      </c>
      <c r="AW92" s="6">
        <v>4411.4000000000005</v>
      </c>
      <c r="AX92" s="49" t="s">
        <v>631</v>
      </c>
      <c r="AY92" s="51"/>
      <c r="AZ92" s="51"/>
      <c r="BA92" s="51"/>
      <c r="BB92" s="51" t="s">
        <v>631</v>
      </c>
      <c r="BC92" s="51"/>
      <c r="BD92" s="51"/>
      <c r="BE92" s="51"/>
      <c r="BF92" s="51"/>
      <c r="BG92" s="51"/>
      <c r="BH92" s="51" t="s">
        <v>631</v>
      </c>
      <c r="BI92" s="51"/>
      <c r="BJ92" s="51" t="s">
        <v>631</v>
      </c>
      <c r="BK92" s="84" t="s">
        <v>631</v>
      </c>
      <c r="BL92" s="51"/>
      <c r="BM92" s="51"/>
      <c r="BN92" s="51"/>
      <c r="BO92" s="51"/>
      <c r="BP92" s="51"/>
      <c r="BQ92" s="51"/>
      <c r="BR92" s="51"/>
      <c r="BS92" s="51"/>
      <c r="BT92" s="51"/>
      <c r="BU92" s="51" t="s">
        <v>631</v>
      </c>
      <c r="BV92" s="84" t="s">
        <v>631</v>
      </c>
      <c r="BW92" s="51"/>
      <c r="BX92" s="51" t="s">
        <v>631</v>
      </c>
      <c r="BY92" s="51"/>
      <c r="BZ92" s="51"/>
      <c r="CA92" s="51"/>
      <c r="CB92" s="51"/>
      <c r="CC92" s="51"/>
      <c r="CD92" s="51"/>
      <c r="CE92" s="51"/>
      <c r="CF92" s="51"/>
      <c r="CG92" s="51" t="s">
        <v>631</v>
      </c>
      <c r="CH92" s="85" t="s">
        <v>631</v>
      </c>
      <c r="CI92" s="76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</row>
    <row r="93" spans="1:119" hidden="1" x14ac:dyDescent="0.3">
      <c r="A93" t="s">
        <v>7</v>
      </c>
      <c r="B93" s="4" t="s">
        <v>126</v>
      </c>
      <c r="C93" s="4" t="s">
        <v>173</v>
      </c>
      <c r="D93" s="4" t="s">
        <v>200</v>
      </c>
      <c r="E93" s="4" t="s">
        <v>199</v>
      </c>
      <c r="F93" s="12">
        <v>47.73</v>
      </c>
      <c r="G93" s="34">
        <f t="shared" si="7"/>
        <v>40809.149999999994</v>
      </c>
      <c r="H93" s="28">
        <f t="shared" si="8"/>
        <v>855</v>
      </c>
      <c r="I93" s="28">
        <f t="shared" si="9"/>
        <v>72</v>
      </c>
      <c r="J93" s="26">
        <f t="shared" si="10"/>
        <v>24151.379999999997</v>
      </c>
      <c r="K93" s="24">
        <f t="shared" si="11"/>
        <v>506</v>
      </c>
      <c r="L93" s="31">
        <f t="shared" si="12"/>
        <v>102</v>
      </c>
      <c r="M93" s="9">
        <v>0</v>
      </c>
      <c r="N93" s="9">
        <v>0</v>
      </c>
      <c r="O93" s="9">
        <v>50</v>
      </c>
      <c r="P93" s="9">
        <v>0</v>
      </c>
      <c r="Q93" s="9">
        <v>0</v>
      </c>
      <c r="R93" s="9">
        <v>115</v>
      </c>
      <c r="S93" s="9">
        <v>92</v>
      </c>
      <c r="T93" s="9">
        <v>115</v>
      </c>
      <c r="U93" s="9">
        <v>92</v>
      </c>
      <c r="V93" s="9">
        <v>92</v>
      </c>
      <c r="W93" s="9">
        <v>115</v>
      </c>
      <c r="X93" s="9">
        <v>92</v>
      </c>
      <c r="Y93" s="9">
        <v>92</v>
      </c>
      <c r="Z93" s="9">
        <v>115</v>
      </c>
      <c r="AA93" s="9">
        <v>92</v>
      </c>
      <c r="AB93" s="9">
        <v>92</v>
      </c>
      <c r="AC93" s="9">
        <v>115</v>
      </c>
      <c r="AD93" s="9">
        <v>92</v>
      </c>
      <c r="AF93" s="6">
        <v>0</v>
      </c>
      <c r="AG93" s="6">
        <v>0</v>
      </c>
      <c r="AH93" s="6">
        <v>3260</v>
      </c>
      <c r="AI93" s="6">
        <v>0</v>
      </c>
      <c r="AJ93" s="6">
        <v>0</v>
      </c>
      <c r="AK93" s="6">
        <v>5488.95</v>
      </c>
      <c r="AL93" s="6">
        <v>4391.16</v>
      </c>
      <c r="AM93" s="6">
        <v>5488.95</v>
      </c>
      <c r="AN93" s="6">
        <v>4391.16</v>
      </c>
      <c r="AO93" s="6">
        <v>4391.16</v>
      </c>
      <c r="AP93" s="6">
        <v>5488.95</v>
      </c>
      <c r="AQ93" s="6">
        <v>4391.16</v>
      </c>
      <c r="AR93" s="6">
        <v>4391.16</v>
      </c>
      <c r="AS93" s="6">
        <v>5488.95</v>
      </c>
      <c r="AT93" s="6">
        <v>4391.16</v>
      </c>
      <c r="AU93" s="6">
        <v>4391.16</v>
      </c>
      <c r="AV93" s="6">
        <v>5488.95</v>
      </c>
      <c r="AW93" s="6">
        <v>4391.16</v>
      </c>
      <c r="AX93" s="49"/>
      <c r="AY93" s="51"/>
      <c r="AZ93" s="51"/>
      <c r="BA93" s="51"/>
      <c r="BB93" s="51" t="s">
        <v>631</v>
      </c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 t="s">
        <v>631</v>
      </c>
      <c r="BV93" s="84" t="s">
        <v>631</v>
      </c>
      <c r="BW93" s="51"/>
      <c r="BX93" s="51" t="s">
        <v>631</v>
      </c>
      <c r="BY93" s="51"/>
      <c r="BZ93" s="51"/>
      <c r="CA93" s="51"/>
      <c r="CB93" s="51"/>
      <c r="CC93" s="51"/>
      <c r="CD93" s="51"/>
      <c r="CE93" s="51"/>
      <c r="CF93" s="51"/>
      <c r="CG93" s="51" t="s">
        <v>631</v>
      </c>
      <c r="CH93" s="85" t="s">
        <v>631</v>
      </c>
      <c r="CI93" s="76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</row>
    <row r="94" spans="1:119" hidden="1" x14ac:dyDescent="0.3">
      <c r="A94" t="s">
        <v>7</v>
      </c>
      <c r="B94" s="4" t="s">
        <v>126</v>
      </c>
      <c r="C94" s="4" t="s">
        <v>173</v>
      </c>
      <c r="D94" s="4" t="s">
        <v>201</v>
      </c>
      <c r="E94" s="4" t="s">
        <v>202</v>
      </c>
      <c r="F94" s="12">
        <v>13.52</v>
      </c>
      <c r="G94" s="34">
        <f t="shared" si="7"/>
        <v>0</v>
      </c>
      <c r="H94" s="28">
        <f t="shared" si="8"/>
        <v>0</v>
      </c>
      <c r="I94" s="28">
        <f t="shared" si="9"/>
        <v>0</v>
      </c>
      <c r="J94" s="26">
        <f t="shared" si="10"/>
        <v>0</v>
      </c>
      <c r="K94" s="24">
        <f t="shared" si="11"/>
        <v>0</v>
      </c>
      <c r="L94" s="31">
        <f t="shared" si="12"/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4"/>
      <c r="AY94" s="4"/>
      <c r="CI94" s="74" t="e">
        <v>#N/A</v>
      </c>
    </row>
    <row r="95" spans="1:119" hidden="1" x14ac:dyDescent="0.3">
      <c r="A95" t="s">
        <v>7</v>
      </c>
      <c r="B95" s="4" t="s">
        <v>126</v>
      </c>
      <c r="C95" s="4" t="s">
        <v>173</v>
      </c>
      <c r="D95" s="4" t="s">
        <v>203</v>
      </c>
      <c r="E95" s="4" t="s">
        <v>204</v>
      </c>
      <c r="F95" s="12">
        <v>43.29</v>
      </c>
      <c r="G95" s="34">
        <f t="shared" si="7"/>
        <v>0</v>
      </c>
      <c r="H95" s="28">
        <f t="shared" si="8"/>
        <v>0</v>
      </c>
      <c r="I95" s="28">
        <f t="shared" si="9"/>
        <v>0</v>
      </c>
      <c r="J95" s="26">
        <f t="shared" si="10"/>
        <v>0</v>
      </c>
      <c r="K95" s="24">
        <f t="shared" si="11"/>
        <v>0</v>
      </c>
      <c r="L95" s="31">
        <f t="shared" si="12"/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4"/>
      <c r="AY95" s="4"/>
      <c r="CI95" s="74" t="e">
        <v>#N/A</v>
      </c>
    </row>
    <row r="96" spans="1:119" hidden="1" x14ac:dyDescent="0.3">
      <c r="A96" t="s">
        <v>7</v>
      </c>
      <c r="B96" s="4" t="s">
        <v>126</v>
      </c>
      <c r="C96" s="4" t="s">
        <v>173</v>
      </c>
      <c r="D96" s="4" t="s">
        <v>205</v>
      </c>
      <c r="E96" s="4" t="s">
        <v>206</v>
      </c>
      <c r="F96" s="12">
        <v>6.27</v>
      </c>
      <c r="G96" s="34">
        <f t="shared" si="7"/>
        <v>0</v>
      </c>
      <c r="H96" s="28">
        <f t="shared" si="8"/>
        <v>0</v>
      </c>
      <c r="I96" s="28">
        <f t="shared" si="9"/>
        <v>0</v>
      </c>
      <c r="J96" s="26">
        <f t="shared" si="10"/>
        <v>0</v>
      </c>
      <c r="K96" s="24">
        <f t="shared" si="11"/>
        <v>0</v>
      </c>
      <c r="L96" s="31">
        <f t="shared" si="12"/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4"/>
      <c r="AY96" s="4"/>
      <c r="CI96" s="74">
        <v>150</v>
      </c>
    </row>
    <row r="97" spans="1:119" hidden="1" x14ac:dyDescent="0.3">
      <c r="A97" t="s">
        <v>7</v>
      </c>
      <c r="B97" s="4" t="s">
        <v>126</v>
      </c>
      <c r="C97" s="4" t="s">
        <v>173</v>
      </c>
      <c r="D97" s="4" t="s">
        <v>207</v>
      </c>
      <c r="E97" s="4" t="s">
        <v>208</v>
      </c>
      <c r="F97" s="12">
        <v>2.19</v>
      </c>
      <c r="G97" s="34">
        <f t="shared" si="7"/>
        <v>10654.35</v>
      </c>
      <c r="H97" s="28">
        <f t="shared" si="8"/>
        <v>4865</v>
      </c>
      <c r="I97" s="28">
        <f t="shared" si="9"/>
        <v>406</v>
      </c>
      <c r="J97" s="26">
        <f t="shared" si="10"/>
        <v>6697.0199999999995</v>
      </c>
      <c r="K97" s="24">
        <f t="shared" si="11"/>
        <v>3058</v>
      </c>
      <c r="L97" s="31">
        <f t="shared" si="12"/>
        <v>612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695</v>
      </c>
      <c r="S97" s="9">
        <v>556</v>
      </c>
      <c r="T97" s="9">
        <v>695</v>
      </c>
      <c r="U97" s="9">
        <v>556</v>
      </c>
      <c r="V97" s="9">
        <v>556</v>
      </c>
      <c r="W97" s="9">
        <v>695</v>
      </c>
      <c r="X97" s="9">
        <v>556</v>
      </c>
      <c r="Y97" s="9">
        <v>556</v>
      </c>
      <c r="Z97" s="9">
        <v>695</v>
      </c>
      <c r="AA97" s="9">
        <v>556</v>
      </c>
      <c r="AB97" s="9">
        <v>556</v>
      </c>
      <c r="AC97" s="9">
        <v>695</v>
      </c>
      <c r="AD97" s="9">
        <v>556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1522.05</v>
      </c>
      <c r="AL97" s="6">
        <v>1217.6399999999999</v>
      </c>
      <c r="AM97" s="6">
        <v>1522.05</v>
      </c>
      <c r="AN97" s="6">
        <v>1217.6399999999999</v>
      </c>
      <c r="AO97" s="6">
        <v>1217.6399999999999</v>
      </c>
      <c r="AP97" s="6">
        <v>1522.05</v>
      </c>
      <c r="AQ97" s="6">
        <v>1217.6399999999999</v>
      </c>
      <c r="AR97" s="6">
        <v>1217.6399999999999</v>
      </c>
      <c r="AS97" s="6">
        <v>1522.05</v>
      </c>
      <c r="AT97" s="6">
        <v>1217.6399999999999</v>
      </c>
      <c r="AU97" s="6">
        <v>1217.6399999999999</v>
      </c>
      <c r="AV97" s="6">
        <v>1522.05</v>
      </c>
      <c r="AW97" s="6">
        <v>1217.6399999999999</v>
      </c>
      <c r="AX97" s="49"/>
      <c r="AY97" s="51"/>
      <c r="AZ97" s="51"/>
      <c r="BA97" s="51"/>
      <c r="BB97" s="51"/>
      <c r="BC97" s="51" t="s">
        <v>631</v>
      </c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 t="s">
        <v>631</v>
      </c>
      <c r="CH97" s="85" t="s">
        <v>631</v>
      </c>
      <c r="CI97" s="76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</row>
    <row r="98" spans="1:119" hidden="1" x14ac:dyDescent="0.3">
      <c r="A98" t="s">
        <v>7</v>
      </c>
      <c r="B98" s="4" t="s">
        <v>126</v>
      </c>
      <c r="C98" s="4" t="s">
        <v>173</v>
      </c>
      <c r="D98" s="4" t="s">
        <v>209</v>
      </c>
      <c r="E98" s="4" t="s">
        <v>210</v>
      </c>
      <c r="F98" s="12">
        <v>10.8</v>
      </c>
      <c r="G98" s="34">
        <f t="shared" si="7"/>
        <v>0</v>
      </c>
      <c r="H98" s="28">
        <f t="shared" si="8"/>
        <v>0</v>
      </c>
      <c r="I98" s="28">
        <f t="shared" si="9"/>
        <v>0</v>
      </c>
      <c r="J98" s="26">
        <f t="shared" si="10"/>
        <v>0</v>
      </c>
      <c r="K98" s="24">
        <f t="shared" si="11"/>
        <v>0</v>
      </c>
      <c r="L98" s="31">
        <f t="shared" si="12"/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4"/>
      <c r="AY98" s="4"/>
      <c r="CI98" s="74" t="e">
        <v>#N/A</v>
      </c>
    </row>
    <row r="99" spans="1:119" hidden="1" x14ac:dyDescent="0.3">
      <c r="A99" t="s">
        <v>7</v>
      </c>
      <c r="B99" s="4" t="s">
        <v>126</v>
      </c>
      <c r="C99" s="4" t="s">
        <v>173</v>
      </c>
      <c r="D99" s="4" t="s">
        <v>211</v>
      </c>
      <c r="E99" s="4" t="s">
        <v>212</v>
      </c>
      <c r="F99" s="12">
        <v>37.49</v>
      </c>
      <c r="G99" s="34">
        <f t="shared" si="7"/>
        <v>0</v>
      </c>
      <c r="H99" s="28">
        <f t="shared" si="8"/>
        <v>0</v>
      </c>
      <c r="I99" s="28">
        <f t="shared" si="9"/>
        <v>0</v>
      </c>
      <c r="J99" s="26">
        <f t="shared" si="10"/>
        <v>0</v>
      </c>
      <c r="K99" s="24">
        <f t="shared" si="11"/>
        <v>0</v>
      </c>
      <c r="L99" s="31">
        <f t="shared" si="12"/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4"/>
      <c r="AY99" s="4"/>
      <c r="CI99" s="74" t="e">
        <v>#N/A</v>
      </c>
    </row>
    <row r="100" spans="1:119" hidden="1" x14ac:dyDescent="0.3">
      <c r="A100" t="s">
        <v>7</v>
      </c>
      <c r="B100" s="4" t="s">
        <v>126</v>
      </c>
      <c r="C100" s="4" t="s">
        <v>213</v>
      </c>
      <c r="D100" s="4" t="s">
        <v>214</v>
      </c>
      <c r="E100" s="4" t="s">
        <v>215</v>
      </c>
      <c r="F100" s="12">
        <v>394.62</v>
      </c>
      <c r="G100" s="34">
        <f t="shared" si="7"/>
        <v>295965</v>
      </c>
      <c r="H100" s="28">
        <f t="shared" si="8"/>
        <v>750</v>
      </c>
      <c r="I100" s="28">
        <f t="shared" si="9"/>
        <v>63</v>
      </c>
      <c r="J100" s="26">
        <f t="shared" si="10"/>
        <v>0</v>
      </c>
      <c r="K100" s="24">
        <f t="shared" si="11"/>
        <v>0</v>
      </c>
      <c r="L100" s="31">
        <f t="shared" si="12"/>
        <v>0</v>
      </c>
      <c r="M100" s="9">
        <v>100</v>
      </c>
      <c r="N100" s="9">
        <v>150</v>
      </c>
      <c r="O100" s="9">
        <v>0</v>
      </c>
      <c r="P100" s="9">
        <v>150</v>
      </c>
      <c r="Q100" s="9">
        <v>150</v>
      </c>
      <c r="R100" s="9">
        <v>150</v>
      </c>
      <c r="S100" s="9">
        <v>150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F100" s="6">
        <v>39462</v>
      </c>
      <c r="AG100" s="6">
        <v>59193</v>
      </c>
      <c r="AH100" s="6">
        <v>0</v>
      </c>
      <c r="AI100" s="6">
        <v>59193</v>
      </c>
      <c r="AJ100" s="6">
        <v>59193</v>
      </c>
      <c r="AK100" s="6">
        <v>59193</v>
      </c>
      <c r="AL100" s="6">
        <v>59193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49" t="s">
        <v>631</v>
      </c>
      <c r="AY100" s="51" t="s">
        <v>631</v>
      </c>
      <c r="AZ100" s="51" t="s">
        <v>631</v>
      </c>
      <c r="BA100" s="51"/>
      <c r="BB100" s="51" t="s">
        <v>631</v>
      </c>
      <c r="BC100" s="51"/>
      <c r="BD100" s="51"/>
      <c r="BE100" s="51"/>
      <c r="BF100" s="51"/>
      <c r="BG100" s="51" t="s">
        <v>631</v>
      </c>
      <c r="BH100" s="51" t="s">
        <v>631</v>
      </c>
      <c r="BI100" s="51"/>
      <c r="BJ100" s="51" t="s">
        <v>631</v>
      </c>
      <c r="BK100" s="84" t="s">
        <v>631</v>
      </c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 t="s">
        <v>631</v>
      </c>
      <c r="CH100" s="85" t="s">
        <v>631</v>
      </c>
      <c r="CI100" s="76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</row>
    <row r="101" spans="1:119" hidden="1" x14ac:dyDescent="0.3">
      <c r="A101" t="s">
        <v>7</v>
      </c>
      <c r="B101" s="4" t="s">
        <v>126</v>
      </c>
      <c r="C101" s="4" t="s">
        <v>213</v>
      </c>
      <c r="D101" s="4" t="s">
        <v>216</v>
      </c>
      <c r="E101" s="4" t="s">
        <v>160</v>
      </c>
      <c r="F101" s="12">
        <v>29.83</v>
      </c>
      <c r="G101" s="34">
        <f t="shared" si="7"/>
        <v>0</v>
      </c>
      <c r="H101" s="28">
        <f t="shared" si="8"/>
        <v>0</v>
      </c>
      <c r="I101" s="28">
        <f t="shared" si="9"/>
        <v>0</v>
      </c>
      <c r="J101" s="26">
        <f t="shared" si="10"/>
        <v>0</v>
      </c>
      <c r="K101" s="24">
        <f t="shared" si="11"/>
        <v>0</v>
      </c>
      <c r="L101" s="31">
        <f t="shared" si="12"/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4"/>
      <c r="AY101" s="4"/>
      <c r="CI101" s="74">
        <v>73</v>
      </c>
    </row>
    <row r="102" spans="1:119" hidden="1" x14ac:dyDescent="0.3">
      <c r="A102" t="s">
        <v>7</v>
      </c>
      <c r="B102" s="4" t="s">
        <v>126</v>
      </c>
      <c r="C102" s="4" t="s">
        <v>213</v>
      </c>
      <c r="D102" s="4" t="s">
        <v>217</v>
      </c>
      <c r="E102" s="4" t="s">
        <v>218</v>
      </c>
      <c r="F102" s="12">
        <v>25.3</v>
      </c>
      <c r="G102" s="34">
        <f t="shared" si="7"/>
        <v>0</v>
      </c>
      <c r="H102" s="28">
        <f t="shared" si="8"/>
        <v>0</v>
      </c>
      <c r="I102" s="28">
        <f t="shared" si="9"/>
        <v>0</v>
      </c>
      <c r="J102" s="26">
        <f t="shared" si="10"/>
        <v>0</v>
      </c>
      <c r="K102" s="24">
        <f t="shared" si="11"/>
        <v>0</v>
      </c>
      <c r="L102" s="31">
        <f t="shared" si="12"/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4"/>
      <c r="AY102" s="4"/>
      <c r="CI102" s="74">
        <v>70</v>
      </c>
    </row>
    <row r="103" spans="1:119" hidden="1" x14ac:dyDescent="0.3">
      <c r="A103" t="s">
        <v>7</v>
      </c>
      <c r="B103" s="4" t="s">
        <v>126</v>
      </c>
      <c r="C103" s="4" t="s">
        <v>213</v>
      </c>
      <c r="D103" s="4" t="s">
        <v>219</v>
      </c>
      <c r="E103" s="4" t="s">
        <v>220</v>
      </c>
      <c r="F103" s="12">
        <v>13.98</v>
      </c>
      <c r="G103" s="34">
        <f t="shared" si="7"/>
        <v>0</v>
      </c>
      <c r="H103" s="28">
        <f t="shared" si="8"/>
        <v>0</v>
      </c>
      <c r="I103" s="28">
        <f t="shared" si="9"/>
        <v>0</v>
      </c>
      <c r="J103" s="26">
        <f t="shared" si="10"/>
        <v>0</v>
      </c>
      <c r="K103" s="24">
        <f t="shared" si="11"/>
        <v>0</v>
      </c>
      <c r="L103" s="31">
        <f t="shared" si="12"/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4"/>
      <c r="AY103" s="4"/>
      <c r="CI103" s="74">
        <v>73</v>
      </c>
    </row>
    <row r="104" spans="1:119" hidden="1" x14ac:dyDescent="0.3">
      <c r="A104" t="s">
        <v>7</v>
      </c>
      <c r="B104" s="4" t="s">
        <v>126</v>
      </c>
      <c r="C104" s="4" t="s">
        <v>213</v>
      </c>
      <c r="D104" s="4" t="s">
        <v>221</v>
      </c>
      <c r="E104" s="4" t="s">
        <v>222</v>
      </c>
      <c r="F104" s="12">
        <v>26.45</v>
      </c>
      <c r="G104" s="34">
        <f t="shared" si="7"/>
        <v>0</v>
      </c>
      <c r="H104" s="28">
        <f t="shared" si="8"/>
        <v>0</v>
      </c>
      <c r="I104" s="28">
        <f t="shared" si="9"/>
        <v>0</v>
      </c>
      <c r="J104" s="26">
        <f t="shared" si="10"/>
        <v>0</v>
      </c>
      <c r="K104" s="24">
        <f t="shared" si="11"/>
        <v>0</v>
      </c>
      <c r="L104" s="31">
        <f t="shared" si="12"/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4"/>
      <c r="AY104" s="4"/>
      <c r="CI104" s="74">
        <v>73</v>
      </c>
    </row>
    <row r="105" spans="1:119" hidden="1" x14ac:dyDescent="0.3">
      <c r="A105" t="s">
        <v>7</v>
      </c>
      <c r="B105" s="4" t="s">
        <v>126</v>
      </c>
      <c r="C105" s="4" t="s">
        <v>223</v>
      </c>
      <c r="D105" s="4" t="s">
        <v>224</v>
      </c>
      <c r="E105" s="4" t="s">
        <v>225</v>
      </c>
      <c r="F105" s="12">
        <v>452.54</v>
      </c>
      <c r="G105" s="34">
        <f t="shared" si="7"/>
        <v>0</v>
      </c>
      <c r="H105" s="28">
        <f t="shared" si="8"/>
        <v>0</v>
      </c>
      <c r="I105" s="28">
        <f t="shared" si="9"/>
        <v>0</v>
      </c>
      <c r="J105" s="26">
        <f t="shared" si="10"/>
        <v>0</v>
      </c>
      <c r="K105" s="24">
        <f t="shared" si="11"/>
        <v>0</v>
      </c>
      <c r="L105" s="31">
        <f t="shared" si="12"/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4"/>
      <c r="AY105" s="4"/>
      <c r="CI105" s="74">
        <v>2.5</v>
      </c>
    </row>
    <row r="106" spans="1:119" hidden="1" x14ac:dyDescent="0.3">
      <c r="A106" t="s">
        <v>7</v>
      </c>
      <c r="B106" s="4" t="s">
        <v>126</v>
      </c>
      <c r="C106" s="4" t="s">
        <v>223</v>
      </c>
      <c r="D106" s="4" t="s">
        <v>226</v>
      </c>
      <c r="E106" s="4" t="s">
        <v>227</v>
      </c>
      <c r="F106" s="12">
        <v>8.43</v>
      </c>
      <c r="G106" s="34">
        <f t="shared" si="7"/>
        <v>4215</v>
      </c>
      <c r="H106" s="28">
        <f t="shared" si="8"/>
        <v>500</v>
      </c>
      <c r="I106" s="28">
        <f t="shared" si="9"/>
        <v>42</v>
      </c>
      <c r="J106" s="26">
        <f t="shared" si="10"/>
        <v>0</v>
      </c>
      <c r="K106" s="24">
        <f t="shared" si="11"/>
        <v>0</v>
      </c>
      <c r="L106" s="31">
        <f t="shared" si="12"/>
        <v>0</v>
      </c>
      <c r="M106" s="9">
        <v>50</v>
      </c>
      <c r="N106" s="9">
        <v>500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F106" s="6">
        <v>477.50000000000006</v>
      </c>
      <c r="AG106" s="6">
        <v>1695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49"/>
      <c r="AY106" s="51" t="s">
        <v>631</v>
      </c>
      <c r="AZ106" s="51"/>
      <c r="BA106" s="51"/>
      <c r="BB106" s="51"/>
      <c r="BC106" s="51"/>
      <c r="BD106" s="51"/>
      <c r="BE106" s="51"/>
      <c r="BF106" s="51"/>
      <c r="BG106" s="51"/>
      <c r="BH106" s="51" t="s">
        <v>631</v>
      </c>
      <c r="BI106" s="51"/>
      <c r="BJ106" s="51" t="s">
        <v>631</v>
      </c>
      <c r="BK106" s="84" t="s">
        <v>631</v>
      </c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 t="s">
        <v>631</v>
      </c>
      <c r="CH106" s="85" t="s">
        <v>631</v>
      </c>
      <c r="CI106" s="76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</row>
    <row r="107" spans="1:119" hidden="1" x14ac:dyDescent="0.3">
      <c r="A107" t="s">
        <v>7</v>
      </c>
      <c r="B107" s="4" t="s">
        <v>126</v>
      </c>
      <c r="C107" s="4" t="s">
        <v>223</v>
      </c>
      <c r="D107" s="4" t="s">
        <v>228</v>
      </c>
      <c r="E107" s="4" t="s">
        <v>227</v>
      </c>
      <c r="F107" s="12">
        <v>8.3699999999999992</v>
      </c>
      <c r="G107" s="34">
        <f t="shared" si="7"/>
        <v>4185</v>
      </c>
      <c r="H107" s="28">
        <f t="shared" si="8"/>
        <v>500</v>
      </c>
      <c r="I107" s="28">
        <f t="shared" si="9"/>
        <v>42</v>
      </c>
      <c r="J107" s="26">
        <f t="shared" si="10"/>
        <v>0</v>
      </c>
      <c r="K107" s="24">
        <f t="shared" si="11"/>
        <v>0</v>
      </c>
      <c r="L107" s="31">
        <f t="shared" si="12"/>
        <v>0</v>
      </c>
      <c r="M107" s="9">
        <v>50</v>
      </c>
      <c r="N107" s="9">
        <v>500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F107" s="6">
        <v>474.5</v>
      </c>
      <c r="AG107" s="6">
        <v>1665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49" t="s">
        <v>631</v>
      </c>
      <c r="AY107" s="51"/>
      <c r="AZ107" s="51"/>
      <c r="BA107" s="51"/>
      <c r="BB107" s="51"/>
      <c r="BC107" s="51"/>
      <c r="BD107" s="51"/>
      <c r="BE107" s="51"/>
      <c r="BF107" s="51"/>
      <c r="BG107" s="51"/>
      <c r="BH107" s="51" t="s">
        <v>631</v>
      </c>
      <c r="BI107" s="51"/>
      <c r="BJ107" s="51" t="s">
        <v>631</v>
      </c>
      <c r="BK107" s="84" t="s">
        <v>631</v>
      </c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 t="s">
        <v>631</v>
      </c>
      <c r="CH107" s="85" t="s">
        <v>631</v>
      </c>
      <c r="CI107" s="76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</row>
    <row r="108" spans="1:119" hidden="1" x14ac:dyDescent="0.3">
      <c r="A108" t="s">
        <v>7</v>
      </c>
      <c r="B108" s="4" t="s">
        <v>126</v>
      </c>
      <c r="C108" s="4" t="s">
        <v>223</v>
      </c>
      <c r="D108" s="4" t="s">
        <v>229</v>
      </c>
      <c r="E108" s="4" t="s">
        <v>230</v>
      </c>
      <c r="F108" s="12">
        <v>47.28</v>
      </c>
      <c r="G108" s="34">
        <f t="shared" si="7"/>
        <v>0</v>
      </c>
      <c r="H108" s="28">
        <f t="shared" si="8"/>
        <v>0</v>
      </c>
      <c r="I108" s="28">
        <f t="shared" si="9"/>
        <v>0</v>
      </c>
      <c r="J108" s="26">
        <f t="shared" si="10"/>
        <v>0</v>
      </c>
      <c r="K108" s="24">
        <f t="shared" si="11"/>
        <v>0</v>
      </c>
      <c r="L108" s="31">
        <f t="shared" si="12"/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4"/>
      <c r="AY108" s="4"/>
      <c r="CI108" s="74">
        <v>98</v>
      </c>
    </row>
    <row r="109" spans="1:119" hidden="1" x14ac:dyDescent="0.3">
      <c r="A109" t="s">
        <v>7</v>
      </c>
      <c r="B109" s="4" t="s">
        <v>126</v>
      </c>
      <c r="C109" s="4" t="s">
        <v>223</v>
      </c>
      <c r="D109" s="4" t="s">
        <v>231</v>
      </c>
      <c r="E109" s="4" t="s">
        <v>232</v>
      </c>
      <c r="F109" s="12">
        <v>581.57000000000005</v>
      </c>
      <c r="G109" s="34">
        <f t="shared" si="7"/>
        <v>0</v>
      </c>
      <c r="H109" s="28">
        <f t="shared" si="8"/>
        <v>0</v>
      </c>
      <c r="I109" s="28">
        <f t="shared" si="9"/>
        <v>0</v>
      </c>
      <c r="J109" s="26">
        <f t="shared" si="10"/>
        <v>0</v>
      </c>
      <c r="K109" s="24">
        <f t="shared" si="11"/>
        <v>0</v>
      </c>
      <c r="L109" s="31">
        <f t="shared" si="12"/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4"/>
      <c r="AY109" s="4"/>
      <c r="CI109" s="74">
        <v>2.5</v>
      </c>
    </row>
    <row r="110" spans="1:119" hidden="1" x14ac:dyDescent="0.3">
      <c r="A110" t="s">
        <v>7</v>
      </c>
      <c r="B110" s="4" t="s">
        <v>126</v>
      </c>
      <c r="C110" s="4" t="s">
        <v>223</v>
      </c>
      <c r="D110" s="4" t="s">
        <v>233</v>
      </c>
      <c r="E110" s="4" t="s">
        <v>234</v>
      </c>
      <c r="F110" s="12">
        <v>27.52</v>
      </c>
      <c r="G110" s="34">
        <f t="shared" si="7"/>
        <v>0</v>
      </c>
      <c r="H110" s="28">
        <f t="shared" si="8"/>
        <v>0</v>
      </c>
      <c r="I110" s="28">
        <f t="shared" si="9"/>
        <v>0</v>
      </c>
      <c r="J110" s="26">
        <f t="shared" si="10"/>
        <v>0</v>
      </c>
      <c r="K110" s="24">
        <f t="shared" si="11"/>
        <v>0</v>
      </c>
      <c r="L110" s="31">
        <f t="shared" si="12"/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4"/>
      <c r="AY110" s="4"/>
      <c r="CI110" s="74">
        <v>40</v>
      </c>
    </row>
    <row r="111" spans="1:119" hidden="1" x14ac:dyDescent="0.3">
      <c r="A111" t="s">
        <v>7</v>
      </c>
      <c r="B111" s="4" t="s">
        <v>126</v>
      </c>
      <c r="C111" s="4" t="s">
        <v>223</v>
      </c>
      <c r="D111" s="4" t="s">
        <v>235</v>
      </c>
      <c r="E111" s="4" t="s">
        <v>234</v>
      </c>
      <c r="F111" s="12">
        <v>27.83</v>
      </c>
      <c r="G111" s="34">
        <f t="shared" si="7"/>
        <v>0</v>
      </c>
      <c r="H111" s="28">
        <f t="shared" si="8"/>
        <v>0</v>
      </c>
      <c r="I111" s="28">
        <f t="shared" si="9"/>
        <v>0</v>
      </c>
      <c r="J111" s="26">
        <f t="shared" si="10"/>
        <v>0</v>
      </c>
      <c r="K111" s="24">
        <f t="shared" si="11"/>
        <v>0</v>
      </c>
      <c r="L111" s="31">
        <f t="shared" si="12"/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4"/>
      <c r="AY111" s="4"/>
      <c r="CI111" s="74">
        <v>127</v>
      </c>
    </row>
    <row r="112" spans="1:119" hidden="1" x14ac:dyDescent="0.3">
      <c r="A112" t="s">
        <v>7</v>
      </c>
      <c r="B112" s="4" t="s">
        <v>126</v>
      </c>
      <c r="C112" s="4" t="s">
        <v>223</v>
      </c>
      <c r="D112" s="4" t="s">
        <v>236</v>
      </c>
      <c r="E112" s="4" t="s">
        <v>237</v>
      </c>
      <c r="F112" s="12">
        <v>27.63</v>
      </c>
      <c r="G112" s="34">
        <f t="shared" si="7"/>
        <v>0</v>
      </c>
      <c r="H112" s="28">
        <f t="shared" si="8"/>
        <v>0</v>
      </c>
      <c r="I112" s="28">
        <f t="shared" si="9"/>
        <v>0</v>
      </c>
      <c r="J112" s="26">
        <f t="shared" si="10"/>
        <v>0</v>
      </c>
      <c r="K112" s="24">
        <f t="shared" si="11"/>
        <v>0</v>
      </c>
      <c r="L112" s="31">
        <f t="shared" si="12"/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4"/>
      <c r="AY112" s="4"/>
      <c r="CI112" s="74">
        <v>115</v>
      </c>
    </row>
    <row r="113" spans="1:119" hidden="1" x14ac:dyDescent="0.3">
      <c r="A113" t="s">
        <v>7</v>
      </c>
      <c r="B113" s="4" t="s">
        <v>126</v>
      </c>
      <c r="C113" s="4" t="s">
        <v>238</v>
      </c>
      <c r="D113" s="4" t="s">
        <v>239</v>
      </c>
      <c r="E113" s="4" t="s">
        <v>240</v>
      </c>
      <c r="F113" s="12">
        <v>299.99</v>
      </c>
      <c r="G113" s="34">
        <f t="shared" si="7"/>
        <v>0</v>
      </c>
      <c r="H113" s="28">
        <f t="shared" si="8"/>
        <v>0</v>
      </c>
      <c r="I113" s="28">
        <f t="shared" si="9"/>
        <v>0</v>
      </c>
      <c r="J113" s="26">
        <f t="shared" si="10"/>
        <v>0</v>
      </c>
      <c r="K113" s="24">
        <f t="shared" si="11"/>
        <v>0</v>
      </c>
      <c r="L113" s="31">
        <f t="shared" si="12"/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4"/>
      <c r="AY113" s="4"/>
      <c r="CI113" s="74" t="e">
        <v>#N/A</v>
      </c>
    </row>
    <row r="114" spans="1:119" hidden="1" x14ac:dyDescent="0.3">
      <c r="A114" t="s">
        <v>7</v>
      </c>
      <c r="B114" s="4" t="s">
        <v>126</v>
      </c>
      <c r="C114" s="4" t="s">
        <v>238</v>
      </c>
      <c r="D114" s="4" t="s">
        <v>241</v>
      </c>
      <c r="E114" s="4" t="s">
        <v>242</v>
      </c>
      <c r="F114" s="12">
        <v>5.92</v>
      </c>
      <c r="G114" s="34">
        <f t="shared" si="7"/>
        <v>0</v>
      </c>
      <c r="H114" s="28">
        <f t="shared" si="8"/>
        <v>0</v>
      </c>
      <c r="I114" s="28">
        <f t="shared" si="9"/>
        <v>0</v>
      </c>
      <c r="J114" s="26">
        <f t="shared" si="10"/>
        <v>0</v>
      </c>
      <c r="K114" s="24">
        <f t="shared" si="11"/>
        <v>0</v>
      </c>
      <c r="L114" s="31">
        <f t="shared" si="12"/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4"/>
      <c r="AY114" s="4"/>
      <c r="CI114" s="74">
        <v>80</v>
      </c>
    </row>
    <row r="115" spans="1:119" hidden="1" x14ac:dyDescent="0.3">
      <c r="A115" t="s">
        <v>7</v>
      </c>
      <c r="B115" s="4" t="s">
        <v>126</v>
      </c>
      <c r="C115" s="4" t="s">
        <v>238</v>
      </c>
      <c r="D115" s="4" t="s">
        <v>243</v>
      </c>
      <c r="E115" s="4" t="s">
        <v>244</v>
      </c>
      <c r="F115" s="12">
        <v>11.67</v>
      </c>
      <c r="G115" s="34">
        <f t="shared" si="7"/>
        <v>11039.82</v>
      </c>
      <c r="H115" s="28">
        <f t="shared" si="8"/>
        <v>946</v>
      </c>
      <c r="I115" s="28">
        <f t="shared" si="9"/>
        <v>79</v>
      </c>
      <c r="J115" s="26">
        <f t="shared" si="10"/>
        <v>5648.28</v>
      </c>
      <c r="K115" s="24">
        <f t="shared" si="11"/>
        <v>484</v>
      </c>
      <c r="L115" s="31">
        <f t="shared" si="12"/>
        <v>97</v>
      </c>
      <c r="M115" s="9">
        <v>0</v>
      </c>
      <c r="N115" s="9">
        <v>0</v>
      </c>
      <c r="O115" s="9">
        <v>0</v>
      </c>
      <c r="P115" s="9">
        <v>88</v>
      </c>
      <c r="Q115" s="9">
        <v>88</v>
      </c>
      <c r="R115" s="9">
        <v>110</v>
      </c>
      <c r="S115" s="9">
        <v>88</v>
      </c>
      <c r="T115" s="9">
        <v>110</v>
      </c>
      <c r="U115" s="9">
        <v>88</v>
      </c>
      <c r="V115" s="9">
        <v>88</v>
      </c>
      <c r="W115" s="9">
        <v>110</v>
      </c>
      <c r="X115" s="9">
        <v>88</v>
      </c>
      <c r="Y115" s="9">
        <v>88</v>
      </c>
      <c r="Z115" s="9">
        <v>110</v>
      </c>
      <c r="AA115" s="9">
        <v>88</v>
      </c>
      <c r="AB115" s="9">
        <v>88</v>
      </c>
      <c r="AC115" s="9">
        <v>110</v>
      </c>
      <c r="AD115" s="9">
        <v>88</v>
      </c>
      <c r="AF115" s="6">
        <v>0</v>
      </c>
      <c r="AG115" s="6">
        <v>0</v>
      </c>
      <c r="AH115" s="6">
        <v>0</v>
      </c>
      <c r="AI115" s="6">
        <v>912.56</v>
      </c>
      <c r="AJ115" s="6">
        <v>912.56</v>
      </c>
      <c r="AK115" s="6">
        <v>1140.6999999999998</v>
      </c>
      <c r="AL115" s="6">
        <v>912.56</v>
      </c>
      <c r="AM115" s="6">
        <v>1140.6999999999998</v>
      </c>
      <c r="AN115" s="6">
        <v>912.56</v>
      </c>
      <c r="AO115" s="6">
        <v>912.56</v>
      </c>
      <c r="AP115" s="6">
        <v>1140.6999999999998</v>
      </c>
      <c r="AQ115" s="6">
        <v>912.56</v>
      </c>
      <c r="AR115" s="6">
        <v>912.56</v>
      </c>
      <c r="AS115" s="6">
        <v>1140.6999999999998</v>
      </c>
      <c r="AT115" s="6">
        <v>912.56</v>
      </c>
      <c r="AU115" s="6">
        <v>912.56</v>
      </c>
      <c r="AV115" s="6">
        <v>1140.6999999999998</v>
      </c>
      <c r="AW115" s="6">
        <v>912.56</v>
      </c>
      <c r="AX115" s="49" t="s">
        <v>631</v>
      </c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 t="s">
        <v>631</v>
      </c>
      <c r="BK115" s="84" t="s">
        <v>631</v>
      </c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85" t="s">
        <v>631</v>
      </c>
      <c r="CI115" s="76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</row>
    <row r="116" spans="1:119" hidden="1" x14ac:dyDescent="0.3">
      <c r="A116" t="s">
        <v>7</v>
      </c>
      <c r="B116" s="4" t="s">
        <v>126</v>
      </c>
      <c r="C116" s="4" t="s">
        <v>238</v>
      </c>
      <c r="D116" s="4" t="s">
        <v>245</v>
      </c>
      <c r="E116" s="4" t="s">
        <v>246</v>
      </c>
      <c r="F116" s="12">
        <v>3.2</v>
      </c>
      <c r="G116" s="34">
        <f t="shared" si="7"/>
        <v>1651.2</v>
      </c>
      <c r="H116" s="28">
        <f t="shared" si="8"/>
        <v>516</v>
      </c>
      <c r="I116" s="28">
        <f t="shared" si="9"/>
        <v>43</v>
      </c>
      <c r="J116" s="26">
        <f t="shared" si="10"/>
        <v>844.80000000000007</v>
      </c>
      <c r="K116" s="24">
        <f t="shared" si="11"/>
        <v>264</v>
      </c>
      <c r="L116" s="31">
        <f t="shared" si="12"/>
        <v>53</v>
      </c>
      <c r="M116" s="9">
        <v>0</v>
      </c>
      <c r="N116" s="9">
        <v>0</v>
      </c>
      <c r="O116" s="9">
        <v>0</v>
      </c>
      <c r="P116" s="9">
        <v>48</v>
      </c>
      <c r="Q116" s="9">
        <v>48</v>
      </c>
      <c r="R116" s="9">
        <v>60</v>
      </c>
      <c r="S116" s="9">
        <v>48</v>
      </c>
      <c r="T116" s="9">
        <v>60</v>
      </c>
      <c r="U116" s="9">
        <v>48</v>
      </c>
      <c r="V116" s="9">
        <v>48</v>
      </c>
      <c r="W116" s="9">
        <v>60</v>
      </c>
      <c r="X116" s="9">
        <v>48</v>
      </c>
      <c r="Y116" s="9">
        <v>48</v>
      </c>
      <c r="Z116" s="9">
        <v>60</v>
      </c>
      <c r="AA116" s="9">
        <v>48</v>
      </c>
      <c r="AB116" s="9">
        <v>48</v>
      </c>
      <c r="AC116" s="9">
        <v>60</v>
      </c>
      <c r="AD116" s="9">
        <v>48</v>
      </c>
      <c r="AF116" s="6">
        <v>0</v>
      </c>
      <c r="AG116" s="6">
        <v>0</v>
      </c>
      <c r="AH116" s="6">
        <v>0</v>
      </c>
      <c r="AI116" s="6">
        <v>153.60000000000002</v>
      </c>
      <c r="AJ116" s="6">
        <v>153.60000000000002</v>
      </c>
      <c r="AK116" s="6">
        <v>192</v>
      </c>
      <c r="AL116" s="6">
        <v>153.60000000000002</v>
      </c>
      <c r="AM116" s="6">
        <v>192</v>
      </c>
      <c r="AN116" s="6">
        <v>153.60000000000002</v>
      </c>
      <c r="AO116" s="6">
        <v>153.60000000000002</v>
      </c>
      <c r="AP116" s="6">
        <v>192</v>
      </c>
      <c r="AQ116" s="6">
        <v>153.60000000000002</v>
      </c>
      <c r="AR116" s="6">
        <v>153.60000000000002</v>
      </c>
      <c r="AS116" s="6">
        <v>192</v>
      </c>
      <c r="AT116" s="6">
        <v>153.60000000000002</v>
      </c>
      <c r="AU116" s="6">
        <v>153.60000000000002</v>
      </c>
      <c r="AV116" s="6">
        <v>192</v>
      </c>
      <c r="AW116" s="6">
        <v>153.60000000000002</v>
      </c>
      <c r="AX116" s="49"/>
      <c r="AY116" s="51"/>
      <c r="AZ116" s="51" t="s">
        <v>631</v>
      </c>
      <c r="BA116" s="51"/>
      <c r="BB116" s="51"/>
      <c r="BC116" s="51"/>
      <c r="BD116" s="51"/>
      <c r="BE116" s="51"/>
      <c r="BF116" s="51"/>
      <c r="BG116" s="51"/>
      <c r="BH116" s="51"/>
      <c r="BI116" s="51"/>
      <c r="BJ116" s="51" t="s">
        <v>631</v>
      </c>
      <c r="BK116" s="84" t="s">
        <v>631</v>
      </c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85" t="s">
        <v>631</v>
      </c>
      <c r="CI116" s="76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</row>
    <row r="117" spans="1:119" hidden="1" x14ac:dyDescent="0.3">
      <c r="A117" t="s">
        <v>7</v>
      </c>
      <c r="B117" s="4" t="s">
        <v>126</v>
      </c>
      <c r="C117" s="4" t="s">
        <v>238</v>
      </c>
      <c r="D117" s="4" t="s">
        <v>247</v>
      </c>
      <c r="E117" s="4" t="s">
        <v>248</v>
      </c>
      <c r="F117" s="12">
        <v>183.26</v>
      </c>
      <c r="G117" s="34">
        <f t="shared" si="7"/>
        <v>70921.62</v>
      </c>
      <c r="H117" s="28">
        <f t="shared" si="8"/>
        <v>387</v>
      </c>
      <c r="I117" s="28">
        <f t="shared" si="9"/>
        <v>33</v>
      </c>
      <c r="J117" s="26">
        <f t="shared" si="10"/>
        <v>36285.479999999996</v>
      </c>
      <c r="K117" s="24">
        <f t="shared" si="11"/>
        <v>198</v>
      </c>
      <c r="L117" s="31">
        <f t="shared" si="12"/>
        <v>40</v>
      </c>
      <c r="M117" s="9">
        <v>0</v>
      </c>
      <c r="N117" s="9">
        <v>0</v>
      </c>
      <c r="O117" s="9">
        <v>0</v>
      </c>
      <c r="P117" s="9">
        <v>36</v>
      </c>
      <c r="Q117" s="9">
        <v>36</v>
      </c>
      <c r="R117" s="9">
        <v>45</v>
      </c>
      <c r="S117" s="9">
        <v>36</v>
      </c>
      <c r="T117" s="9">
        <v>45</v>
      </c>
      <c r="U117" s="9">
        <v>36</v>
      </c>
      <c r="V117" s="9">
        <v>36</v>
      </c>
      <c r="W117" s="9">
        <v>45</v>
      </c>
      <c r="X117" s="9">
        <v>36</v>
      </c>
      <c r="Y117" s="9">
        <v>36</v>
      </c>
      <c r="Z117" s="9">
        <v>45</v>
      </c>
      <c r="AA117" s="9">
        <v>36</v>
      </c>
      <c r="AB117" s="9">
        <v>36</v>
      </c>
      <c r="AC117" s="9">
        <v>45</v>
      </c>
      <c r="AD117" s="9">
        <v>36</v>
      </c>
      <c r="AF117" s="6">
        <v>0</v>
      </c>
      <c r="AG117" s="6">
        <v>0</v>
      </c>
      <c r="AH117" s="6">
        <v>0</v>
      </c>
      <c r="AI117" s="6">
        <v>6597.36</v>
      </c>
      <c r="AJ117" s="6">
        <v>6597.36</v>
      </c>
      <c r="AK117" s="6">
        <v>8246.6999999999989</v>
      </c>
      <c r="AL117" s="6">
        <v>6597.36</v>
      </c>
      <c r="AM117" s="6">
        <v>8246.6999999999989</v>
      </c>
      <c r="AN117" s="6">
        <v>6597.36</v>
      </c>
      <c r="AO117" s="6">
        <v>6597.36</v>
      </c>
      <c r="AP117" s="6">
        <v>8246.6999999999989</v>
      </c>
      <c r="AQ117" s="6">
        <v>6597.36</v>
      </c>
      <c r="AR117" s="6">
        <v>6597.36</v>
      </c>
      <c r="AS117" s="6">
        <v>8246.6999999999989</v>
      </c>
      <c r="AT117" s="6">
        <v>6597.36</v>
      </c>
      <c r="AU117" s="6">
        <v>6597.36</v>
      </c>
      <c r="AV117" s="6">
        <v>8246.6999999999989</v>
      </c>
      <c r="AW117" s="6">
        <v>6597.36</v>
      </c>
      <c r="AX117" s="49" t="s">
        <v>631</v>
      </c>
      <c r="AY117" s="51"/>
      <c r="AZ117" s="51"/>
      <c r="BA117" s="51"/>
      <c r="BB117" s="51" t="s">
        <v>631</v>
      </c>
      <c r="BC117" s="51" t="s">
        <v>631</v>
      </c>
      <c r="BD117" s="51"/>
      <c r="BE117" s="51"/>
      <c r="BF117" s="51"/>
      <c r="BG117" s="51"/>
      <c r="BH117" s="51" t="s">
        <v>631</v>
      </c>
      <c r="BI117" s="51"/>
      <c r="BJ117" s="51" t="s">
        <v>631</v>
      </c>
      <c r="BK117" s="84" t="s">
        <v>631</v>
      </c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 t="s">
        <v>631</v>
      </c>
      <c r="CH117" s="51" t="s">
        <v>631</v>
      </c>
      <c r="CI117" s="76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</row>
    <row r="118" spans="1:119" hidden="1" x14ac:dyDescent="0.3">
      <c r="A118" t="s">
        <v>7</v>
      </c>
      <c r="B118" s="4" t="s">
        <v>126</v>
      </c>
      <c r="C118" s="4" t="s">
        <v>238</v>
      </c>
      <c r="D118" s="4" t="s">
        <v>249</v>
      </c>
      <c r="E118" s="4" t="s">
        <v>248</v>
      </c>
      <c r="F118" s="12">
        <v>146.44</v>
      </c>
      <c r="G118" s="34">
        <f t="shared" si="7"/>
        <v>0</v>
      </c>
      <c r="H118" s="28">
        <f t="shared" si="8"/>
        <v>0</v>
      </c>
      <c r="I118" s="28">
        <f t="shared" si="9"/>
        <v>0</v>
      </c>
      <c r="J118" s="26">
        <f t="shared" si="10"/>
        <v>0</v>
      </c>
      <c r="K118" s="24">
        <f t="shared" si="11"/>
        <v>0</v>
      </c>
      <c r="L118" s="31">
        <f t="shared" si="12"/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4"/>
      <c r="AY118" s="4"/>
      <c r="CI118" s="74">
        <v>40</v>
      </c>
    </row>
    <row r="119" spans="1:119" hidden="1" x14ac:dyDescent="0.3">
      <c r="A119" t="s">
        <v>7</v>
      </c>
      <c r="B119" s="4" t="s">
        <v>126</v>
      </c>
      <c r="C119" s="4" t="s">
        <v>238</v>
      </c>
      <c r="D119" s="4" t="s">
        <v>250</v>
      </c>
      <c r="E119" s="4" t="s">
        <v>251</v>
      </c>
      <c r="F119" s="12">
        <v>10.98</v>
      </c>
      <c r="G119" s="34">
        <f t="shared" si="7"/>
        <v>10859.220000000001</v>
      </c>
      <c r="H119" s="28">
        <f t="shared" si="8"/>
        <v>989</v>
      </c>
      <c r="I119" s="28">
        <f t="shared" si="9"/>
        <v>83</v>
      </c>
      <c r="J119" s="26">
        <f t="shared" si="10"/>
        <v>5555.88</v>
      </c>
      <c r="K119" s="24">
        <f t="shared" si="11"/>
        <v>506</v>
      </c>
      <c r="L119" s="31">
        <f t="shared" si="12"/>
        <v>102</v>
      </c>
      <c r="M119" s="9">
        <v>0</v>
      </c>
      <c r="N119" s="9">
        <v>0</v>
      </c>
      <c r="O119" s="9">
        <v>0</v>
      </c>
      <c r="P119" s="9">
        <v>92</v>
      </c>
      <c r="Q119" s="9">
        <v>92</v>
      </c>
      <c r="R119" s="9">
        <v>115</v>
      </c>
      <c r="S119" s="9">
        <v>92</v>
      </c>
      <c r="T119" s="9">
        <v>115</v>
      </c>
      <c r="U119" s="9">
        <v>92</v>
      </c>
      <c r="V119" s="9">
        <v>92</v>
      </c>
      <c r="W119" s="9">
        <v>115</v>
      </c>
      <c r="X119" s="9">
        <v>92</v>
      </c>
      <c r="Y119" s="9">
        <v>92</v>
      </c>
      <c r="Z119" s="9">
        <v>115</v>
      </c>
      <c r="AA119" s="9">
        <v>92</v>
      </c>
      <c r="AB119" s="9">
        <v>92</v>
      </c>
      <c r="AC119" s="9">
        <v>115</v>
      </c>
      <c r="AD119" s="9">
        <v>92</v>
      </c>
      <c r="AF119" s="6">
        <v>0</v>
      </c>
      <c r="AG119" s="6">
        <v>0</v>
      </c>
      <c r="AH119" s="6">
        <v>0</v>
      </c>
      <c r="AI119" s="6">
        <v>980.72</v>
      </c>
      <c r="AJ119" s="6">
        <v>980.72</v>
      </c>
      <c r="AK119" s="6">
        <v>1225.9000000000001</v>
      </c>
      <c r="AL119" s="6">
        <v>980.72</v>
      </c>
      <c r="AM119" s="6">
        <v>1225.9000000000001</v>
      </c>
      <c r="AN119" s="6">
        <v>980.72</v>
      </c>
      <c r="AO119" s="6">
        <v>980.72</v>
      </c>
      <c r="AP119" s="6">
        <v>1225.9000000000001</v>
      </c>
      <c r="AQ119" s="6">
        <v>980.72</v>
      </c>
      <c r="AR119" s="6">
        <v>980.72</v>
      </c>
      <c r="AS119" s="6">
        <v>1225.9000000000001</v>
      </c>
      <c r="AT119" s="6">
        <v>980.72</v>
      </c>
      <c r="AU119" s="6">
        <v>980.72</v>
      </c>
      <c r="AV119" s="6">
        <v>1225.9000000000001</v>
      </c>
      <c r="AW119" s="6">
        <v>980.72</v>
      </c>
      <c r="AX119" s="49"/>
      <c r="AY119" s="51"/>
      <c r="AZ119" s="51"/>
      <c r="BA119" s="51"/>
      <c r="BB119" s="51" t="s">
        <v>631</v>
      </c>
      <c r="BC119" s="51" t="s">
        <v>631</v>
      </c>
      <c r="BD119" s="51"/>
      <c r="BE119" s="51"/>
      <c r="BF119" s="51"/>
      <c r="BG119" s="51"/>
      <c r="BH119" s="51" t="s">
        <v>631</v>
      </c>
      <c r="BI119" s="51"/>
      <c r="BJ119" s="51" t="s">
        <v>631</v>
      </c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 t="s">
        <v>631</v>
      </c>
      <c r="CH119" s="85" t="s">
        <v>631</v>
      </c>
      <c r="CI119" s="76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</row>
    <row r="120" spans="1:119" hidden="1" x14ac:dyDescent="0.3">
      <c r="A120" t="s">
        <v>7</v>
      </c>
      <c r="B120" s="4" t="s">
        <v>126</v>
      </c>
      <c r="C120" s="4" t="s">
        <v>238</v>
      </c>
      <c r="D120" s="4" t="s">
        <v>252</v>
      </c>
      <c r="E120" s="4" t="s">
        <v>253</v>
      </c>
      <c r="F120" s="12">
        <v>13.01</v>
      </c>
      <c r="G120" s="34">
        <f t="shared" si="7"/>
        <v>0</v>
      </c>
      <c r="H120" s="28">
        <f t="shared" si="8"/>
        <v>0</v>
      </c>
      <c r="I120" s="28">
        <f t="shared" si="9"/>
        <v>0</v>
      </c>
      <c r="J120" s="26">
        <f t="shared" si="10"/>
        <v>0</v>
      </c>
      <c r="K120" s="24">
        <f t="shared" si="11"/>
        <v>0</v>
      </c>
      <c r="L120" s="31">
        <f t="shared" si="12"/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4"/>
      <c r="AY120" s="4"/>
      <c r="CI120" s="74">
        <v>130</v>
      </c>
    </row>
    <row r="121" spans="1:119" hidden="1" x14ac:dyDescent="0.3">
      <c r="A121" t="s">
        <v>7</v>
      </c>
      <c r="B121" s="4" t="s">
        <v>126</v>
      </c>
      <c r="C121" s="4" t="s">
        <v>238</v>
      </c>
      <c r="D121" s="4" t="s">
        <v>254</v>
      </c>
      <c r="E121" s="4" t="s">
        <v>255</v>
      </c>
      <c r="F121" s="12">
        <v>5.34</v>
      </c>
      <c r="G121" s="34">
        <f t="shared" si="7"/>
        <v>26406.3</v>
      </c>
      <c r="H121" s="28">
        <f t="shared" si="8"/>
        <v>4945</v>
      </c>
      <c r="I121" s="28">
        <f t="shared" si="9"/>
        <v>413</v>
      </c>
      <c r="J121" s="26">
        <f t="shared" si="10"/>
        <v>13510.199999999999</v>
      </c>
      <c r="K121" s="24">
        <f t="shared" si="11"/>
        <v>2530</v>
      </c>
      <c r="L121" s="31">
        <f t="shared" si="12"/>
        <v>506</v>
      </c>
      <c r="M121" s="9">
        <v>0</v>
      </c>
      <c r="N121" s="9">
        <v>0</v>
      </c>
      <c r="O121" s="9">
        <v>0</v>
      </c>
      <c r="P121" s="9">
        <v>460</v>
      </c>
      <c r="Q121" s="9">
        <v>460</v>
      </c>
      <c r="R121" s="9">
        <v>575</v>
      </c>
      <c r="S121" s="9">
        <v>460</v>
      </c>
      <c r="T121" s="9">
        <v>575</v>
      </c>
      <c r="U121" s="9">
        <v>460</v>
      </c>
      <c r="V121" s="9">
        <v>460</v>
      </c>
      <c r="W121" s="9">
        <v>575</v>
      </c>
      <c r="X121" s="9">
        <v>460</v>
      </c>
      <c r="Y121" s="9">
        <v>460</v>
      </c>
      <c r="Z121" s="9">
        <v>575</v>
      </c>
      <c r="AA121" s="9">
        <v>460</v>
      </c>
      <c r="AB121" s="9">
        <v>460</v>
      </c>
      <c r="AC121" s="9">
        <v>575</v>
      </c>
      <c r="AD121" s="9">
        <v>460</v>
      </c>
      <c r="AF121" s="6">
        <v>0</v>
      </c>
      <c r="AG121" s="6">
        <v>0</v>
      </c>
      <c r="AH121" s="6">
        <v>0</v>
      </c>
      <c r="AI121" s="6">
        <v>2456.4</v>
      </c>
      <c r="AJ121" s="6">
        <v>2456.4</v>
      </c>
      <c r="AK121" s="6">
        <v>3070.5</v>
      </c>
      <c r="AL121" s="6">
        <v>2456.4</v>
      </c>
      <c r="AM121" s="6">
        <v>3070.5</v>
      </c>
      <c r="AN121" s="6">
        <v>2456.4</v>
      </c>
      <c r="AO121" s="6">
        <v>2456.4</v>
      </c>
      <c r="AP121" s="6">
        <v>3070.5</v>
      </c>
      <c r="AQ121" s="6">
        <v>2456.4</v>
      </c>
      <c r="AR121" s="6">
        <v>2456.4</v>
      </c>
      <c r="AS121" s="6">
        <v>3070.5</v>
      </c>
      <c r="AT121" s="6">
        <v>2456.4</v>
      </c>
      <c r="AU121" s="6">
        <v>2456.4</v>
      </c>
      <c r="AV121" s="6">
        <v>3070.5</v>
      </c>
      <c r="AW121" s="6">
        <v>2456.4</v>
      </c>
      <c r="AX121" s="49"/>
      <c r="AY121" s="51"/>
      <c r="AZ121" s="51"/>
      <c r="BA121" s="51"/>
      <c r="BB121" s="51"/>
      <c r="BC121" s="51" t="s">
        <v>631</v>
      </c>
      <c r="BD121" s="51"/>
      <c r="BE121" s="51"/>
      <c r="BF121" s="51"/>
      <c r="BG121" s="51"/>
      <c r="BH121" s="51" t="s">
        <v>631</v>
      </c>
      <c r="BI121" s="51"/>
      <c r="BJ121" s="51" t="s">
        <v>631</v>
      </c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 t="s">
        <v>631</v>
      </c>
      <c r="CH121" s="85" t="s">
        <v>631</v>
      </c>
      <c r="CI121" s="76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</row>
    <row r="122" spans="1:119" hidden="1" x14ac:dyDescent="0.3">
      <c r="A122" t="s">
        <v>7</v>
      </c>
      <c r="B122" s="4" t="s">
        <v>126</v>
      </c>
      <c r="C122" s="4" t="s">
        <v>238</v>
      </c>
      <c r="D122" s="4" t="s">
        <v>256</v>
      </c>
      <c r="E122" s="4" t="s">
        <v>257</v>
      </c>
      <c r="F122" s="12">
        <v>4.82</v>
      </c>
      <c r="G122" s="34">
        <f t="shared" si="7"/>
        <v>0</v>
      </c>
      <c r="H122" s="28">
        <f t="shared" si="8"/>
        <v>0</v>
      </c>
      <c r="I122" s="28">
        <f t="shared" si="9"/>
        <v>0</v>
      </c>
      <c r="J122" s="26">
        <f t="shared" si="10"/>
        <v>0</v>
      </c>
      <c r="K122" s="24">
        <f t="shared" si="11"/>
        <v>0</v>
      </c>
      <c r="L122" s="31">
        <f t="shared" si="12"/>
        <v>0</v>
      </c>
      <c r="M122" s="9">
        <v>1000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F122" s="6">
        <v>4490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4"/>
      <c r="AY122" s="4"/>
      <c r="CI122" s="74">
        <v>175</v>
      </c>
    </row>
    <row r="123" spans="1:119" hidden="1" x14ac:dyDescent="0.3">
      <c r="A123" t="s">
        <v>7</v>
      </c>
      <c r="B123" s="4" t="s">
        <v>126</v>
      </c>
      <c r="C123" s="4" t="s">
        <v>238</v>
      </c>
      <c r="D123" s="4" t="s">
        <v>258</v>
      </c>
      <c r="E123" s="4" t="s">
        <v>259</v>
      </c>
      <c r="F123" s="12">
        <v>12.51</v>
      </c>
      <c r="G123" s="34">
        <f t="shared" si="7"/>
        <v>0</v>
      </c>
      <c r="H123" s="28">
        <f t="shared" si="8"/>
        <v>0</v>
      </c>
      <c r="I123" s="28">
        <f t="shared" si="9"/>
        <v>0</v>
      </c>
      <c r="J123" s="26">
        <f t="shared" si="10"/>
        <v>0</v>
      </c>
      <c r="K123" s="24">
        <f t="shared" si="11"/>
        <v>0</v>
      </c>
      <c r="L123" s="31">
        <f t="shared" si="12"/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4"/>
      <c r="AY123" s="4"/>
      <c r="CI123" s="74">
        <v>116</v>
      </c>
    </row>
    <row r="124" spans="1:119" hidden="1" x14ac:dyDescent="0.3">
      <c r="A124" t="s">
        <v>7</v>
      </c>
      <c r="B124" s="4" t="s">
        <v>126</v>
      </c>
      <c r="C124" s="4" t="s">
        <v>238</v>
      </c>
      <c r="D124" s="4" t="s">
        <v>260</v>
      </c>
      <c r="E124" s="4" t="s">
        <v>261</v>
      </c>
      <c r="F124" s="12">
        <v>31.58</v>
      </c>
      <c r="G124" s="34">
        <f t="shared" si="7"/>
        <v>184900.9</v>
      </c>
      <c r="H124" s="28">
        <f t="shared" si="8"/>
        <v>5855</v>
      </c>
      <c r="I124" s="28">
        <f t="shared" si="9"/>
        <v>488</v>
      </c>
      <c r="J124" s="26">
        <f t="shared" si="10"/>
        <v>63917.919999999998</v>
      </c>
      <c r="K124" s="24">
        <f t="shared" si="11"/>
        <v>2024</v>
      </c>
      <c r="L124" s="31">
        <f t="shared" si="12"/>
        <v>405</v>
      </c>
      <c r="M124" s="9">
        <v>339</v>
      </c>
      <c r="N124" s="9">
        <v>600</v>
      </c>
      <c r="O124" s="9">
        <v>600</v>
      </c>
      <c r="P124" s="9">
        <v>600</v>
      </c>
      <c r="Q124" s="9">
        <v>600</v>
      </c>
      <c r="R124" s="9">
        <v>695</v>
      </c>
      <c r="S124" s="9">
        <v>368</v>
      </c>
      <c r="T124" s="9">
        <v>460</v>
      </c>
      <c r="U124" s="9">
        <v>368</v>
      </c>
      <c r="V124" s="9">
        <v>368</v>
      </c>
      <c r="W124" s="9">
        <v>460</v>
      </c>
      <c r="X124" s="9">
        <v>368</v>
      </c>
      <c r="Y124" s="9">
        <v>368</v>
      </c>
      <c r="Z124" s="9">
        <v>460</v>
      </c>
      <c r="AA124" s="9">
        <v>368</v>
      </c>
      <c r="AB124" s="9">
        <v>368</v>
      </c>
      <c r="AC124" s="9">
        <v>460</v>
      </c>
      <c r="AD124" s="9">
        <v>368</v>
      </c>
      <c r="AF124" s="6">
        <v>9488.61</v>
      </c>
      <c r="AG124" s="6">
        <v>16794</v>
      </c>
      <c r="AH124" s="6">
        <v>16794</v>
      </c>
      <c r="AI124" s="6">
        <v>18828</v>
      </c>
      <c r="AJ124" s="6">
        <v>18828</v>
      </c>
      <c r="AK124" s="6">
        <v>21809.1</v>
      </c>
      <c r="AL124" s="6">
        <v>11547.84</v>
      </c>
      <c r="AM124" s="6">
        <v>14434.8</v>
      </c>
      <c r="AN124" s="6">
        <v>10734.560000000001</v>
      </c>
      <c r="AO124" s="6">
        <v>10734.560000000001</v>
      </c>
      <c r="AP124" s="6">
        <v>13418.2</v>
      </c>
      <c r="AQ124" s="6">
        <v>10734.560000000001</v>
      </c>
      <c r="AR124" s="6">
        <v>10734.560000000001</v>
      </c>
      <c r="AS124" s="6">
        <v>13418.2</v>
      </c>
      <c r="AT124" s="6">
        <v>10734.560000000001</v>
      </c>
      <c r="AU124" s="6">
        <v>10734.560000000001</v>
      </c>
      <c r="AV124" s="6">
        <v>13418.2</v>
      </c>
      <c r="AW124" s="6">
        <v>10734.560000000001</v>
      </c>
      <c r="AX124" s="49"/>
      <c r="AY124" s="51"/>
      <c r="AZ124" s="51"/>
      <c r="BA124" s="51"/>
      <c r="BB124" s="51" t="s">
        <v>631</v>
      </c>
      <c r="BC124" s="51" t="s">
        <v>631</v>
      </c>
      <c r="BD124" s="51"/>
      <c r="BE124" s="51"/>
      <c r="BF124" s="51" t="s">
        <v>631</v>
      </c>
      <c r="BG124" s="51"/>
      <c r="BH124" s="51"/>
      <c r="BI124" s="51"/>
      <c r="BJ124" s="51"/>
      <c r="BK124" s="84" t="s">
        <v>631</v>
      </c>
      <c r="BL124" s="51"/>
      <c r="BM124" s="51"/>
      <c r="BN124" s="51"/>
      <c r="BO124" s="51"/>
      <c r="BP124" s="51"/>
      <c r="BQ124" s="51"/>
      <c r="BR124" s="51"/>
      <c r="BS124" s="51"/>
      <c r="BT124" s="51"/>
      <c r="BU124" s="51" t="s">
        <v>631</v>
      </c>
      <c r="BV124" s="84" t="s">
        <v>631</v>
      </c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 t="s">
        <v>631</v>
      </c>
      <c r="CH124" s="85" t="s">
        <v>631</v>
      </c>
      <c r="CI124" s="76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51"/>
      <c r="DK124" s="51"/>
      <c r="DL124" s="51"/>
      <c r="DM124" s="51"/>
      <c r="DN124" s="51"/>
      <c r="DO124" s="51"/>
    </row>
    <row r="125" spans="1:119" hidden="1" x14ac:dyDescent="0.3">
      <c r="A125" t="s">
        <v>7</v>
      </c>
      <c r="B125" s="4" t="s">
        <v>126</v>
      </c>
      <c r="C125" s="4" t="s">
        <v>238</v>
      </c>
      <c r="D125" s="4" t="s">
        <v>262</v>
      </c>
      <c r="E125" s="4" t="s">
        <v>263</v>
      </c>
      <c r="F125" s="12">
        <v>15.85</v>
      </c>
      <c r="G125" s="34">
        <f t="shared" si="7"/>
        <v>0</v>
      </c>
      <c r="H125" s="28">
        <f t="shared" si="8"/>
        <v>0</v>
      </c>
      <c r="I125" s="28">
        <f t="shared" si="9"/>
        <v>0</v>
      </c>
      <c r="J125" s="26">
        <f t="shared" si="10"/>
        <v>0</v>
      </c>
      <c r="K125" s="24">
        <f t="shared" si="11"/>
        <v>0</v>
      </c>
      <c r="L125" s="31">
        <f t="shared" si="12"/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4"/>
      <c r="AY125" s="4"/>
      <c r="CI125" s="74" t="e">
        <v>#N/A</v>
      </c>
    </row>
    <row r="126" spans="1:119" hidden="1" x14ac:dyDescent="0.3">
      <c r="A126" t="s">
        <v>7</v>
      </c>
      <c r="B126" s="4" t="s">
        <v>126</v>
      </c>
      <c r="C126" s="4" t="s">
        <v>264</v>
      </c>
      <c r="D126" s="4" t="s">
        <v>265</v>
      </c>
      <c r="E126" s="4" t="s">
        <v>266</v>
      </c>
      <c r="F126" s="12">
        <v>13.2</v>
      </c>
      <c r="G126" s="34">
        <f t="shared" si="7"/>
        <v>115830</v>
      </c>
      <c r="H126" s="28">
        <f t="shared" si="8"/>
        <v>8775</v>
      </c>
      <c r="I126" s="28">
        <f t="shared" si="9"/>
        <v>732</v>
      </c>
      <c r="J126" s="26">
        <f t="shared" si="10"/>
        <v>65340</v>
      </c>
      <c r="K126" s="24">
        <f t="shared" si="11"/>
        <v>4950</v>
      </c>
      <c r="L126" s="31">
        <f t="shared" si="12"/>
        <v>990</v>
      </c>
      <c r="M126" s="9">
        <v>500</v>
      </c>
      <c r="N126" s="9">
        <v>0</v>
      </c>
      <c r="O126" s="9">
        <v>0</v>
      </c>
      <c r="P126" s="9">
        <v>0</v>
      </c>
      <c r="Q126" s="9">
        <v>900</v>
      </c>
      <c r="R126" s="9">
        <v>1125</v>
      </c>
      <c r="S126" s="9">
        <v>900</v>
      </c>
      <c r="T126" s="9">
        <v>1125</v>
      </c>
      <c r="U126" s="9">
        <v>900</v>
      </c>
      <c r="V126" s="9">
        <v>900</v>
      </c>
      <c r="W126" s="9">
        <v>1125</v>
      </c>
      <c r="X126" s="9">
        <v>900</v>
      </c>
      <c r="Y126" s="9">
        <v>900</v>
      </c>
      <c r="Z126" s="9">
        <v>1125</v>
      </c>
      <c r="AA126" s="9">
        <v>900</v>
      </c>
      <c r="AB126" s="9">
        <v>900</v>
      </c>
      <c r="AC126" s="9">
        <v>1125</v>
      </c>
      <c r="AD126" s="9">
        <v>900</v>
      </c>
      <c r="AF126" s="6">
        <v>6600</v>
      </c>
      <c r="AG126" s="6">
        <v>0</v>
      </c>
      <c r="AH126" s="6">
        <v>0</v>
      </c>
      <c r="AI126" s="6">
        <v>0</v>
      </c>
      <c r="AJ126" s="6">
        <v>11880</v>
      </c>
      <c r="AK126" s="6">
        <v>14850</v>
      </c>
      <c r="AL126" s="6">
        <v>11880</v>
      </c>
      <c r="AM126" s="6">
        <v>14850</v>
      </c>
      <c r="AN126" s="6">
        <v>11880</v>
      </c>
      <c r="AO126" s="6">
        <v>11880</v>
      </c>
      <c r="AP126" s="6">
        <v>14850</v>
      </c>
      <c r="AQ126" s="6">
        <v>11880</v>
      </c>
      <c r="AR126" s="6">
        <v>11880</v>
      </c>
      <c r="AS126" s="6">
        <v>14850</v>
      </c>
      <c r="AT126" s="6">
        <v>11880</v>
      </c>
      <c r="AU126" s="6">
        <v>11880</v>
      </c>
      <c r="AV126" s="6">
        <v>14850</v>
      </c>
      <c r="AW126" s="6">
        <v>11880</v>
      </c>
      <c r="AX126" s="49" t="s">
        <v>631</v>
      </c>
      <c r="AY126" s="51"/>
      <c r="AZ126" s="51"/>
      <c r="BA126" s="51"/>
      <c r="BB126" s="51"/>
      <c r="BC126" s="51"/>
      <c r="BD126" s="51"/>
      <c r="BE126" s="51"/>
      <c r="BF126" s="51"/>
      <c r="BG126" s="51"/>
      <c r="BH126" s="51" t="s">
        <v>631</v>
      </c>
      <c r="BI126" s="51"/>
      <c r="BJ126" s="51"/>
      <c r="BK126" s="84" t="s">
        <v>631</v>
      </c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 t="s">
        <v>631</v>
      </c>
      <c r="CH126" s="85" t="s">
        <v>631</v>
      </c>
      <c r="CI126" s="76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</row>
    <row r="127" spans="1:119" hidden="1" x14ac:dyDescent="0.3">
      <c r="A127" t="s">
        <v>7</v>
      </c>
      <c r="B127" s="4" t="s">
        <v>126</v>
      </c>
      <c r="C127" s="4" t="s">
        <v>264</v>
      </c>
      <c r="D127" s="4" t="s">
        <v>267</v>
      </c>
      <c r="E127" s="4" t="s">
        <v>268</v>
      </c>
      <c r="F127" s="12">
        <v>193.82</v>
      </c>
      <c r="G127" s="34">
        <f t="shared" si="7"/>
        <v>2156635.14</v>
      </c>
      <c r="H127" s="28">
        <f t="shared" si="8"/>
        <v>11127</v>
      </c>
      <c r="I127" s="28">
        <f t="shared" si="9"/>
        <v>928</v>
      </c>
      <c r="J127" s="26">
        <f t="shared" si="10"/>
        <v>919482.08</v>
      </c>
      <c r="K127" s="24">
        <f t="shared" si="11"/>
        <v>4744</v>
      </c>
      <c r="L127" s="31">
        <f t="shared" si="12"/>
        <v>949</v>
      </c>
      <c r="M127" s="9">
        <v>249</v>
      </c>
      <c r="N127" s="9">
        <v>1000</v>
      </c>
      <c r="O127" s="9">
        <v>900</v>
      </c>
      <c r="P127" s="9">
        <v>400</v>
      </c>
      <c r="Q127" s="9">
        <v>800</v>
      </c>
      <c r="R127" s="9">
        <v>1000</v>
      </c>
      <c r="S127" s="9">
        <v>1000</v>
      </c>
      <c r="T127" s="9">
        <v>1155</v>
      </c>
      <c r="U127" s="9">
        <v>1000</v>
      </c>
      <c r="V127" s="9">
        <v>1000</v>
      </c>
      <c r="W127" s="9">
        <v>1040</v>
      </c>
      <c r="X127" s="9">
        <v>832</v>
      </c>
      <c r="Y127" s="9">
        <v>1000</v>
      </c>
      <c r="Z127" s="9">
        <v>1040</v>
      </c>
      <c r="AA127" s="9">
        <v>832</v>
      </c>
      <c r="AB127" s="9">
        <v>1000</v>
      </c>
      <c r="AC127" s="9">
        <v>1040</v>
      </c>
      <c r="AD127" s="9">
        <v>832</v>
      </c>
      <c r="AF127" s="6">
        <v>48261.18</v>
      </c>
      <c r="AG127" s="6">
        <v>193820</v>
      </c>
      <c r="AH127" s="6">
        <v>174438</v>
      </c>
      <c r="AI127" s="6">
        <v>77528</v>
      </c>
      <c r="AJ127" s="6">
        <v>155056</v>
      </c>
      <c r="AK127" s="6">
        <v>193000</v>
      </c>
      <c r="AL127" s="6">
        <v>193820</v>
      </c>
      <c r="AM127" s="6">
        <v>223862.1</v>
      </c>
      <c r="AN127" s="6">
        <v>193820</v>
      </c>
      <c r="AO127" s="6">
        <v>193820</v>
      </c>
      <c r="AP127" s="6">
        <v>201572.8</v>
      </c>
      <c r="AQ127" s="6">
        <v>161258.23999999999</v>
      </c>
      <c r="AR127" s="6">
        <v>193820</v>
      </c>
      <c r="AS127" s="6">
        <v>201572.8</v>
      </c>
      <c r="AT127" s="6">
        <v>161258.23999999999</v>
      </c>
      <c r="AU127" s="6">
        <v>193820</v>
      </c>
      <c r="AV127" s="6">
        <v>201572.8</v>
      </c>
      <c r="AW127" s="6">
        <v>161258.23999999999</v>
      </c>
      <c r="AX127" s="49"/>
      <c r="AY127" s="51" t="s">
        <v>631</v>
      </c>
      <c r="AZ127" s="51"/>
      <c r="BA127" s="51"/>
      <c r="BB127" s="51"/>
      <c r="BC127" s="51"/>
      <c r="BD127" s="51"/>
      <c r="BE127" s="51"/>
      <c r="BF127" s="51"/>
      <c r="BG127" s="51"/>
      <c r="BH127" s="51" t="s">
        <v>631</v>
      </c>
      <c r="BI127" s="51"/>
      <c r="BJ127" s="51" t="s">
        <v>631</v>
      </c>
      <c r="BK127" s="84" t="s">
        <v>631</v>
      </c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 t="s">
        <v>631</v>
      </c>
      <c r="CH127" s="85" t="s">
        <v>631</v>
      </c>
      <c r="CI127" s="76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</row>
    <row r="128" spans="1:119" hidden="1" x14ac:dyDescent="0.3">
      <c r="A128" t="s">
        <v>7</v>
      </c>
      <c r="B128" s="4" t="s">
        <v>126</v>
      </c>
      <c r="C128" s="4" t="s">
        <v>264</v>
      </c>
      <c r="D128" s="4" t="s">
        <v>269</v>
      </c>
      <c r="E128" s="4" t="s">
        <v>270</v>
      </c>
      <c r="F128" s="12">
        <v>7.76</v>
      </c>
      <c r="G128" s="34">
        <f t="shared" si="7"/>
        <v>0</v>
      </c>
      <c r="H128" s="28">
        <f t="shared" si="8"/>
        <v>0</v>
      </c>
      <c r="I128" s="28">
        <f t="shared" si="9"/>
        <v>0</v>
      </c>
      <c r="J128" s="26">
        <f t="shared" si="10"/>
        <v>0</v>
      </c>
      <c r="K128" s="24">
        <f t="shared" si="11"/>
        <v>0</v>
      </c>
      <c r="L128" s="31">
        <f t="shared" si="12"/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4"/>
      <c r="AY128" s="4"/>
      <c r="CI128" s="74" t="e">
        <v>#N/A</v>
      </c>
    </row>
    <row r="129" spans="1:119" hidden="1" x14ac:dyDescent="0.3">
      <c r="A129" t="s">
        <v>7</v>
      </c>
      <c r="B129" s="4" t="s">
        <v>126</v>
      </c>
      <c r="C129" s="4" t="s">
        <v>271</v>
      </c>
      <c r="D129" s="4" t="s">
        <v>272</v>
      </c>
      <c r="E129" s="4" t="s">
        <v>273</v>
      </c>
      <c r="F129" s="12">
        <v>21.61</v>
      </c>
      <c r="G129" s="34">
        <f t="shared" si="7"/>
        <v>0</v>
      </c>
      <c r="H129" s="28">
        <f t="shared" si="8"/>
        <v>0</v>
      </c>
      <c r="I129" s="28">
        <f t="shared" si="9"/>
        <v>0</v>
      </c>
      <c r="J129" s="26">
        <f t="shared" si="10"/>
        <v>0</v>
      </c>
      <c r="K129" s="24">
        <f t="shared" si="11"/>
        <v>0</v>
      </c>
      <c r="L129" s="31">
        <f t="shared" si="12"/>
        <v>0</v>
      </c>
      <c r="M129" s="9">
        <v>505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F129" s="6">
        <v>8068.05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4"/>
      <c r="AY129" s="4"/>
      <c r="CI129" s="74">
        <v>98</v>
      </c>
    </row>
    <row r="130" spans="1:119" hidden="1" x14ac:dyDescent="0.3">
      <c r="A130" t="s">
        <v>7</v>
      </c>
      <c r="B130" s="4" t="s">
        <v>126</v>
      </c>
      <c r="C130" s="4" t="s">
        <v>271</v>
      </c>
      <c r="D130" s="4" t="s">
        <v>274</v>
      </c>
      <c r="E130" s="4" t="s">
        <v>275</v>
      </c>
      <c r="F130" s="12">
        <v>32.47</v>
      </c>
      <c r="G130" s="34">
        <f t="shared" si="7"/>
        <v>0</v>
      </c>
      <c r="H130" s="28">
        <f t="shared" si="8"/>
        <v>0</v>
      </c>
      <c r="I130" s="28">
        <f t="shared" si="9"/>
        <v>0</v>
      </c>
      <c r="J130" s="26">
        <f t="shared" si="10"/>
        <v>0</v>
      </c>
      <c r="K130" s="24">
        <f t="shared" si="11"/>
        <v>0</v>
      </c>
      <c r="L130" s="31">
        <f t="shared" si="12"/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4"/>
      <c r="AY130" s="4"/>
      <c r="CI130" s="74">
        <v>115</v>
      </c>
    </row>
    <row r="131" spans="1:119" hidden="1" x14ac:dyDescent="0.3">
      <c r="A131" t="s">
        <v>7</v>
      </c>
      <c r="B131" s="4" t="s">
        <v>126</v>
      </c>
      <c r="C131" s="4" t="s">
        <v>271</v>
      </c>
      <c r="D131" s="4" t="s">
        <v>276</v>
      </c>
      <c r="E131" s="4" t="s">
        <v>277</v>
      </c>
      <c r="F131" s="12">
        <v>10.47</v>
      </c>
      <c r="G131" s="34">
        <f t="shared" si="7"/>
        <v>0</v>
      </c>
      <c r="H131" s="28">
        <f t="shared" si="8"/>
        <v>0</v>
      </c>
      <c r="I131" s="28">
        <f t="shared" si="9"/>
        <v>0</v>
      </c>
      <c r="J131" s="26">
        <f t="shared" si="10"/>
        <v>0</v>
      </c>
      <c r="K131" s="24">
        <f t="shared" si="11"/>
        <v>0</v>
      </c>
      <c r="L131" s="31">
        <f t="shared" si="12"/>
        <v>0</v>
      </c>
      <c r="M131" s="9">
        <v>11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F131" s="6">
        <v>86.9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4"/>
      <c r="AY131" s="4"/>
      <c r="CI131" s="74">
        <v>69</v>
      </c>
    </row>
    <row r="132" spans="1:119" hidden="1" x14ac:dyDescent="0.3">
      <c r="A132" t="s">
        <v>7</v>
      </c>
      <c r="B132" s="4" t="s">
        <v>126</v>
      </c>
      <c r="C132" s="4" t="s">
        <v>271</v>
      </c>
      <c r="D132" s="4" t="s">
        <v>278</v>
      </c>
      <c r="E132" s="4" t="s">
        <v>279</v>
      </c>
      <c r="F132" s="12">
        <v>10.84</v>
      </c>
      <c r="G132" s="34">
        <f t="shared" si="7"/>
        <v>0</v>
      </c>
      <c r="H132" s="28">
        <f t="shared" si="8"/>
        <v>0</v>
      </c>
      <c r="I132" s="28">
        <f t="shared" si="9"/>
        <v>0</v>
      </c>
      <c r="J132" s="26">
        <f t="shared" si="10"/>
        <v>0</v>
      </c>
      <c r="K132" s="24">
        <f t="shared" si="11"/>
        <v>0</v>
      </c>
      <c r="L132" s="31">
        <f t="shared" si="12"/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4"/>
      <c r="AY132" s="4"/>
      <c r="CI132" s="74">
        <v>69</v>
      </c>
    </row>
    <row r="133" spans="1:119" hidden="1" x14ac:dyDescent="0.3">
      <c r="A133" t="s">
        <v>7</v>
      </c>
      <c r="B133" s="4" t="s">
        <v>126</v>
      </c>
      <c r="C133" s="4" t="s">
        <v>271</v>
      </c>
      <c r="D133" s="4" t="s">
        <v>280</v>
      </c>
      <c r="E133" s="4" t="s">
        <v>281</v>
      </c>
      <c r="F133" s="12">
        <v>17.41</v>
      </c>
      <c r="G133" s="34">
        <f t="shared" si="7"/>
        <v>2089.1999999999998</v>
      </c>
      <c r="H133" s="28">
        <f t="shared" si="8"/>
        <v>120</v>
      </c>
      <c r="I133" s="28">
        <f t="shared" si="9"/>
        <v>10</v>
      </c>
      <c r="J133" s="26">
        <f t="shared" si="10"/>
        <v>0</v>
      </c>
      <c r="K133" s="24">
        <f t="shared" si="11"/>
        <v>0</v>
      </c>
      <c r="L133" s="31">
        <f t="shared" si="12"/>
        <v>0</v>
      </c>
      <c r="M133" s="9">
        <v>0</v>
      </c>
      <c r="N133" s="9">
        <v>120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F133" s="6">
        <v>0</v>
      </c>
      <c r="AG133" s="6">
        <v>2089.1999999999998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49" t="s">
        <v>631</v>
      </c>
      <c r="AY133" s="51" t="s">
        <v>631</v>
      </c>
      <c r="AZ133" s="51"/>
      <c r="BA133" s="51"/>
      <c r="BB133" s="51"/>
      <c r="BC133" s="51"/>
      <c r="BD133" s="51"/>
      <c r="BE133" s="51"/>
      <c r="BF133" s="51"/>
      <c r="BG133" s="51"/>
      <c r="BH133" s="51" t="s">
        <v>631</v>
      </c>
      <c r="BI133" s="51"/>
      <c r="BJ133" s="51" t="s">
        <v>631</v>
      </c>
      <c r="BK133" s="84" t="s">
        <v>631</v>
      </c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 t="s">
        <v>631</v>
      </c>
      <c r="CH133" s="85" t="s">
        <v>631</v>
      </c>
      <c r="CI133" s="76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K133" s="51"/>
      <c r="DL133" s="51"/>
      <c r="DM133" s="51"/>
      <c r="DN133" s="51"/>
      <c r="DO133" s="51"/>
    </row>
    <row r="134" spans="1:119" hidden="1" x14ac:dyDescent="0.3">
      <c r="A134" t="s">
        <v>7</v>
      </c>
      <c r="B134" s="4" t="s">
        <v>126</v>
      </c>
      <c r="C134" s="4" t="s">
        <v>282</v>
      </c>
      <c r="D134" s="4" t="s">
        <v>283</v>
      </c>
      <c r="E134" s="4" t="s">
        <v>277</v>
      </c>
      <c r="F134" s="12">
        <v>18.25</v>
      </c>
      <c r="G134" s="34">
        <f t="shared" si="7"/>
        <v>164414.25</v>
      </c>
      <c r="H134" s="28">
        <f t="shared" si="8"/>
        <v>9009</v>
      </c>
      <c r="I134" s="28">
        <f t="shared" si="9"/>
        <v>751</v>
      </c>
      <c r="J134" s="26">
        <f t="shared" si="10"/>
        <v>92746.5</v>
      </c>
      <c r="K134" s="24">
        <f t="shared" si="11"/>
        <v>5082</v>
      </c>
      <c r="L134" s="31">
        <f t="shared" si="12"/>
        <v>1017</v>
      </c>
      <c r="M134" s="9">
        <v>1000</v>
      </c>
      <c r="N134" s="9">
        <v>0</v>
      </c>
      <c r="O134" s="9">
        <v>0</v>
      </c>
      <c r="P134" s="9">
        <v>0</v>
      </c>
      <c r="Q134" s="9">
        <v>924</v>
      </c>
      <c r="R134" s="9">
        <v>1155</v>
      </c>
      <c r="S134" s="9">
        <v>924</v>
      </c>
      <c r="T134" s="9">
        <v>1155</v>
      </c>
      <c r="U134" s="9">
        <v>924</v>
      </c>
      <c r="V134" s="9">
        <v>924</v>
      </c>
      <c r="W134" s="9">
        <v>1155</v>
      </c>
      <c r="X134" s="9">
        <v>924</v>
      </c>
      <c r="Y134" s="9">
        <v>924</v>
      </c>
      <c r="Z134" s="9">
        <v>1155</v>
      </c>
      <c r="AA134" s="9">
        <v>924</v>
      </c>
      <c r="AB134" s="9">
        <v>924</v>
      </c>
      <c r="AC134" s="9">
        <v>1155</v>
      </c>
      <c r="AD134" s="9">
        <v>924</v>
      </c>
      <c r="AF134" s="6">
        <v>16850</v>
      </c>
      <c r="AG134" s="6">
        <v>0</v>
      </c>
      <c r="AH134" s="6">
        <v>0</v>
      </c>
      <c r="AI134" s="6">
        <v>0</v>
      </c>
      <c r="AJ134" s="6">
        <v>15855.84</v>
      </c>
      <c r="AK134" s="6">
        <v>19819.8</v>
      </c>
      <c r="AL134" s="6">
        <v>15855.84</v>
      </c>
      <c r="AM134" s="6">
        <v>19461.75</v>
      </c>
      <c r="AN134" s="6">
        <v>15569.400000000001</v>
      </c>
      <c r="AO134" s="6">
        <v>15569.400000000001</v>
      </c>
      <c r="AP134" s="6">
        <v>19461.75</v>
      </c>
      <c r="AQ134" s="6">
        <v>15569.400000000001</v>
      </c>
      <c r="AR134" s="6">
        <v>15569.400000000001</v>
      </c>
      <c r="AS134" s="6">
        <v>19461.75</v>
      </c>
      <c r="AT134" s="6">
        <v>15569.400000000001</v>
      </c>
      <c r="AU134" s="6">
        <v>15569.400000000001</v>
      </c>
      <c r="AV134" s="6">
        <v>19461.75</v>
      </c>
      <c r="AW134" s="6">
        <v>15569.400000000001</v>
      </c>
      <c r="AX134" s="49" t="s">
        <v>631</v>
      </c>
      <c r="AY134" s="51"/>
      <c r="AZ134" s="51"/>
      <c r="BA134" s="51"/>
      <c r="BB134" s="51"/>
      <c r="BC134" s="51"/>
      <c r="BD134" s="51"/>
      <c r="BE134" s="51"/>
      <c r="BF134" s="51"/>
      <c r="BG134" s="51"/>
      <c r="BH134" s="51" t="s">
        <v>631</v>
      </c>
      <c r="BI134" s="51"/>
      <c r="BJ134" s="51"/>
      <c r="BK134" s="84" t="s">
        <v>631</v>
      </c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 t="s">
        <v>631</v>
      </c>
      <c r="CH134" s="85" t="s">
        <v>631</v>
      </c>
      <c r="CI134" s="76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  <c r="DK134" s="51"/>
      <c r="DL134" s="51"/>
      <c r="DM134" s="51"/>
      <c r="DN134" s="51"/>
      <c r="DO134" s="51"/>
    </row>
    <row r="135" spans="1:119" hidden="1" x14ac:dyDescent="0.3">
      <c r="A135" t="s">
        <v>7</v>
      </c>
      <c r="B135" s="4" t="s">
        <v>126</v>
      </c>
      <c r="C135" s="4" t="s">
        <v>282</v>
      </c>
      <c r="D135" s="4" t="s">
        <v>284</v>
      </c>
      <c r="E135" s="4" t="s">
        <v>220</v>
      </c>
      <c r="F135" s="12">
        <v>8.98</v>
      </c>
      <c r="G135" s="34">
        <f t="shared" ref="G135:G198" si="13">F135*H135</f>
        <v>80900.820000000007</v>
      </c>
      <c r="H135" s="28">
        <f t="shared" ref="H135:H198" si="14">SUM(N135:Y135)</f>
        <v>9009</v>
      </c>
      <c r="I135" s="28">
        <f t="shared" ref="I135:I198" si="15">ROUNDUP(H135/12,0)</f>
        <v>751</v>
      </c>
      <c r="J135" s="26">
        <f t="shared" ref="J135:J198" si="16">K135*F135</f>
        <v>45636.36</v>
      </c>
      <c r="K135" s="24">
        <f t="shared" ref="K135:K198" si="17">SUM(Z135:AD135)</f>
        <v>5082</v>
      </c>
      <c r="L135" s="31">
        <f t="shared" ref="L135:L198" si="18">ROUNDUP(K135/5,0)</f>
        <v>1017</v>
      </c>
      <c r="M135" s="9">
        <v>0</v>
      </c>
      <c r="N135" s="9">
        <v>0</v>
      </c>
      <c r="O135" s="9">
        <v>0</v>
      </c>
      <c r="P135" s="9">
        <v>0</v>
      </c>
      <c r="Q135" s="9">
        <v>924</v>
      </c>
      <c r="R135" s="9">
        <v>1155</v>
      </c>
      <c r="S135" s="9">
        <v>924</v>
      </c>
      <c r="T135" s="9">
        <v>1155</v>
      </c>
      <c r="U135" s="9">
        <v>924</v>
      </c>
      <c r="V135" s="9">
        <v>924</v>
      </c>
      <c r="W135" s="9">
        <v>1155</v>
      </c>
      <c r="X135" s="9">
        <v>924</v>
      </c>
      <c r="Y135" s="9">
        <v>924</v>
      </c>
      <c r="Z135" s="9">
        <v>1155</v>
      </c>
      <c r="AA135" s="9">
        <v>924</v>
      </c>
      <c r="AB135" s="9">
        <v>924</v>
      </c>
      <c r="AC135" s="9">
        <v>1155</v>
      </c>
      <c r="AD135" s="9">
        <v>924</v>
      </c>
      <c r="AF135" s="6">
        <v>0</v>
      </c>
      <c r="AG135" s="6">
        <v>0</v>
      </c>
      <c r="AH135" s="6">
        <v>0</v>
      </c>
      <c r="AI135" s="6">
        <v>0</v>
      </c>
      <c r="AJ135" s="6">
        <v>7900.2000000000007</v>
      </c>
      <c r="AK135" s="6">
        <v>9875.25</v>
      </c>
      <c r="AL135" s="6">
        <v>7900.2000000000007</v>
      </c>
      <c r="AM135" s="6">
        <v>9875.25</v>
      </c>
      <c r="AN135" s="6">
        <v>7900.2000000000007</v>
      </c>
      <c r="AO135" s="6">
        <v>7900.2000000000007</v>
      </c>
      <c r="AP135" s="6">
        <v>9875.25</v>
      </c>
      <c r="AQ135" s="6">
        <v>7900.2000000000007</v>
      </c>
      <c r="AR135" s="6">
        <v>7900.2000000000007</v>
      </c>
      <c r="AS135" s="6">
        <v>9875.25</v>
      </c>
      <c r="AT135" s="6">
        <v>7900.2000000000007</v>
      </c>
      <c r="AU135" s="6">
        <v>7900.2000000000007</v>
      </c>
      <c r="AV135" s="6">
        <v>9875.25</v>
      </c>
      <c r="AW135" s="6">
        <v>7900.2000000000007</v>
      </c>
      <c r="AX135" s="49" t="s">
        <v>631</v>
      </c>
      <c r="AY135" s="51"/>
      <c r="AZ135" s="51"/>
      <c r="BA135" s="51"/>
      <c r="BB135" s="51"/>
      <c r="BC135" s="51"/>
      <c r="BD135" s="51"/>
      <c r="BE135" s="51"/>
      <c r="BF135" s="51"/>
      <c r="BG135" s="51"/>
      <c r="BH135" s="51" t="s">
        <v>631</v>
      </c>
      <c r="BI135" s="51"/>
      <c r="BJ135" s="51" t="s">
        <v>631</v>
      </c>
      <c r="BK135" s="84" t="s">
        <v>631</v>
      </c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 t="s">
        <v>631</v>
      </c>
      <c r="CH135" s="85" t="s">
        <v>631</v>
      </c>
      <c r="CI135" s="76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51"/>
      <c r="DN135" s="51"/>
      <c r="DO135" s="51"/>
    </row>
    <row r="136" spans="1:119" hidden="1" x14ac:dyDescent="0.3">
      <c r="A136" t="s">
        <v>7</v>
      </c>
      <c r="B136" s="4" t="s">
        <v>126</v>
      </c>
      <c r="C136" s="4" t="s">
        <v>282</v>
      </c>
      <c r="D136" s="4" t="s">
        <v>285</v>
      </c>
      <c r="E136" s="4" t="s">
        <v>286</v>
      </c>
      <c r="F136" s="12">
        <v>12.13</v>
      </c>
      <c r="G136" s="34">
        <f t="shared" si="13"/>
        <v>0</v>
      </c>
      <c r="H136" s="28">
        <f t="shared" si="14"/>
        <v>0</v>
      </c>
      <c r="I136" s="28">
        <f t="shared" si="15"/>
        <v>0</v>
      </c>
      <c r="J136" s="26">
        <f t="shared" si="16"/>
        <v>0</v>
      </c>
      <c r="K136" s="24">
        <f t="shared" si="17"/>
        <v>0</v>
      </c>
      <c r="L136" s="31">
        <f t="shared" si="18"/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4"/>
      <c r="AY136" s="4"/>
      <c r="CI136" s="74">
        <v>80</v>
      </c>
    </row>
    <row r="137" spans="1:119" hidden="1" x14ac:dyDescent="0.3">
      <c r="A137" t="s">
        <v>7</v>
      </c>
      <c r="B137" s="4" t="s">
        <v>126</v>
      </c>
      <c r="C137" s="4" t="s">
        <v>282</v>
      </c>
      <c r="D137" s="4" t="s">
        <v>287</v>
      </c>
      <c r="E137" s="4" t="s">
        <v>288</v>
      </c>
      <c r="F137" s="12">
        <v>193.04</v>
      </c>
      <c r="G137" s="34">
        <f t="shared" si="13"/>
        <v>1592000.88</v>
      </c>
      <c r="H137" s="28">
        <f t="shared" si="14"/>
        <v>8247</v>
      </c>
      <c r="I137" s="28">
        <f t="shared" si="15"/>
        <v>688</v>
      </c>
      <c r="J137" s="26">
        <f t="shared" si="16"/>
        <v>734710.24</v>
      </c>
      <c r="K137" s="24">
        <f t="shared" si="17"/>
        <v>3806</v>
      </c>
      <c r="L137" s="31">
        <f t="shared" si="18"/>
        <v>762</v>
      </c>
      <c r="M137" s="9">
        <v>0</v>
      </c>
      <c r="N137" s="9">
        <v>0</v>
      </c>
      <c r="O137" s="9">
        <v>1000</v>
      </c>
      <c r="P137" s="9">
        <v>500</v>
      </c>
      <c r="Q137" s="9">
        <v>692</v>
      </c>
      <c r="R137" s="9">
        <v>865</v>
      </c>
      <c r="S137" s="9">
        <v>692</v>
      </c>
      <c r="T137" s="9">
        <v>865</v>
      </c>
      <c r="U137" s="9">
        <v>692</v>
      </c>
      <c r="V137" s="9">
        <v>692</v>
      </c>
      <c r="W137" s="9">
        <v>865</v>
      </c>
      <c r="X137" s="9">
        <v>692</v>
      </c>
      <c r="Y137" s="9">
        <v>692</v>
      </c>
      <c r="Z137" s="9">
        <v>865</v>
      </c>
      <c r="AA137" s="9">
        <v>692</v>
      </c>
      <c r="AB137" s="9">
        <v>692</v>
      </c>
      <c r="AC137" s="9">
        <v>865</v>
      </c>
      <c r="AD137" s="9">
        <v>692</v>
      </c>
      <c r="AF137" s="6">
        <v>0</v>
      </c>
      <c r="AG137" s="6">
        <v>0</v>
      </c>
      <c r="AH137" s="6">
        <v>193040</v>
      </c>
      <c r="AI137" s="6">
        <v>96520</v>
      </c>
      <c r="AJ137" s="6">
        <v>133583.67999999999</v>
      </c>
      <c r="AK137" s="6">
        <v>166979.6</v>
      </c>
      <c r="AL137" s="6">
        <v>133583.67999999999</v>
      </c>
      <c r="AM137" s="6">
        <v>166979.6</v>
      </c>
      <c r="AN137" s="6">
        <v>133583.67999999999</v>
      </c>
      <c r="AO137" s="6">
        <v>133583.67999999999</v>
      </c>
      <c r="AP137" s="6">
        <v>166979.6</v>
      </c>
      <c r="AQ137" s="6">
        <v>133583.67999999999</v>
      </c>
      <c r="AR137" s="6">
        <v>133583.67999999999</v>
      </c>
      <c r="AS137" s="6">
        <v>166979.6</v>
      </c>
      <c r="AT137" s="6">
        <v>133583.67999999999</v>
      </c>
      <c r="AU137" s="6">
        <v>133583.67999999999</v>
      </c>
      <c r="AV137" s="6">
        <v>166979.6</v>
      </c>
      <c r="AW137" s="6">
        <v>133583.67999999999</v>
      </c>
      <c r="AX137" s="49" t="s">
        <v>631</v>
      </c>
      <c r="AY137" s="51" t="s">
        <v>631</v>
      </c>
      <c r="AZ137" s="51"/>
      <c r="BA137" s="51"/>
      <c r="BB137" s="51" t="s">
        <v>631</v>
      </c>
      <c r="BC137" s="51" t="s">
        <v>631</v>
      </c>
      <c r="BD137" s="51"/>
      <c r="BE137" s="51"/>
      <c r="BF137" s="51" t="s">
        <v>631</v>
      </c>
      <c r="BG137" s="51" t="s">
        <v>631</v>
      </c>
      <c r="BH137" s="51" t="s">
        <v>631</v>
      </c>
      <c r="BI137" s="51"/>
      <c r="BJ137" s="51" t="s">
        <v>631</v>
      </c>
      <c r="BK137" s="84" t="s">
        <v>631</v>
      </c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 t="s">
        <v>631</v>
      </c>
      <c r="CH137" s="85" t="s">
        <v>631</v>
      </c>
      <c r="CI137" s="76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51"/>
      <c r="DM137" s="51"/>
      <c r="DN137" s="51"/>
      <c r="DO137" s="51"/>
    </row>
    <row r="138" spans="1:119" hidden="1" x14ac:dyDescent="0.3">
      <c r="A138" t="s">
        <v>7</v>
      </c>
      <c r="B138" s="4" t="s">
        <v>126</v>
      </c>
      <c r="C138" s="4" t="s">
        <v>282</v>
      </c>
      <c r="D138" s="4" t="s">
        <v>289</v>
      </c>
      <c r="E138" s="4" t="s">
        <v>290</v>
      </c>
      <c r="F138" s="12">
        <v>14.15</v>
      </c>
      <c r="G138" s="34">
        <f t="shared" si="13"/>
        <v>141627.35</v>
      </c>
      <c r="H138" s="28">
        <f t="shared" si="14"/>
        <v>10009</v>
      </c>
      <c r="I138" s="28">
        <f t="shared" si="15"/>
        <v>835</v>
      </c>
      <c r="J138" s="26">
        <f t="shared" si="16"/>
        <v>71910.3</v>
      </c>
      <c r="K138" s="24">
        <f t="shared" si="17"/>
        <v>5082</v>
      </c>
      <c r="L138" s="31">
        <f t="shared" si="18"/>
        <v>1017</v>
      </c>
      <c r="M138" s="9">
        <v>0</v>
      </c>
      <c r="N138" s="9">
        <v>1000</v>
      </c>
      <c r="O138" s="9">
        <v>0</v>
      </c>
      <c r="P138" s="9">
        <v>0</v>
      </c>
      <c r="Q138" s="9">
        <v>924</v>
      </c>
      <c r="R138" s="9">
        <v>1155</v>
      </c>
      <c r="S138" s="9">
        <v>924</v>
      </c>
      <c r="T138" s="9">
        <v>1155</v>
      </c>
      <c r="U138" s="9">
        <v>924</v>
      </c>
      <c r="V138" s="9">
        <v>924</v>
      </c>
      <c r="W138" s="9">
        <v>1155</v>
      </c>
      <c r="X138" s="9">
        <v>924</v>
      </c>
      <c r="Y138" s="9">
        <v>924</v>
      </c>
      <c r="Z138" s="9">
        <v>1155</v>
      </c>
      <c r="AA138" s="9">
        <v>924</v>
      </c>
      <c r="AB138" s="9">
        <v>924</v>
      </c>
      <c r="AC138" s="9">
        <v>1155</v>
      </c>
      <c r="AD138" s="9">
        <v>924</v>
      </c>
      <c r="AF138" s="6">
        <v>0</v>
      </c>
      <c r="AG138" s="6">
        <v>13360</v>
      </c>
      <c r="AH138" s="6">
        <v>0</v>
      </c>
      <c r="AI138" s="6">
        <v>0</v>
      </c>
      <c r="AJ138" s="6">
        <v>12326.16</v>
      </c>
      <c r="AK138" s="6">
        <v>15407.7</v>
      </c>
      <c r="AL138" s="6">
        <v>12326.16</v>
      </c>
      <c r="AM138" s="6">
        <v>15430.8</v>
      </c>
      <c r="AN138" s="6">
        <v>12344.64</v>
      </c>
      <c r="AO138" s="6">
        <v>12344.64</v>
      </c>
      <c r="AP138" s="6">
        <v>15430.8</v>
      </c>
      <c r="AQ138" s="6">
        <v>12344.64</v>
      </c>
      <c r="AR138" s="6">
        <v>12344.64</v>
      </c>
      <c r="AS138" s="6">
        <v>15430.8</v>
      </c>
      <c r="AT138" s="6">
        <v>12344.64</v>
      </c>
      <c r="AU138" s="6">
        <v>12344.64</v>
      </c>
      <c r="AV138" s="6">
        <v>15430.8</v>
      </c>
      <c r="AW138" s="6">
        <v>12344.64</v>
      </c>
      <c r="AX138" s="49"/>
      <c r="AY138" s="51"/>
      <c r="AZ138" s="51"/>
      <c r="BA138" s="51"/>
      <c r="BB138" s="51" t="s">
        <v>631</v>
      </c>
      <c r="BC138" s="51"/>
      <c r="BD138" s="51"/>
      <c r="BE138" s="51"/>
      <c r="BF138" s="51"/>
      <c r="BG138" s="51"/>
      <c r="BH138" s="51" t="s">
        <v>631</v>
      </c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 t="s">
        <v>631</v>
      </c>
      <c r="CH138" s="85" t="s">
        <v>631</v>
      </c>
      <c r="CI138" s="76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</row>
    <row r="139" spans="1:119" hidden="1" x14ac:dyDescent="0.3">
      <c r="A139" t="s">
        <v>7</v>
      </c>
      <c r="B139" s="4" t="s">
        <v>126</v>
      </c>
      <c r="C139" s="4" t="s">
        <v>282</v>
      </c>
      <c r="D139" s="4" t="s">
        <v>291</v>
      </c>
      <c r="E139" s="4" t="s">
        <v>292</v>
      </c>
      <c r="F139" s="12">
        <v>17.71</v>
      </c>
      <c r="G139" s="34">
        <f t="shared" si="13"/>
        <v>79429.350000000006</v>
      </c>
      <c r="H139" s="28">
        <f t="shared" si="14"/>
        <v>4485</v>
      </c>
      <c r="I139" s="28">
        <f t="shared" si="15"/>
        <v>374</v>
      </c>
      <c r="J139" s="26">
        <f t="shared" si="16"/>
        <v>44806.3</v>
      </c>
      <c r="K139" s="24">
        <f t="shared" si="17"/>
        <v>2530</v>
      </c>
      <c r="L139" s="31">
        <f t="shared" si="18"/>
        <v>506</v>
      </c>
      <c r="M139" s="9">
        <v>0</v>
      </c>
      <c r="N139" s="9">
        <v>0</v>
      </c>
      <c r="O139" s="9">
        <v>0</v>
      </c>
      <c r="P139" s="9">
        <v>0</v>
      </c>
      <c r="Q139" s="9">
        <v>460</v>
      </c>
      <c r="R139" s="9">
        <v>575</v>
      </c>
      <c r="S139" s="9">
        <v>460</v>
      </c>
      <c r="T139" s="9">
        <v>575</v>
      </c>
      <c r="U139" s="9">
        <v>460</v>
      </c>
      <c r="V139" s="9">
        <v>460</v>
      </c>
      <c r="W139" s="9">
        <v>575</v>
      </c>
      <c r="X139" s="9">
        <v>460</v>
      </c>
      <c r="Y139" s="9">
        <v>460</v>
      </c>
      <c r="Z139" s="9">
        <v>575</v>
      </c>
      <c r="AA139" s="9">
        <v>460</v>
      </c>
      <c r="AB139" s="9">
        <v>460</v>
      </c>
      <c r="AC139" s="9">
        <v>575</v>
      </c>
      <c r="AD139" s="9">
        <v>460</v>
      </c>
      <c r="AF139" s="6">
        <v>0</v>
      </c>
      <c r="AG139" s="6">
        <v>0</v>
      </c>
      <c r="AH139" s="6">
        <v>0</v>
      </c>
      <c r="AI139" s="6">
        <v>0</v>
      </c>
      <c r="AJ139" s="6">
        <v>7410.5999999999995</v>
      </c>
      <c r="AK139" s="6">
        <v>9263.25</v>
      </c>
      <c r="AL139" s="6">
        <v>7410.5999999999995</v>
      </c>
      <c r="AM139" s="6">
        <v>9263.25</v>
      </c>
      <c r="AN139" s="6">
        <v>7410.5999999999995</v>
      </c>
      <c r="AO139" s="6">
        <v>7410.5999999999995</v>
      </c>
      <c r="AP139" s="6">
        <v>9263.25</v>
      </c>
      <c r="AQ139" s="6">
        <v>7410.5999999999995</v>
      </c>
      <c r="AR139" s="6">
        <v>7410.5999999999995</v>
      </c>
      <c r="AS139" s="6">
        <v>9263.25</v>
      </c>
      <c r="AT139" s="6">
        <v>7410.5999999999995</v>
      </c>
      <c r="AU139" s="6">
        <v>7410.5999999999995</v>
      </c>
      <c r="AV139" s="6">
        <v>9263.25</v>
      </c>
      <c r="AW139" s="6">
        <v>7410.5999999999995</v>
      </c>
      <c r="AX139" s="49" t="s">
        <v>631</v>
      </c>
      <c r="AY139" s="51"/>
      <c r="AZ139" s="51"/>
      <c r="BA139" s="51"/>
      <c r="BB139" s="51"/>
      <c r="BC139" s="51"/>
      <c r="BD139" s="51"/>
      <c r="BE139" s="51"/>
      <c r="BF139" s="51"/>
      <c r="BG139" s="51"/>
      <c r="BH139" s="51" t="s">
        <v>631</v>
      </c>
      <c r="BI139" s="51"/>
      <c r="BJ139" s="51"/>
      <c r="BK139" s="84" t="s">
        <v>631</v>
      </c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 t="s">
        <v>631</v>
      </c>
      <c r="CH139" s="51" t="s">
        <v>631</v>
      </c>
      <c r="CI139" s="76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</row>
    <row r="140" spans="1:119" hidden="1" x14ac:dyDescent="0.3">
      <c r="A140" t="s">
        <v>7</v>
      </c>
      <c r="B140" s="4" t="s">
        <v>126</v>
      </c>
      <c r="C140" s="4" t="s">
        <v>282</v>
      </c>
      <c r="D140" s="4" t="s">
        <v>293</v>
      </c>
      <c r="E140" s="4" t="s">
        <v>294</v>
      </c>
      <c r="F140" s="12">
        <v>5737.48</v>
      </c>
      <c r="G140" s="34">
        <f t="shared" si="13"/>
        <v>0</v>
      </c>
      <c r="H140" s="28">
        <f t="shared" si="14"/>
        <v>0</v>
      </c>
      <c r="I140" s="28">
        <f t="shared" si="15"/>
        <v>0</v>
      </c>
      <c r="J140" s="26">
        <f t="shared" si="16"/>
        <v>0</v>
      </c>
      <c r="K140" s="24">
        <f t="shared" si="17"/>
        <v>0</v>
      </c>
      <c r="L140" s="31">
        <f t="shared" si="18"/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4"/>
      <c r="AY140" s="4"/>
      <c r="CI140" s="74">
        <v>2</v>
      </c>
    </row>
    <row r="141" spans="1:119" hidden="1" x14ac:dyDescent="0.3">
      <c r="A141" t="s">
        <v>7</v>
      </c>
      <c r="B141" s="4" t="s">
        <v>126</v>
      </c>
      <c r="C141" s="4" t="s">
        <v>295</v>
      </c>
      <c r="D141" s="4" t="s">
        <v>296</v>
      </c>
      <c r="E141" s="4" t="s">
        <v>297</v>
      </c>
      <c r="F141" s="12">
        <v>295.88</v>
      </c>
      <c r="G141" s="34">
        <f t="shared" si="13"/>
        <v>0</v>
      </c>
      <c r="H141" s="28">
        <f t="shared" si="14"/>
        <v>0</v>
      </c>
      <c r="I141" s="28">
        <f t="shared" si="15"/>
        <v>0</v>
      </c>
      <c r="J141" s="26">
        <f t="shared" si="16"/>
        <v>0</v>
      </c>
      <c r="K141" s="24">
        <f t="shared" si="17"/>
        <v>0</v>
      </c>
      <c r="L141" s="31">
        <f t="shared" si="18"/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4"/>
      <c r="AY141" s="4"/>
      <c r="CI141" s="74">
        <v>13</v>
      </c>
    </row>
    <row r="142" spans="1:119" hidden="1" x14ac:dyDescent="0.3">
      <c r="A142" t="s">
        <v>7</v>
      </c>
      <c r="B142" s="4" t="s">
        <v>126</v>
      </c>
      <c r="C142" s="4" t="s">
        <v>298</v>
      </c>
      <c r="D142" s="4" t="s">
        <v>299</v>
      </c>
      <c r="E142" s="4" t="s">
        <v>300</v>
      </c>
      <c r="F142" s="12">
        <v>12.15</v>
      </c>
      <c r="G142" s="34">
        <f t="shared" si="13"/>
        <v>0</v>
      </c>
      <c r="H142" s="28">
        <f t="shared" si="14"/>
        <v>0</v>
      </c>
      <c r="I142" s="28">
        <f t="shared" si="15"/>
        <v>0</v>
      </c>
      <c r="J142" s="26">
        <f t="shared" si="16"/>
        <v>0</v>
      </c>
      <c r="K142" s="24">
        <f t="shared" si="17"/>
        <v>0</v>
      </c>
      <c r="L142" s="31">
        <f t="shared" si="18"/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4"/>
      <c r="AY142" s="4"/>
      <c r="CI142" s="74">
        <v>98</v>
      </c>
    </row>
    <row r="143" spans="1:119" hidden="1" x14ac:dyDescent="0.3">
      <c r="A143" t="s">
        <v>7</v>
      </c>
      <c r="B143" s="4" t="s">
        <v>126</v>
      </c>
      <c r="C143" s="4" t="s">
        <v>298</v>
      </c>
      <c r="D143" s="4" t="s">
        <v>301</v>
      </c>
      <c r="E143" s="4" t="s">
        <v>302</v>
      </c>
      <c r="F143" s="12">
        <v>14.06</v>
      </c>
      <c r="G143" s="34">
        <f t="shared" si="13"/>
        <v>0</v>
      </c>
      <c r="H143" s="28">
        <f t="shared" si="14"/>
        <v>0</v>
      </c>
      <c r="I143" s="28">
        <f t="shared" si="15"/>
        <v>0</v>
      </c>
      <c r="J143" s="26">
        <f t="shared" si="16"/>
        <v>0</v>
      </c>
      <c r="K143" s="24">
        <f t="shared" si="17"/>
        <v>0</v>
      </c>
      <c r="L143" s="31">
        <f t="shared" si="18"/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4"/>
      <c r="AY143" s="4"/>
      <c r="CI143" s="74">
        <v>98</v>
      </c>
    </row>
    <row r="144" spans="1:119" hidden="1" x14ac:dyDescent="0.3">
      <c r="A144" t="s">
        <v>7</v>
      </c>
      <c r="B144" s="4" t="s">
        <v>126</v>
      </c>
      <c r="C144" s="4" t="s">
        <v>298</v>
      </c>
      <c r="D144" s="4" t="s">
        <v>303</v>
      </c>
      <c r="E144" s="4" t="s">
        <v>304</v>
      </c>
      <c r="F144" s="12">
        <v>5.29</v>
      </c>
      <c r="G144" s="34">
        <f t="shared" si="13"/>
        <v>0</v>
      </c>
      <c r="H144" s="28">
        <f t="shared" si="14"/>
        <v>0</v>
      </c>
      <c r="I144" s="28">
        <f t="shared" si="15"/>
        <v>0</v>
      </c>
      <c r="J144" s="26">
        <f t="shared" si="16"/>
        <v>0</v>
      </c>
      <c r="K144" s="24">
        <f t="shared" si="17"/>
        <v>0</v>
      </c>
      <c r="L144" s="31">
        <f t="shared" si="18"/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4"/>
      <c r="AY144" s="4"/>
      <c r="CI144" s="74">
        <v>115</v>
      </c>
    </row>
    <row r="145" spans="1:119" hidden="1" x14ac:dyDescent="0.3">
      <c r="A145" t="s">
        <v>7</v>
      </c>
      <c r="B145" s="4" t="s">
        <v>126</v>
      </c>
      <c r="C145" s="4" t="s">
        <v>298</v>
      </c>
      <c r="D145" s="4" t="s">
        <v>305</v>
      </c>
      <c r="E145" s="4" t="s">
        <v>306</v>
      </c>
      <c r="F145" s="12">
        <v>6.21</v>
      </c>
      <c r="G145" s="34">
        <f t="shared" si="13"/>
        <v>310.5</v>
      </c>
      <c r="H145" s="28">
        <f t="shared" si="14"/>
        <v>50</v>
      </c>
      <c r="I145" s="28">
        <f t="shared" si="15"/>
        <v>5</v>
      </c>
      <c r="J145" s="26">
        <f t="shared" si="16"/>
        <v>0</v>
      </c>
      <c r="K145" s="24">
        <f t="shared" si="17"/>
        <v>0</v>
      </c>
      <c r="L145" s="31">
        <f t="shared" si="18"/>
        <v>0</v>
      </c>
      <c r="M145" s="9">
        <v>0</v>
      </c>
      <c r="N145" s="9">
        <v>50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F145" s="6">
        <v>0</v>
      </c>
      <c r="AG145" s="6">
        <v>310.5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49"/>
      <c r="AY145" s="51"/>
      <c r="AZ145" s="51" t="s">
        <v>631</v>
      </c>
      <c r="BA145" s="51"/>
      <c r="BB145" s="51"/>
      <c r="BC145" s="51"/>
      <c r="BD145" s="51"/>
      <c r="BE145" s="51"/>
      <c r="BF145" s="51"/>
      <c r="BG145" s="51"/>
      <c r="BH145" s="51" t="s">
        <v>631</v>
      </c>
      <c r="BI145" s="51"/>
      <c r="BJ145" s="51" t="s">
        <v>631</v>
      </c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 t="s">
        <v>631</v>
      </c>
      <c r="CH145" s="85" t="s">
        <v>631</v>
      </c>
      <c r="CI145" s="76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</row>
    <row r="146" spans="1:119" hidden="1" x14ac:dyDescent="0.3">
      <c r="A146" t="s">
        <v>7</v>
      </c>
      <c r="B146" s="4" t="s">
        <v>126</v>
      </c>
      <c r="C146" s="4" t="s">
        <v>307</v>
      </c>
      <c r="D146" s="4" t="s">
        <v>308</v>
      </c>
      <c r="E146" s="4" t="s">
        <v>309</v>
      </c>
      <c r="F146" s="12">
        <v>9689.93</v>
      </c>
      <c r="G146" s="34">
        <f t="shared" si="13"/>
        <v>4360468.5</v>
      </c>
      <c r="H146" s="28">
        <f t="shared" si="14"/>
        <v>450</v>
      </c>
      <c r="I146" s="28">
        <f t="shared" si="15"/>
        <v>38</v>
      </c>
      <c r="J146" s="26">
        <f t="shared" si="16"/>
        <v>0</v>
      </c>
      <c r="K146" s="24">
        <f t="shared" si="17"/>
        <v>0</v>
      </c>
      <c r="L146" s="31">
        <f t="shared" si="18"/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200</v>
      </c>
      <c r="W146" s="9">
        <v>200</v>
      </c>
      <c r="X146" s="9">
        <v>50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1839943.9999999998</v>
      </c>
      <c r="AP146" s="6">
        <v>1839943.9999999998</v>
      </c>
      <c r="AQ146" s="6">
        <v>459985.99999999994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49" t="s">
        <v>631</v>
      </c>
      <c r="AY146" s="51" t="s">
        <v>631</v>
      </c>
      <c r="AZ146" s="51" t="s">
        <v>631</v>
      </c>
      <c r="BA146" s="51"/>
      <c r="BB146" s="51"/>
      <c r="BC146" s="51"/>
      <c r="BD146" s="51"/>
      <c r="BE146" s="51"/>
      <c r="BF146" s="51" t="s">
        <v>631</v>
      </c>
      <c r="BG146" s="51"/>
      <c r="BH146" s="51" t="s">
        <v>631</v>
      </c>
      <c r="BI146" s="51"/>
      <c r="BJ146" s="51" t="s">
        <v>631</v>
      </c>
      <c r="BK146" s="84" t="s">
        <v>631</v>
      </c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 t="s">
        <v>631</v>
      </c>
      <c r="BY146" s="51"/>
      <c r="BZ146" s="51"/>
      <c r="CA146" s="51"/>
      <c r="CB146" s="51"/>
      <c r="CC146" s="51"/>
      <c r="CD146" s="51"/>
      <c r="CE146" s="51"/>
      <c r="CF146" s="51"/>
      <c r="CG146" s="51" t="s">
        <v>631</v>
      </c>
      <c r="CH146" s="85" t="s">
        <v>631</v>
      </c>
      <c r="CI146" s="76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</row>
    <row r="147" spans="1:119" hidden="1" x14ac:dyDescent="0.3">
      <c r="A147" t="s">
        <v>7</v>
      </c>
      <c r="B147" s="4" t="s">
        <v>126</v>
      </c>
      <c r="C147" s="4" t="s">
        <v>310</v>
      </c>
      <c r="D147" s="4" t="s">
        <v>311</v>
      </c>
      <c r="E147" s="4" t="s">
        <v>312</v>
      </c>
      <c r="F147" s="12">
        <v>13.08</v>
      </c>
      <c r="G147" s="34">
        <f t="shared" si="13"/>
        <v>6121.44</v>
      </c>
      <c r="H147" s="28">
        <f t="shared" si="14"/>
        <v>468</v>
      </c>
      <c r="I147" s="28">
        <f t="shared" si="15"/>
        <v>39</v>
      </c>
      <c r="J147" s="26">
        <f t="shared" si="16"/>
        <v>3453.12</v>
      </c>
      <c r="K147" s="24">
        <f t="shared" si="17"/>
        <v>264</v>
      </c>
      <c r="L147" s="31">
        <f t="shared" si="18"/>
        <v>53</v>
      </c>
      <c r="M147" s="9">
        <v>0</v>
      </c>
      <c r="N147" s="9">
        <v>0</v>
      </c>
      <c r="O147" s="9">
        <v>0</v>
      </c>
      <c r="P147" s="9">
        <v>0</v>
      </c>
      <c r="Q147" s="9">
        <v>48</v>
      </c>
      <c r="R147" s="9">
        <v>60</v>
      </c>
      <c r="S147" s="9">
        <v>48</v>
      </c>
      <c r="T147" s="9">
        <v>60</v>
      </c>
      <c r="U147" s="9">
        <v>48</v>
      </c>
      <c r="V147" s="9">
        <v>48</v>
      </c>
      <c r="W147" s="9">
        <v>60</v>
      </c>
      <c r="X147" s="9">
        <v>48</v>
      </c>
      <c r="Y147" s="9">
        <v>48</v>
      </c>
      <c r="Z147" s="9">
        <v>60</v>
      </c>
      <c r="AA147" s="9">
        <v>48</v>
      </c>
      <c r="AB147" s="9">
        <v>48</v>
      </c>
      <c r="AC147" s="9">
        <v>60</v>
      </c>
      <c r="AD147" s="9">
        <v>48</v>
      </c>
      <c r="AF147" s="6">
        <v>0</v>
      </c>
      <c r="AG147" s="6">
        <v>0</v>
      </c>
      <c r="AH147" s="6">
        <v>0</v>
      </c>
      <c r="AI147" s="6">
        <v>0</v>
      </c>
      <c r="AJ147" s="6">
        <v>627.84</v>
      </c>
      <c r="AK147" s="6">
        <v>784.8</v>
      </c>
      <c r="AL147" s="6">
        <v>627.84</v>
      </c>
      <c r="AM147" s="6">
        <v>784.8</v>
      </c>
      <c r="AN147" s="6">
        <v>627.84</v>
      </c>
      <c r="AO147" s="6">
        <v>627.84</v>
      </c>
      <c r="AP147" s="6">
        <v>784.8</v>
      </c>
      <c r="AQ147" s="6">
        <v>627.84</v>
      </c>
      <c r="AR147" s="6">
        <v>627.84</v>
      </c>
      <c r="AS147" s="6">
        <v>784.8</v>
      </c>
      <c r="AT147" s="6">
        <v>627.84</v>
      </c>
      <c r="AU147" s="6">
        <v>627.84</v>
      </c>
      <c r="AV147" s="6">
        <v>784.8</v>
      </c>
      <c r="AW147" s="6">
        <v>627.84</v>
      </c>
      <c r="AX147" s="49" t="s">
        <v>631</v>
      </c>
      <c r="AY147" s="51"/>
      <c r="AZ147" s="51"/>
      <c r="BA147" s="51"/>
      <c r="BB147" s="51"/>
      <c r="BC147" s="51"/>
      <c r="BD147" s="51"/>
      <c r="BE147" s="51"/>
      <c r="BF147" s="51"/>
      <c r="BG147" s="51"/>
      <c r="BH147" s="51" t="s">
        <v>631</v>
      </c>
      <c r="BI147" s="51"/>
      <c r="BJ147" s="51" t="s">
        <v>631</v>
      </c>
      <c r="BK147" s="84" t="s">
        <v>631</v>
      </c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85" t="s">
        <v>631</v>
      </c>
      <c r="CI147" s="76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</row>
    <row r="148" spans="1:119" hidden="1" x14ac:dyDescent="0.3">
      <c r="A148" t="s">
        <v>7</v>
      </c>
      <c r="B148" s="4" t="s">
        <v>126</v>
      </c>
      <c r="C148" s="4" t="s">
        <v>310</v>
      </c>
      <c r="D148" s="4" t="s">
        <v>313</v>
      </c>
      <c r="E148" s="4" t="s">
        <v>314</v>
      </c>
      <c r="F148" s="12">
        <v>27.5</v>
      </c>
      <c r="G148" s="34">
        <f t="shared" si="13"/>
        <v>16830</v>
      </c>
      <c r="H148" s="28">
        <f t="shared" si="14"/>
        <v>612</v>
      </c>
      <c r="I148" s="28">
        <f t="shared" si="15"/>
        <v>51</v>
      </c>
      <c r="J148" s="26">
        <f t="shared" si="16"/>
        <v>7260</v>
      </c>
      <c r="K148" s="24">
        <f t="shared" si="17"/>
        <v>264</v>
      </c>
      <c r="L148" s="31">
        <f t="shared" si="18"/>
        <v>53</v>
      </c>
      <c r="M148" s="9">
        <v>0</v>
      </c>
      <c r="N148" s="9">
        <v>0</v>
      </c>
      <c r="O148" s="9">
        <v>0</v>
      </c>
      <c r="P148" s="9">
        <v>0</v>
      </c>
      <c r="Q148" s="9">
        <v>100</v>
      </c>
      <c r="R148" s="9">
        <v>100</v>
      </c>
      <c r="S148" s="9">
        <v>100</v>
      </c>
      <c r="T148" s="9">
        <v>60</v>
      </c>
      <c r="U148" s="9">
        <v>48</v>
      </c>
      <c r="V148" s="9">
        <v>48</v>
      </c>
      <c r="W148" s="9">
        <v>60</v>
      </c>
      <c r="X148" s="9">
        <v>48</v>
      </c>
      <c r="Y148" s="9">
        <v>48</v>
      </c>
      <c r="Z148" s="9">
        <v>60</v>
      </c>
      <c r="AA148" s="9">
        <v>48</v>
      </c>
      <c r="AB148" s="9">
        <v>48</v>
      </c>
      <c r="AC148" s="9">
        <v>60</v>
      </c>
      <c r="AD148" s="9">
        <v>48</v>
      </c>
      <c r="AF148" s="6">
        <v>0</v>
      </c>
      <c r="AG148" s="6">
        <v>0</v>
      </c>
      <c r="AH148" s="6">
        <v>0</v>
      </c>
      <c r="AI148" s="6">
        <v>0</v>
      </c>
      <c r="AJ148" s="6">
        <v>2600</v>
      </c>
      <c r="AK148" s="6">
        <v>2750</v>
      </c>
      <c r="AL148" s="6">
        <v>2750</v>
      </c>
      <c r="AM148" s="6">
        <v>1560</v>
      </c>
      <c r="AN148" s="6">
        <v>1248</v>
      </c>
      <c r="AO148" s="6">
        <v>1248</v>
      </c>
      <c r="AP148" s="6">
        <v>1560</v>
      </c>
      <c r="AQ148" s="6">
        <v>1248</v>
      </c>
      <c r="AR148" s="6">
        <v>1248</v>
      </c>
      <c r="AS148" s="6">
        <v>1560</v>
      </c>
      <c r="AT148" s="6">
        <v>1248</v>
      </c>
      <c r="AU148" s="6">
        <v>1248</v>
      </c>
      <c r="AV148" s="6">
        <v>1560</v>
      </c>
      <c r="AW148" s="6">
        <v>1248</v>
      </c>
      <c r="AX148" s="49" t="s">
        <v>631</v>
      </c>
      <c r="AY148" s="51"/>
      <c r="AZ148" s="51"/>
      <c r="BA148" s="51"/>
      <c r="BB148" s="51"/>
      <c r="BC148" s="51"/>
      <c r="BD148" s="51"/>
      <c r="BE148" s="51"/>
      <c r="BF148" s="51"/>
      <c r="BG148" s="51"/>
      <c r="BH148" s="51" t="s">
        <v>631</v>
      </c>
      <c r="BI148" s="51"/>
      <c r="BJ148" s="51" t="s">
        <v>631</v>
      </c>
      <c r="BK148" s="84" t="s">
        <v>631</v>
      </c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 t="s">
        <v>631</v>
      </c>
      <c r="CH148" s="85" t="s">
        <v>631</v>
      </c>
      <c r="CI148" s="76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</row>
    <row r="149" spans="1:119" hidden="1" x14ac:dyDescent="0.3">
      <c r="A149" t="s">
        <v>7</v>
      </c>
      <c r="B149" s="4" t="s">
        <v>126</v>
      </c>
      <c r="C149" s="4" t="s">
        <v>310</v>
      </c>
      <c r="D149" s="4" t="s">
        <v>315</v>
      </c>
      <c r="E149" s="4" t="s">
        <v>316</v>
      </c>
      <c r="F149" s="12">
        <v>17.510000000000002</v>
      </c>
      <c r="G149" s="34">
        <f t="shared" si="13"/>
        <v>9805.6</v>
      </c>
      <c r="H149" s="28">
        <f t="shared" si="14"/>
        <v>560</v>
      </c>
      <c r="I149" s="28">
        <f t="shared" si="15"/>
        <v>47</v>
      </c>
      <c r="J149" s="26">
        <f t="shared" si="16"/>
        <v>4622.6400000000003</v>
      </c>
      <c r="K149" s="24">
        <f t="shared" si="17"/>
        <v>264</v>
      </c>
      <c r="L149" s="31">
        <f t="shared" si="18"/>
        <v>53</v>
      </c>
      <c r="M149" s="9">
        <v>0</v>
      </c>
      <c r="N149" s="9">
        <v>0</v>
      </c>
      <c r="O149" s="9">
        <v>0</v>
      </c>
      <c r="P149" s="9">
        <v>0</v>
      </c>
      <c r="Q149" s="9">
        <v>100</v>
      </c>
      <c r="R149" s="9">
        <v>100</v>
      </c>
      <c r="S149" s="9">
        <v>48</v>
      </c>
      <c r="T149" s="9">
        <v>60</v>
      </c>
      <c r="U149" s="9">
        <v>48</v>
      </c>
      <c r="V149" s="9">
        <v>48</v>
      </c>
      <c r="W149" s="9">
        <v>60</v>
      </c>
      <c r="X149" s="9">
        <v>48</v>
      </c>
      <c r="Y149" s="9">
        <v>48</v>
      </c>
      <c r="Z149" s="9">
        <v>60</v>
      </c>
      <c r="AA149" s="9">
        <v>48</v>
      </c>
      <c r="AB149" s="9">
        <v>48</v>
      </c>
      <c r="AC149" s="9">
        <v>60</v>
      </c>
      <c r="AD149" s="9">
        <v>48</v>
      </c>
      <c r="AF149" s="6">
        <v>0</v>
      </c>
      <c r="AG149" s="6">
        <v>0</v>
      </c>
      <c r="AH149" s="6">
        <v>0</v>
      </c>
      <c r="AI149" s="6">
        <v>0</v>
      </c>
      <c r="AJ149" s="6">
        <v>1622</v>
      </c>
      <c r="AK149" s="6">
        <v>1751.0000000000002</v>
      </c>
      <c r="AL149" s="6">
        <v>840.48</v>
      </c>
      <c r="AM149" s="6">
        <v>973.19999999999993</v>
      </c>
      <c r="AN149" s="6">
        <v>778.56</v>
      </c>
      <c r="AO149" s="6">
        <v>778.56</v>
      </c>
      <c r="AP149" s="6">
        <v>973.19999999999993</v>
      </c>
      <c r="AQ149" s="6">
        <v>778.56</v>
      </c>
      <c r="AR149" s="6">
        <v>778.56</v>
      </c>
      <c r="AS149" s="6">
        <v>973.19999999999993</v>
      </c>
      <c r="AT149" s="6">
        <v>778.56</v>
      </c>
      <c r="AU149" s="6">
        <v>778.56</v>
      </c>
      <c r="AV149" s="6">
        <v>973.19999999999993</v>
      </c>
      <c r="AW149" s="6">
        <v>778.56</v>
      </c>
      <c r="AX149" s="49"/>
      <c r="AY149" s="51" t="s">
        <v>631</v>
      </c>
      <c r="AZ149" s="51"/>
      <c r="BA149" s="51"/>
      <c r="BB149" s="51"/>
      <c r="BC149" s="51"/>
      <c r="BD149" s="51"/>
      <c r="BE149" s="51"/>
      <c r="BF149" s="51"/>
      <c r="BG149" s="51"/>
      <c r="BH149" s="51" t="s">
        <v>631</v>
      </c>
      <c r="BI149" s="51"/>
      <c r="BJ149" s="51" t="s">
        <v>631</v>
      </c>
      <c r="BK149" s="84" t="s">
        <v>631</v>
      </c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 t="s">
        <v>631</v>
      </c>
      <c r="CH149" s="85" t="s">
        <v>631</v>
      </c>
      <c r="CI149" s="76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</row>
    <row r="150" spans="1:119" hidden="1" x14ac:dyDescent="0.3">
      <c r="A150" t="s">
        <v>7</v>
      </c>
      <c r="B150" s="4" t="s">
        <v>126</v>
      </c>
      <c r="C150" s="4" t="s">
        <v>317</v>
      </c>
      <c r="D150" s="4" t="s">
        <v>318</v>
      </c>
      <c r="E150" s="4" t="s">
        <v>253</v>
      </c>
      <c r="F150" s="12">
        <v>13.63</v>
      </c>
      <c r="G150" s="34">
        <f t="shared" si="13"/>
        <v>0</v>
      </c>
      <c r="H150" s="28">
        <f t="shared" si="14"/>
        <v>0</v>
      </c>
      <c r="I150" s="28">
        <f t="shared" si="15"/>
        <v>0</v>
      </c>
      <c r="J150" s="26">
        <f t="shared" si="16"/>
        <v>0</v>
      </c>
      <c r="K150" s="24">
        <f t="shared" si="17"/>
        <v>0</v>
      </c>
      <c r="L150" s="31">
        <f t="shared" si="18"/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4"/>
      <c r="AY150" s="4"/>
      <c r="CI150" s="74" t="e">
        <v>#N/A</v>
      </c>
    </row>
    <row r="151" spans="1:119" hidden="1" x14ac:dyDescent="0.3">
      <c r="A151" t="s">
        <v>7</v>
      </c>
      <c r="B151" s="4" t="s">
        <v>126</v>
      </c>
      <c r="C151" s="4" t="s">
        <v>319</v>
      </c>
      <c r="D151" s="4" t="s">
        <v>320</v>
      </c>
      <c r="E151" s="4" t="s">
        <v>321</v>
      </c>
      <c r="F151" s="12">
        <v>5798.97</v>
      </c>
      <c r="G151" s="34">
        <f t="shared" si="13"/>
        <v>1067010.48</v>
      </c>
      <c r="H151" s="28">
        <f t="shared" si="14"/>
        <v>184</v>
      </c>
      <c r="I151" s="28">
        <f t="shared" si="15"/>
        <v>16</v>
      </c>
      <c r="J151" s="26">
        <f t="shared" si="16"/>
        <v>2934278.8200000003</v>
      </c>
      <c r="K151" s="24">
        <f t="shared" si="17"/>
        <v>506</v>
      </c>
      <c r="L151" s="31">
        <f t="shared" si="18"/>
        <v>102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92</v>
      </c>
      <c r="Y151" s="9">
        <v>92</v>
      </c>
      <c r="Z151" s="9">
        <v>115</v>
      </c>
      <c r="AA151" s="9">
        <v>92</v>
      </c>
      <c r="AB151" s="9">
        <v>92</v>
      </c>
      <c r="AC151" s="9">
        <v>115</v>
      </c>
      <c r="AD151" s="9">
        <v>92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533505.24</v>
      </c>
      <c r="AR151" s="6">
        <v>533505.24</v>
      </c>
      <c r="AS151" s="6">
        <v>666881.55000000005</v>
      </c>
      <c r="AT151" s="6">
        <v>533505.24</v>
      </c>
      <c r="AU151" s="6">
        <v>533505.24</v>
      </c>
      <c r="AV151" s="6">
        <v>666881.55000000005</v>
      </c>
      <c r="AW151" s="6">
        <v>533505.24</v>
      </c>
      <c r="AX151" s="49" t="s">
        <v>631</v>
      </c>
      <c r="AY151" s="51" t="s">
        <v>631</v>
      </c>
      <c r="AZ151" s="51" t="s">
        <v>631</v>
      </c>
      <c r="BA151" s="51"/>
      <c r="BB151" s="51" t="s">
        <v>631</v>
      </c>
      <c r="BC151" s="51"/>
      <c r="BD151" s="51"/>
      <c r="BE151" s="51"/>
      <c r="BF151" s="51"/>
      <c r="BG151" s="51"/>
      <c r="BH151" s="51" t="s">
        <v>631</v>
      </c>
      <c r="BI151" s="51"/>
      <c r="BJ151" s="51" t="s">
        <v>631</v>
      </c>
      <c r="BK151" s="84" t="s">
        <v>631</v>
      </c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 t="s">
        <v>631</v>
      </c>
      <c r="BY151" s="51"/>
      <c r="BZ151" s="51"/>
      <c r="CA151" s="51"/>
      <c r="CB151" s="51"/>
      <c r="CC151" s="51"/>
      <c r="CD151" s="51"/>
      <c r="CE151" s="51"/>
      <c r="CF151" s="51"/>
      <c r="CG151" s="51" t="s">
        <v>631</v>
      </c>
      <c r="CH151" s="85" t="s">
        <v>631</v>
      </c>
      <c r="CI151" s="76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</row>
    <row r="152" spans="1:119" hidden="1" x14ac:dyDescent="0.3">
      <c r="A152" t="s">
        <v>7</v>
      </c>
      <c r="B152" s="4" t="s">
        <v>126</v>
      </c>
      <c r="C152" s="4" t="s">
        <v>322</v>
      </c>
      <c r="D152" s="4" t="s">
        <v>323</v>
      </c>
      <c r="E152" s="4" t="s">
        <v>324</v>
      </c>
      <c r="F152" s="12">
        <v>404.46</v>
      </c>
      <c r="G152" s="34">
        <f t="shared" si="13"/>
        <v>0</v>
      </c>
      <c r="H152" s="28">
        <f t="shared" si="14"/>
        <v>0</v>
      </c>
      <c r="I152" s="28">
        <f t="shared" si="15"/>
        <v>0</v>
      </c>
      <c r="J152" s="26">
        <f t="shared" si="16"/>
        <v>0</v>
      </c>
      <c r="K152" s="24">
        <f t="shared" si="17"/>
        <v>0</v>
      </c>
      <c r="L152" s="31">
        <f t="shared" si="18"/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4"/>
      <c r="AY152" s="4"/>
      <c r="CI152" s="74">
        <v>22</v>
      </c>
    </row>
    <row r="153" spans="1:119" hidden="1" x14ac:dyDescent="0.3">
      <c r="A153" t="s">
        <v>7</v>
      </c>
      <c r="B153" s="4" t="s">
        <v>126</v>
      </c>
      <c r="C153" s="4" t="s">
        <v>322</v>
      </c>
      <c r="D153" s="4" t="s">
        <v>325</v>
      </c>
      <c r="E153" s="4" t="s">
        <v>326</v>
      </c>
      <c r="F153" s="12">
        <v>10.84</v>
      </c>
      <c r="G153" s="34">
        <f t="shared" si="13"/>
        <v>0</v>
      </c>
      <c r="H153" s="28">
        <f t="shared" si="14"/>
        <v>0</v>
      </c>
      <c r="I153" s="28">
        <f t="shared" si="15"/>
        <v>0</v>
      </c>
      <c r="J153" s="26">
        <f t="shared" si="16"/>
        <v>0</v>
      </c>
      <c r="K153" s="24">
        <f t="shared" si="17"/>
        <v>0</v>
      </c>
      <c r="L153" s="31">
        <f t="shared" si="18"/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4"/>
      <c r="AY153" s="4"/>
      <c r="CI153" s="74" t="e">
        <v>#N/A</v>
      </c>
    </row>
    <row r="154" spans="1:119" hidden="1" x14ac:dyDescent="0.3">
      <c r="A154" t="s">
        <v>7</v>
      </c>
      <c r="B154" s="4" t="s">
        <v>126</v>
      </c>
      <c r="C154" s="4" t="s">
        <v>322</v>
      </c>
      <c r="D154" s="4" t="s">
        <v>327</v>
      </c>
      <c r="E154" s="4" t="s">
        <v>160</v>
      </c>
      <c r="F154" s="12">
        <v>18.239999999999998</v>
      </c>
      <c r="G154" s="34">
        <f t="shared" si="13"/>
        <v>0</v>
      </c>
      <c r="H154" s="28">
        <f t="shared" si="14"/>
        <v>0</v>
      </c>
      <c r="I154" s="28">
        <f t="shared" si="15"/>
        <v>0</v>
      </c>
      <c r="J154" s="26">
        <f t="shared" si="16"/>
        <v>0</v>
      </c>
      <c r="K154" s="24">
        <f t="shared" si="17"/>
        <v>0</v>
      </c>
      <c r="L154" s="31">
        <f t="shared" si="18"/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4"/>
      <c r="AY154" s="4"/>
      <c r="CI154" s="74" t="e">
        <v>#N/A</v>
      </c>
    </row>
    <row r="155" spans="1:119" hidden="1" x14ac:dyDescent="0.3">
      <c r="A155" t="s">
        <v>7</v>
      </c>
      <c r="B155" s="4" t="s">
        <v>126</v>
      </c>
      <c r="C155" s="4" t="s">
        <v>322</v>
      </c>
      <c r="D155" s="4" t="s">
        <v>328</v>
      </c>
      <c r="E155" s="4" t="s">
        <v>329</v>
      </c>
      <c r="F155" s="12">
        <v>483</v>
      </c>
      <c r="G155" s="34">
        <f t="shared" si="13"/>
        <v>0</v>
      </c>
      <c r="H155" s="28">
        <f t="shared" si="14"/>
        <v>0</v>
      </c>
      <c r="I155" s="28">
        <f t="shared" si="15"/>
        <v>0</v>
      </c>
      <c r="J155" s="26">
        <f t="shared" si="16"/>
        <v>0</v>
      </c>
      <c r="K155" s="24">
        <f t="shared" si="17"/>
        <v>0</v>
      </c>
      <c r="L155" s="31">
        <f t="shared" si="18"/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4"/>
      <c r="AY155" s="4"/>
      <c r="CI155" s="74" t="e">
        <v>#N/A</v>
      </c>
    </row>
    <row r="156" spans="1:119" hidden="1" x14ac:dyDescent="0.3">
      <c r="A156" t="s">
        <v>7</v>
      </c>
      <c r="B156" s="4" t="s">
        <v>126</v>
      </c>
      <c r="C156" s="4" t="s">
        <v>322</v>
      </c>
      <c r="D156" s="4" t="s">
        <v>330</v>
      </c>
      <c r="E156" s="4" t="s">
        <v>331</v>
      </c>
      <c r="F156" s="12">
        <v>662.51</v>
      </c>
      <c r="G156" s="34">
        <f t="shared" si="13"/>
        <v>0</v>
      </c>
      <c r="H156" s="28">
        <f t="shared" si="14"/>
        <v>0</v>
      </c>
      <c r="I156" s="28">
        <f t="shared" si="15"/>
        <v>0</v>
      </c>
      <c r="J156" s="26">
        <f t="shared" si="16"/>
        <v>0</v>
      </c>
      <c r="K156" s="24">
        <f t="shared" si="17"/>
        <v>0</v>
      </c>
      <c r="L156" s="31">
        <f t="shared" si="18"/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4"/>
      <c r="AY156" s="4"/>
      <c r="CI156" s="74">
        <v>22</v>
      </c>
    </row>
    <row r="157" spans="1:119" hidden="1" x14ac:dyDescent="0.3">
      <c r="A157" t="s">
        <v>7</v>
      </c>
      <c r="B157" s="4" t="s">
        <v>126</v>
      </c>
      <c r="C157" s="4" t="s">
        <v>322</v>
      </c>
      <c r="D157" s="4" t="s">
        <v>332</v>
      </c>
      <c r="E157" s="4" t="s">
        <v>333</v>
      </c>
      <c r="F157" s="12">
        <v>17.13</v>
      </c>
      <c r="G157" s="34">
        <f t="shared" si="13"/>
        <v>0</v>
      </c>
      <c r="H157" s="28">
        <f t="shared" si="14"/>
        <v>0</v>
      </c>
      <c r="I157" s="28">
        <f t="shared" si="15"/>
        <v>0</v>
      </c>
      <c r="J157" s="26">
        <f t="shared" si="16"/>
        <v>0</v>
      </c>
      <c r="K157" s="24">
        <f t="shared" si="17"/>
        <v>0</v>
      </c>
      <c r="L157" s="31">
        <f t="shared" si="18"/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4"/>
      <c r="AY157" s="4"/>
      <c r="CI157" s="74" t="e">
        <v>#N/A</v>
      </c>
    </row>
    <row r="158" spans="1:119" hidden="1" x14ac:dyDescent="0.3">
      <c r="A158" t="s">
        <v>7</v>
      </c>
      <c r="B158" s="4" t="s">
        <v>126</v>
      </c>
      <c r="C158" s="4" t="s">
        <v>334</v>
      </c>
      <c r="D158" s="4" t="s">
        <v>335</v>
      </c>
      <c r="E158" s="4" t="s">
        <v>336</v>
      </c>
      <c r="F158" s="12">
        <v>9.5500000000000007</v>
      </c>
      <c r="G158" s="34">
        <f t="shared" si="13"/>
        <v>4469.4000000000005</v>
      </c>
      <c r="H158" s="28">
        <f t="shared" si="14"/>
        <v>468</v>
      </c>
      <c r="I158" s="28">
        <f t="shared" si="15"/>
        <v>39</v>
      </c>
      <c r="J158" s="26">
        <f t="shared" si="16"/>
        <v>2521.2000000000003</v>
      </c>
      <c r="K158" s="24">
        <f t="shared" si="17"/>
        <v>264</v>
      </c>
      <c r="L158" s="31">
        <f t="shared" si="18"/>
        <v>53</v>
      </c>
      <c r="M158" s="9">
        <v>0</v>
      </c>
      <c r="N158" s="9">
        <v>0</v>
      </c>
      <c r="O158" s="9">
        <v>0</v>
      </c>
      <c r="P158" s="9">
        <v>0</v>
      </c>
      <c r="Q158" s="9">
        <v>48</v>
      </c>
      <c r="R158" s="9">
        <v>60</v>
      </c>
      <c r="S158" s="9">
        <v>48</v>
      </c>
      <c r="T158" s="9">
        <v>60</v>
      </c>
      <c r="U158" s="9">
        <v>48</v>
      </c>
      <c r="V158" s="9">
        <v>48</v>
      </c>
      <c r="W158" s="9">
        <v>60</v>
      </c>
      <c r="X158" s="9">
        <v>48</v>
      </c>
      <c r="Y158" s="9">
        <v>48</v>
      </c>
      <c r="Z158" s="9">
        <v>60</v>
      </c>
      <c r="AA158" s="9">
        <v>48</v>
      </c>
      <c r="AB158" s="9">
        <v>48</v>
      </c>
      <c r="AC158" s="9">
        <v>60</v>
      </c>
      <c r="AD158" s="9">
        <v>48</v>
      </c>
      <c r="AF158" s="6">
        <v>0</v>
      </c>
      <c r="AG158" s="6">
        <v>0</v>
      </c>
      <c r="AH158" s="6">
        <v>0</v>
      </c>
      <c r="AI158" s="6">
        <v>0</v>
      </c>
      <c r="AJ158" s="6">
        <v>458.40000000000003</v>
      </c>
      <c r="AK158" s="6">
        <v>573</v>
      </c>
      <c r="AL158" s="6">
        <v>458.40000000000003</v>
      </c>
      <c r="AM158" s="6">
        <v>573</v>
      </c>
      <c r="AN158" s="6">
        <v>458.40000000000003</v>
      </c>
      <c r="AO158" s="6">
        <v>458.40000000000003</v>
      </c>
      <c r="AP158" s="6">
        <v>573</v>
      </c>
      <c r="AQ158" s="6">
        <v>458.40000000000003</v>
      </c>
      <c r="AR158" s="6">
        <v>458.40000000000003</v>
      </c>
      <c r="AS158" s="6">
        <v>573</v>
      </c>
      <c r="AT158" s="6">
        <v>458.40000000000003</v>
      </c>
      <c r="AU158" s="6">
        <v>458.40000000000003</v>
      </c>
      <c r="AV158" s="6">
        <v>573</v>
      </c>
      <c r="AW158" s="6">
        <v>458.40000000000003</v>
      </c>
      <c r="AX158" s="49" t="s">
        <v>631</v>
      </c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 t="s">
        <v>631</v>
      </c>
      <c r="BK158" s="84" t="s">
        <v>631</v>
      </c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 t="s">
        <v>631</v>
      </c>
      <c r="CH158" s="85" t="s">
        <v>631</v>
      </c>
      <c r="CI158" s="76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</row>
    <row r="159" spans="1:119" hidden="1" x14ac:dyDescent="0.3">
      <c r="A159" t="s">
        <v>7</v>
      </c>
      <c r="B159" s="4" t="s">
        <v>126</v>
      </c>
      <c r="C159" s="4" t="s">
        <v>334</v>
      </c>
      <c r="D159" s="4" t="s">
        <v>337</v>
      </c>
      <c r="E159" s="4" t="s">
        <v>338</v>
      </c>
      <c r="F159" s="12">
        <v>113.32</v>
      </c>
      <c r="G159" s="34">
        <f t="shared" si="13"/>
        <v>84990</v>
      </c>
      <c r="H159" s="28">
        <f t="shared" si="14"/>
        <v>750</v>
      </c>
      <c r="I159" s="28">
        <f t="shared" si="15"/>
        <v>63</v>
      </c>
      <c r="J159" s="26">
        <f t="shared" si="16"/>
        <v>0</v>
      </c>
      <c r="K159" s="24">
        <f t="shared" si="17"/>
        <v>0</v>
      </c>
      <c r="L159" s="31">
        <f t="shared" si="18"/>
        <v>0</v>
      </c>
      <c r="M159" s="9">
        <v>0</v>
      </c>
      <c r="N159" s="9">
        <v>150</v>
      </c>
      <c r="O159" s="9">
        <v>150</v>
      </c>
      <c r="P159" s="9">
        <v>0</v>
      </c>
      <c r="Q159" s="9">
        <v>150</v>
      </c>
      <c r="R159" s="9">
        <v>100</v>
      </c>
      <c r="S159" s="9">
        <v>100</v>
      </c>
      <c r="T159" s="9">
        <v>100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F159" s="6">
        <v>0</v>
      </c>
      <c r="AG159" s="6">
        <v>20445.000000000004</v>
      </c>
      <c r="AH159" s="6">
        <v>20445.000000000004</v>
      </c>
      <c r="AI159" s="6">
        <v>0</v>
      </c>
      <c r="AJ159" s="6">
        <v>16998</v>
      </c>
      <c r="AK159" s="6">
        <v>13630.000000000002</v>
      </c>
      <c r="AL159" s="6">
        <v>11332</v>
      </c>
      <c r="AM159" s="6">
        <v>11332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49" t="s">
        <v>631</v>
      </c>
      <c r="AY159" s="51"/>
      <c r="AZ159" s="51"/>
      <c r="BA159" s="51"/>
      <c r="BB159" s="51" t="s">
        <v>631</v>
      </c>
      <c r="BC159" s="51"/>
      <c r="BD159" s="51"/>
      <c r="BE159" s="51"/>
      <c r="BF159" s="51"/>
      <c r="BG159" s="51"/>
      <c r="BH159" s="51" t="s">
        <v>631</v>
      </c>
      <c r="BI159" s="51"/>
      <c r="BJ159" s="51" t="s">
        <v>631</v>
      </c>
      <c r="BK159" s="84" t="s">
        <v>631</v>
      </c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 t="s">
        <v>631</v>
      </c>
      <c r="CH159" s="85" t="s">
        <v>631</v>
      </c>
      <c r="CI159" s="76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/>
      <c r="DG159" s="51"/>
      <c r="DH159" s="51"/>
      <c r="DI159" s="51"/>
      <c r="DJ159" s="51"/>
      <c r="DK159" s="51"/>
      <c r="DL159" s="51"/>
      <c r="DM159" s="51"/>
      <c r="DN159" s="51"/>
      <c r="DO159" s="51"/>
    </row>
    <row r="160" spans="1:119" hidden="1" x14ac:dyDescent="0.3">
      <c r="A160" t="s">
        <v>7</v>
      </c>
      <c r="B160" s="4" t="s">
        <v>126</v>
      </c>
      <c r="C160" s="4" t="s">
        <v>339</v>
      </c>
      <c r="D160" s="4" t="s">
        <v>340</v>
      </c>
      <c r="E160" s="4" t="s">
        <v>341</v>
      </c>
      <c r="F160" s="12">
        <v>6.62</v>
      </c>
      <c r="G160" s="34">
        <f t="shared" si="13"/>
        <v>15186.28</v>
      </c>
      <c r="H160" s="28">
        <f t="shared" si="14"/>
        <v>2294</v>
      </c>
      <c r="I160" s="28">
        <f t="shared" si="15"/>
        <v>192</v>
      </c>
      <c r="J160" s="26">
        <f t="shared" si="16"/>
        <v>6699.4400000000005</v>
      </c>
      <c r="K160" s="24">
        <f t="shared" si="17"/>
        <v>1012</v>
      </c>
      <c r="L160" s="31">
        <f t="shared" si="18"/>
        <v>203</v>
      </c>
      <c r="M160" s="9">
        <v>500</v>
      </c>
      <c r="N160" s="9">
        <v>500</v>
      </c>
      <c r="O160" s="9">
        <v>0</v>
      </c>
      <c r="P160" s="9">
        <v>0</v>
      </c>
      <c r="Q160" s="9">
        <v>184</v>
      </c>
      <c r="R160" s="9">
        <v>230</v>
      </c>
      <c r="S160" s="9">
        <v>184</v>
      </c>
      <c r="T160" s="9">
        <v>230</v>
      </c>
      <c r="U160" s="9">
        <v>184</v>
      </c>
      <c r="V160" s="9">
        <v>184</v>
      </c>
      <c r="W160" s="9">
        <v>230</v>
      </c>
      <c r="X160" s="9">
        <v>184</v>
      </c>
      <c r="Y160" s="9">
        <v>184</v>
      </c>
      <c r="Z160" s="9">
        <v>230</v>
      </c>
      <c r="AA160" s="9">
        <v>184</v>
      </c>
      <c r="AB160" s="9">
        <v>184</v>
      </c>
      <c r="AC160" s="9">
        <v>230</v>
      </c>
      <c r="AD160" s="9">
        <v>184</v>
      </c>
      <c r="AF160" s="6">
        <v>3310</v>
      </c>
      <c r="AG160" s="6">
        <v>3440</v>
      </c>
      <c r="AH160" s="6">
        <v>0</v>
      </c>
      <c r="AI160" s="6">
        <v>0</v>
      </c>
      <c r="AJ160" s="6">
        <v>1218.08</v>
      </c>
      <c r="AK160" s="6">
        <v>1522.6000000000001</v>
      </c>
      <c r="AL160" s="6">
        <v>1218.08</v>
      </c>
      <c r="AM160" s="6">
        <v>1522.6000000000001</v>
      </c>
      <c r="AN160" s="6">
        <v>1218.08</v>
      </c>
      <c r="AO160" s="6">
        <v>1218.08</v>
      </c>
      <c r="AP160" s="6">
        <v>1522.6000000000001</v>
      </c>
      <c r="AQ160" s="6">
        <v>1218.08</v>
      </c>
      <c r="AR160" s="6">
        <v>1218.08</v>
      </c>
      <c r="AS160" s="6">
        <v>1522.6000000000001</v>
      </c>
      <c r="AT160" s="6">
        <v>1218.08</v>
      </c>
      <c r="AU160" s="6">
        <v>1218.08</v>
      </c>
      <c r="AV160" s="6">
        <v>1522.6000000000001</v>
      </c>
      <c r="AW160" s="6">
        <v>1218.08</v>
      </c>
      <c r="AX160" s="49" t="s">
        <v>631</v>
      </c>
      <c r="AY160" s="51"/>
      <c r="AZ160" s="51"/>
      <c r="BA160" s="51"/>
      <c r="BB160" s="51"/>
      <c r="BC160" s="51"/>
      <c r="BD160" s="51"/>
      <c r="BE160" s="51"/>
      <c r="BF160" s="51"/>
      <c r="BG160" s="51"/>
      <c r="BH160" s="51" t="s">
        <v>631</v>
      </c>
      <c r="BI160" s="51"/>
      <c r="BJ160" s="51"/>
      <c r="BK160" s="84" t="s">
        <v>631</v>
      </c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 t="s">
        <v>631</v>
      </c>
      <c r="CH160" s="85" t="s">
        <v>631</v>
      </c>
      <c r="CI160" s="76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</row>
    <row r="161" spans="1:119" hidden="1" x14ac:dyDescent="0.3">
      <c r="A161" t="s">
        <v>7</v>
      </c>
      <c r="B161" s="4" t="s">
        <v>126</v>
      </c>
      <c r="C161" s="4" t="s">
        <v>339</v>
      </c>
      <c r="D161" s="4" t="s">
        <v>342</v>
      </c>
      <c r="E161" s="4" t="s">
        <v>341</v>
      </c>
      <c r="F161" s="12">
        <v>3.9</v>
      </c>
      <c r="G161" s="34">
        <f t="shared" si="13"/>
        <v>10514.4</v>
      </c>
      <c r="H161" s="28">
        <f t="shared" si="14"/>
        <v>2696</v>
      </c>
      <c r="I161" s="28">
        <f t="shared" si="15"/>
        <v>225</v>
      </c>
      <c r="J161" s="26">
        <f t="shared" si="16"/>
        <v>3946.7999999999997</v>
      </c>
      <c r="K161" s="24">
        <f t="shared" si="17"/>
        <v>1012</v>
      </c>
      <c r="L161" s="31">
        <f t="shared" si="18"/>
        <v>203</v>
      </c>
      <c r="M161" s="9">
        <v>500</v>
      </c>
      <c r="N161" s="9">
        <v>0</v>
      </c>
      <c r="O161" s="9">
        <v>0</v>
      </c>
      <c r="P161" s="9">
        <v>0</v>
      </c>
      <c r="Q161" s="9">
        <v>500</v>
      </c>
      <c r="R161" s="9">
        <v>500</v>
      </c>
      <c r="S161" s="9">
        <v>500</v>
      </c>
      <c r="T161" s="9">
        <v>230</v>
      </c>
      <c r="U161" s="9">
        <v>184</v>
      </c>
      <c r="V161" s="9">
        <v>184</v>
      </c>
      <c r="W161" s="9">
        <v>230</v>
      </c>
      <c r="X161" s="9">
        <v>184</v>
      </c>
      <c r="Y161" s="9">
        <v>184</v>
      </c>
      <c r="Z161" s="9">
        <v>230</v>
      </c>
      <c r="AA161" s="9">
        <v>184</v>
      </c>
      <c r="AB161" s="9">
        <v>184</v>
      </c>
      <c r="AC161" s="9">
        <v>230</v>
      </c>
      <c r="AD161" s="9">
        <v>184</v>
      </c>
      <c r="AF161" s="6">
        <v>1885</v>
      </c>
      <c r="AG161" s="6">
        <v>0</v>
      </c>
      <c r="AH161" s="6">
        <v>0</v>
      </c>
      <c r="AI161" s="6">
        <v>0</v>
      </c>
      <c r="AJ161" s="6">
        <v>1885</v>
      </c>
      <c r="AK161" s="6">
        <v>1900</v>
      </c>
      <c r="AL161" s="6">
        <v>1900</v>
      </c>
      <c r="AM161" s="6">
        <v>867.1</v>
      </c>
      <c r="AN161" s="6">
        <v>693.68</v>
      </c>
      <c r="AO161" s="6">
        <v>693.68</v>
      </c>
      <c r="AP161" s="6">
        <v>867.1</v>
      </c>
      <c r="AQ161" s="6">
        <v>693.68</v>
      </c>
      <c r="AR161" s="6">
        <v>693.68</v>
      </c>
      <c r="AS161" s="6">
        <v>867.1</v>
      </c>
      <c r="AT161" s="6">
        <v>693.68</v>
      </c>
      <c r="AU161" s="6">
        <v>693.68</v>
      </c>
      <c r="AV161" s="6">
        <v>867.1</v>
      </c>
      <c r="AW161" s="6">
        <v>693.68</v>
      </c>
      <c r="AX161" s="49" t="s">
        <v>631</v>
      </c>
      <c r="AY161" s="51"/>
      <c r="AZ161" s="51"/>
      <c r="BA161" s="51"/>
      <c r="BB161" s="51"/>
      <c r="BC161" s="51"/>
      <c r="BD161" s="51"/>
      <c r="BE161" s="51"/>
      <c r="BF161" s="51"/>
      <c r="BG161" s="51"/>
      <c r="BH161" s="51" t="s">
        <v>631</v>
      </c>
      <c r="BI161" s="51"/>
      <c r="BJ161" s="51" t="s">
        <v>631</v>
      </c>
      <c r="BK161" s="84" t="s">
        <v>631</v>
      </c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 t="s">
        <v>631</v>
      </c>
      <c r="CH161" s="85" t="s">
        <v>631</v>
      </c>
      <c r="CI161" s="76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/>
      <c r="DG161" s="51"/>
      <c r="DH161" s="51"/>
      <c r="DI161" s="51"/>
      <c r="DJ161" s="51"/>
      <c r="DK161" s="51"/>
      <c r="DL161" s="51"/>
      <c r="DM161" s="51"/>
      <c r="DN161" s="51"/>
      <c r="DO161" s="51"/>
    </row>
    <row r="162" spans="1:119" hidden="1" x14ac:dyDescent="0.3">
      <c r="A162" t="s">
        <v>7</v>
      </c>
      <c r="B162" s="4" t="s">
        <v>126</v>
      </c>
      <c r="C162" s="4" t="s">
        <v>339</v>
      </c>
      <c r="D162" s="4" t="s">
        <v>343</v>
      </c>
      <c r="E162" s="4" t="s">
        <v>344</v>
      </c>
      <c r="F162" s="12">
        <v>2.72</v>
      </c>
      <c r="G162" s="34">
        <f t="shared" si="13"/>
        <v>11913.6</v>
      </c>
      <c r="H162" s="28">
        <f t="shared" si="14"/>
        <v>4380</v>
      </c>
      <c r="I162" s="28">
        <f t="shared" si="15"/>
        <v>365</v>
      </c>
      <c r="J162" s="26">
        <f t="shared" si="16"/>
        <v>2752.6400000000003</v>
      </c>
      <c r="K162" s="24">
        <f t="shared" si="17"/>
        <v>1012</v>
      </c>
      <c r="L162" s="31">
        <f t="shared" si="18"/>
        <v>203</v>
      </c>
      <c r="M162" s="9">
        <v>500</v>
      </c>
      <c r="N162" s="9">
        <v>0</v>
      </c>
      <c r="O162" s="9">
        <v>0</v>
      </c>
      <c r="P162" s="9">
        <v>1000</v>
      </c>
      <c r="Q162" s="9">
        <v>1000</v>
      </c>
      <c r="R162" s="9">
        <v>1000</v>
      </c>
      <c r="S162" s="9">
        <v>184</v>
      </c>
      <c r="T162" s="9">
        <v>230</v>
      </c>
      <c r="U162" s="9">
        <v>184</v>
      </c>
      <c r="V162" s="9">
        <v>184</v>
      </c>
      <c r="W162" s="9">
        <v>230</v>
      </c>
      <c r="X162" s="9">
        <v>184</v>
      </c>
      <c r="Y162" s="9">
        <v>184</v>
      </c>
      <c r="Z162" s="9">
        <v>230</v>
      </c>
      <c r="AA162" s="9">
        <v>184</v>
      </c>
      <c r="AB162" s="9">
        <v>184</v>
      </c>
      <c r="AC162" s="9">
        <v>230</v>
      </c>
      <c r="AD162" s="9">
        <v>184</v>
      </c>
      <c r="AF162" s="6">
        <v>2005</v>
      </c>
      <c r="AG162" s="6">
        <v>0</v>
      </c>
      <c r="AH162" s="6">
        <v>0</v>
      </c>
      <c r="AI162" s="6">
        <v>2490</v>
      </c>
      <c r="AJ162" s="6">
        <v>2490</v>
      </c>
      <c r="AK162" s="6">
        <v>2490</v>
      </c>
      <c r="AL162" s="6">
        <v>458.16</v>
      </c>
      <c r="AM162" s="6">
        <v>572.70000000000005</v>
      </c>
      <c r="AN162" s="6">
        <v>458.16</v>
      </c>
      <c r="AO162" s="6">
        <v>458.16</v>
      </c>
      <c r="AP162" s="6">
        <v>572.70000000000005</v>
      </c>
      <c r="AQ162" s="6">
        <v>458.16</v>
      </c>
      <c r="AR162" s="6">
        <v>458.16</v>
      </c>
      <c r="AS162" s="6">
        <v>572.70000000000005</v>
      </c>
      <c r="AT162" s="6">
        <v>458.16</v>
      </c>
      <c r="AU162" s="6">
        <v>458.16</v>
      </c>
      <c r="AV162" s="6">
        <v>572.70000000000005</v>
      </c>
      <c r="AW162" s="6">
        <v>458.16</v>
      </c>
      <c r="AX162" s="49"/>
      <c r="AY162" s="51"/>
      <c r="AZ162" s="51" t="s">
        <v>631</v>
      </c>
      <c r="BA162" s="51"/>
      <c r="BB162" s="51"/>
      <c r="BC162" s="51"/>
      <c r="BD162" s="51"/>
      <c r="BE162" s="51"/>
      <c r="BF162" s="51"/>
      <c r="BG162" s="51"/>
      <c r="BH162" s="51" t="s">
        <v>631</v>
      </c>
      <c r="BI162" s="51"/>
      <c r="BJ162" s="51"/>
      <c r="BK162" s="84" t="s">
        <v>631</v>
      </c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 t="s">
        <v>631</v>
      </c>
      <c r="CH162" s="85" t="s">
        <v>631</v>
      </c>
      <c r="CI162" s="76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/>
      <c r="DG162" s="51"/>
      <c r="DH162" s="51"/>
      <c r="DI162" s="51"/>
      <c r="DJ162" s="51"/>
      <c r="DK162" s="51"/>
      <c r="DL162" s="51"/>
      <c r="DM162" s="51"/>
      <c r="DN162" s="51"/>
      <c r="DO162" s="51"/>
    </row>
    <row r="163" spans="1:119" hidden="1" x14ac:dyDescent="0.3">
      <c r="A163" t="s">
        <v>7</v>
      </c>
      <c r="B163" s="4" t="s">
        <v>126</v>
      </c>
      <c r="C163" s="4" t="s">
        <v>339</v>
      </c>
      <c r="D163" s="4" t="s">
        <v>345</v>
      </c>
      <c r="E163" s="4" t="s">
        <v>346</v>
      </c>
      <c r="F163" s="12">
        <v>9.3699999999999992</v>
      </c>
      <c r="G163" s="34">
        <f t="shared" si="13"/>
        <v>21494.78</v>
      </c>
      <c r="H163" s="28">
        <f t="shared" si="14"/>
        <v>2294</v>
      </c>
      <c r="I163" s="28">
        <f t="shared" si="15"/>
        <v>192</v>
      </c>
      <c r="J163" s="26">
        <f t="shared" si="16"/>
        <v>9482.4399999999987</v>
      </c>
      <c r="K163" s="24">
        <f t="shared" si="17"/>
        <v>1012</v>
      </c>
      <c r="L163" s="31">
        <f t="shared" si="18"/>
        <v>203</v>
      </c>
      <c r="M163" s="9">
        <v>0</v>
      </c>
      <c r="N163" s="9">
        <v>500</v>
      </c>
      <c r="O163" s="9">
        <v>0</v>
      </c>
      <c r="P163" s="9">
        <v>0</v>
      </c>
      <c r="Q163" s="9">
        <v>184</v>
      </c>
      <c r="R163" s="9">
        <v>230</v>
      </c>
      <c r="S163" s="9">
        <v>184</v>
      </c>
      <c r="T163" s="9">
        <v>230</v>
      </c>
      <c r="U163" s="9">
        <v>184</v>
      </c>
      <c r="V163" s="9">
        <v>184</v>
      </c>
      <c r="W163" s="9">
        <v>230</v>
      </c>
      <c r="X163" s="9">
        <v>184</v>
      </c>
      <c r="Y163" s="9">
        <v>184</v>
      </c>
      <c r="Z163" s="9">
        <v>230</v>
      </c>
      <c r="AA163" s="9">
        <v>184</v>
      </c>
      <c r="AB163" s="9">
        <v>184</v>
      </c>
      <c r="AC163" s="9">
        <v>230</v>
      </c>
      <c r="AD163" s="9">
        <v>184</v>
      </c>
      <c r="AF163" s="6">
        <v>0</v>
      </c>
      <c r="AG163" s="6">
        <v>4054.9999999999995</v>
      </c>
      <c r="AH163" s="6">
        <v>0</v>
      </c>
      <c r="AI163" s="6">
        <v>0</v>
      </c>
      <c r="AJ163" s="6">
        <v>1724.08</v>
      </c>
      <c r="AK163" s="6">
        <v>2155.1</v>
      </c>
      <c r="AL163" s="6">
        <v>1724.08</v>
      </c>
      <c r="AM163" s="6">
        <v>1865.3</v>
      </c>
      <c r="AN163" s="6">
        <v>1492.2399999999998</v>
      </c>
      <c r="AO163" s="6">
        <v>1492.2399999999998</v>
      </c>
      <c r="AP163" s="6">
        <v>1865.3</v>
      </c>
      <c r="AQ163" s="6">
        <v>1492.2399999999998</v>
      </c>
      <c r="AR163" s="6">
        <v>1492.2399999999998</v>
      </c>
      <c r="AS163" s="6">
        <v>1865.3</v>
      </c>
      <c r="AT163" s="6">
        <v>1492.2399999999998</v>
      </c>
      <c r="AU163" s="6">
        <v>1492.2399999999998</v>
      </c>
      <c r="AV163" s="6">
        <v>1865.3</v>
      </c>
      <c r="AW163" s="6">
        <v>1492.2399999999998</v>
      </c>
      <c r="AX163" s="49" t="s">
        <v>631</v>
      </c>
      <c r="AY163" s="51"/>
      <c r="AZ163" s="51"/>
      <c r="BA163" s="51"/>
      <c r="BB163" s="51"/>
      <c r="BC163" s="51"/>
      <c r="BD163" s="51"/>
      <c r="BE163" s="51"/>
      <c r="BF163" s="51"/>
      <c r="BG163" s="51"/>
      <c r="BH163" s="51" t="s">
        <v>631</v>
      </c>
      <c r="BI163" s="51"/>
      <c r="BJ163" s="51"/>
      <c r="BK163" s="84" t="s">
        <v>631</v>
      </c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 t="s">
        <v>631</v>
      </c>
      <c r="CH163" s="85" t="s">
        <v>631</v>
      </c>
      <c r="CI163" s="76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/>
      <c r="DG163" s="51"/>
      <c r="DH163" s="51"/>
      <c r="DI163" s="51"/>
      <c r="DJ163" s="51"/>
      <c r="DK163" s="51"/>
      <c r="DL163" s="51"/>
      <c r="DM163" s="51"/>
      <c r="DN163" s="51"/>
      <c r="DO163" s="51"/>
    </row>
    <row r="164" spans="1:119" hidden="1" x14ac:dyDescent="0.3">
      <c r="A164" t="s">
        <v>7</v>
      </c>
      <c r="B164" s="4" t="s">
        <v>126</v>
      </c>
      <c r="C164" s="4" t="s">
        <v>339</v>
      </c>
      <c r="D164" s="4" t="s">
        <v>347</v>
      </c>
      <c r="E164" s="4" t="s">
        <v>346</v>
      </c>
      <c r="F164" s="12">
        <v>5.1100000000000003</v>
      </c>
      <c r="G164" s="34">
        <f t="shared" si="13"/>
        <v>11722.34</v>
      </c>
      <c r="H164" s="28">
        <f t="shared" si="14"/>
        <v>2294</v>
      </c>
      <c r="I164" s="28">
        <f t="shared" si="15"/>
        <v>192</v>
      </c>
      <c r="J164" s="26">
        <f t="shared" si="16"/>
        <v>5171.3200000000006</v>
      </c>
      <c r="K164" s="24">
        <f t="shared" si="17"/>
        <v>1012</v>
      </c>
      <c r="L164" s="31">
        <f t="shared" si="18"/>
        <v>203</v>
      </c>
      <c r="M164" s="9">
        <v>0</v>
      </c>
      <c r="N164" s="9">
        <v>500</v>
      </c>
      <c r="O164" s="9">
        <v>0</v>
      </c>
      <c r="P164" s="9">
        <v>0</v>
      </c>
      <c r="Q164" s="9">
        <v>184</v>
      </c>
      <c r="R164" s="9">
        <v>230</v>
      </c>
      <c r="S164" s="9">
        <v>184</v>
      </c>
      <c r="T164" s="9">
        <v>230</v>
      </c>
      <c r="U164" s="9">
        <v>184</v>
      </c>
      <c r="V164" s="9">
        <v>184</v>
      </c>
      <c r="W164" s="9">
        <v>230</v>
      </c>
      <c r="X164" s="9">
        <v>184</v>
      </c>
      <c r="Y164" s="9">
        <v>184</v>
      </c>
      <c r="Z164" s="9">
        <v>230</v>
      </c>
      <c r="AA164" s="9">
        <v>184</v>
      </c>
      <c r="AB164" s="9">
        <v>184</v>
      </c>
      <c r="AC164" s="9">
        <v>230</v>
      </c>
      <c r="AD164" s="9">
        <v>184</v>
      </c>
      <c r="AF164" s="6">
        <v>0</v>
      </c>
      <c r="AG164" s="6">
        <v>2555</v>
      </c>
      <c r="AH164" s="6">
        <v>0</v>
      </c>
      <c r="AI164" s="6">
        <v>0</v>
      </c>
      <c r="AJ164" s="6">
        <v>940.24</v>
      </c>
      <c r="AK164" s="6">
        <v>1175.3000000000002</v>
      </c>
      <c r="AL164" s="6">
        <v>940.24</v>
      </c>
      <c r="AM164" s="6">
        <v>1175.3000000000002</v>
      </c>
      <c r="AN164" s="6">
        <v>940.24</v>
      </c>
      <c r="AO164" s="6">
        <v>940.24</v>
      </c>
      <c r="AP164" s="6">
        <v>1175.3000000000002</v>
      </c>
      <c r="AQ164" s="6">
        <v>940.24</v>
      </c>
      <c r="AR164" s="6">
        <v>940.24</v>
      </c>
      <c r="AS164" s="6">
        <v>1175.3000000000002</v>
      </c>
      <c r="AT164" s="6">
        <v>940.24</v>
      </c>
      <c r="AU164" s="6">
        <v>940.24</v>
      </c>
      <c r="AV164" s="6">
        <v>1175.3000000000002</v>
      </c>
      <c r="AW164" s="6">
        <v>940.24</v>
      </c>
      <c r="AX164" s="49" t="s">
        <v>631</v>
      </c>
      <c r="AY164" s="51"/>
      <c r="AZ164" s="51"/>
      <c r="BA164" s="51"/>
      <c r="BB164" s="51"/>
      <c r="BC164" s="51"/>
      <c r="BD164" s="51"/>
      <c r="BE164" s="51"/>
      <c r="BF164" s="51"/>
      <c r="BG164" s="51"/>
      <c r="BH164" s="51" t="s">
        <v>631</v>
      </c>
      <c r="BI164" s="51"/>
      <c r="BJ164" s="51" t="s">
        <v>631</v>
      </c>
      <c r="BK164" s="84" t="s">
        <v>631</v>
      </c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 t="s">
        <v>631</v>
      </c>
      <c r="CH164" s="85" t="s">
        <v>631</v>
      </c>
      <c r="CI164" s="76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51"/>
      <c r="CV164" s="51"/>
      <c r="CW164" s="51"/>
      <c r="CX164" s="51"/>
      <c r="CY164" s="51"/>
      <c r="CZ164" s="51"/>
      <c r="DA164" s="51"/>
      <c r="DB164" s="51"/>
      <c r="DC164" s="51"/>
      <c r="DD164" s="51"/>
      <c r="DE164" s="51"/>
      <c r="DF164" s="51"/>
      <c r="DG164" s="51"/>
      <c r="DH164" s="51"/>
      <c r="DI164" s="51"/>
      <c r="DJ164" s="51"/>
      <c r="DK164" s="51"/>
      <c r="DL164" s="51"/>
      <c r="DM164" s="51"/>
      <c r="DN164" s="51"/>
      <c r="DO164" s="51"/>
    </row>
    <row r="165" spans="1:119" hidden="1" x14ac:dyDescent="0.3">
      <c r="A165" t="s">
        <v>7</v>
      </c>
      <c r="B165" s="4" t="s">
        <v>126</v>
      </c>
      <c r="C165" s="4" t="s">
        <v>339</v>
      </c>
      <c r="D165" s="4" t="s">
        <v>348</v>
      </c>
      <c r="E165" s="4" t="s">
        <v>349</v>
      </c>
      <c r="F165" s="12">
        <v>84.38</v>
      </c>
      <c r="G165" s="34">
        <f t="shared" si="13"/>
        <v>262421.8</v>
      </c>
      <c r="H165" s="28">
        <f t="shared" si="14"/>
        <v>3110</v>
      </c>
      <c r="I165" s="28">
        <f t="shared" si="15"/>
        <v>260</v>
      </c>
      <c r="J165" s="26">
        <f t="shared" si="16"/>
        <v>85392.56</v>
      </c>
      <c r="K165" s="24">
        <f t="shared" si="17"/>
        <v>1012</v>
      </c>
      <c r="L165" s="31">
        <f t="shared" si="18"/>
        <v>203</v>
      </c>
      <c r="M165" s="9">
        <v>500</v>
      </c>
      <c r="N165" s="9">
        <v>500</v>
      </c>
      <c r="O165" s="9">
        <v>500</v>
      </c>
      <c r="P165" s="9">
        <v>0</v>
      </c>
      <c r="Q165" s="9">
        <v>500</v>
      </c>
      <c r="R165" s="9">
        <v>230</v>
      </c>
      <c r="S165" s="9">
        <v>184</v>
      </c>
      <c r="T165" s="9">
        <v>230</v>
      </c>
      <c r="U165" s="9">
        <v>184</v>
      </c>
      <c r="V165" s="9">
        <v>184</v>
      </c>
      <c r="W165" s="9">
        <v>230</v>
      </c>
      <c r="X165" s="9">
        <v>184</v>
      </c>
      <c r="Y165" s="9">
        <v>184</v>
      </c>
      <c r="Z165" s="9">
        <v>230</v>
      </c>
      <c r="AA165" s="9">
        <v>184</v>
      </c>
      <c r="AB165" s="9">
        <v>184</v>
      </c>
      <c r="AC165" s="9">
        <v>230</v>
      </c>
      <c r="AD165" s="9">
        <v>184</v>
      </c>
      <c r="AF165" s="6">
        <v>42190</v>
      </c>
      <c r="AG165" s="6">
        <v>42190</v>
      </c>
      <c r="AH165" s="6">
        <v>42190</v>
      </c>
      <c r="AI165" s="6">
        <v>0</v>
      </c>
      <c r="AJ165" s="6">
        <v>42190</v>
      </c>
      <c r="AK165" s="6">
        <v>19407.399999999998</v>
      </c>
      <c r="AL165" s="6">
        <v>15525.919999999998</v>
      </c>
      <c r="AM165" s="6">
        <v>19407.399999999998</v>
      </c>
      <c r="AN165" s="6">
        <v>15525.919999999998</v>
      </c>
      <c r="AO165" s="6">
        <v>15525.919999999998</v>
      </c>
      <c r="AP165" s="6">
        <v>19407.399999999998</v>
      </c>
      <c r="AQ165" s="6">
        <v>15525.919999999998</v>
      </c>
      <c r="AR165" s="6">
        <v>15525.919999999998</v>
      </c>
      <c r="AS165" s="6">
        <v>19407.399999999998</v>
      </c>
      <c r="AT165" s="6">
        <v>15525.919999999998</v>
      </c>
      <c r="AU165" s="6">
        <v>15525.919999999998</v>
      </c>
      <c r="AV165" s="6">
        <v>19407.399999999998</v>
      </c>
      <c r="AW165" s="6">
        <v>15525.919999999998</v>
      </c>
      <c r="AX165" s="49" t="s">
        <v>631</v>
      </c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 t="s">
        <v>631</v>
      </c>
      <c r="BK165" s="84" t="s">
        <v>631</v>
      </c>
      <c r="BL165" s="51"/>
      <c r="BM165" s="51"/>
      <c r="BN165" s="51"/>
      <c r="BO165" s="51"/>
      <c r="BP165" s="51"/>
      <c r="BQ165" s="51"/>
      <c r="BR165" s="51"/>
      <c r="BS165" s="51"/>
      <c r="BT165" s="51"/>
      <c r="BU165" s="51" t="s">
        <v>631</v>
      </c>
      <c r="BV165" s="84" t="s">
        <v>631</v>
      </c>
      <c r="BW165" s="51"/>
      <c r="BX165" s="51" t="s">
        <v>631</v>
      </c>
      <c r="BY165" s="51"/>
      <c r="BZ165" s="51"/>
      <c r="CA165" s="51"/>
      <c r="CB165" s="51"/>
      <c r="CC165" s="51"/>
      <c r="CD165" s="51"/>
      <c r="CE165" s="51"/>
      <c r="CF165" s="51"/>
      <c r="CG165" s="51" t="s">
        <v>631</v>
      </c>
      <c r="CH165" s="85" t="s">
        <v>631</v>
      </c>
      <c r="CI165" s="76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51"/>
      <c r="CY165" s="51"/>
      <c r="CZ165" s="51"/>
      <c r="DA165" s="51"/>
      <c r="DB165" s="51"/>
      <c r="DC165" s="51"/>
      <c r="DD165" s="51"/>
      <c r="DE165" s="51"/>
      <c r="DF165" s="51"/>
      <c r="DG165" s="51"/>
      <c r="DH165" s="51"/>
      <c r="DI165" s="51"/>
      <c r="DJ165" s="51"/>
      <c r="DK165" s="51"/>
      <c r="DL165" s="51"/>
      <c r="DM165" s="51"/>
      <c r="DN165" s="51"/>
      <c r="DO165" s="51"/>
    </row>
    <row r="166" spans="1:119" hidden="1" x14ac:dyDescent="0.3">
      <c r="A166" t="s">
        <v>7</v>
      </c>
      <c r="B166" s="4" t="s">
        <v>126</v>
      </c>
      <c r="C166" s="4" t="s">
        <v>339</v>
      </c>
      <c r="D166" s="4" t="s">
        <v>350</v>
      </c>
      <c r="E166" s="4" t="s">
        <v>351</v>
      </c>
      <c r="F166" s="12">
        <v>70.14</v>
      </c>
      <c r="G166" s="34">
        <f t="shared" si="13"/>
        <v>263025</v>
      </c>
      <c r="H166" s="28">
        <f t="shared" si="14"/>
        <v>3750</v>
      </c>
      <c r="I166" s="28">
        <f t="shared" si="15"/>
        <v>313</v>
      </c>
      <c r="J166" s="26">
        <f t="shared" si="16"/>
        <v>0</v>
      </c>
      <c r="K166" s="24">
        <f t="shared" si="17"/>
        <v>0</v>
      </c>
      <c r="L166" s="31">
        <f t="shared" si="18"/>
        <v>0</v>
      </c>
      <c r="M166" s="9">
        <v>0</v>
      </c>
      <c r="N166" s="9">
        <v>500</v>
      </c>
      <c r="O166" s="9">
        <v>0</v>
      </c>
      <c r="P166" s="9">
        <v>750</v>
      </c>
      <c r="Q166" s="9">
        <v>750</v>
      </c>
      <c r="R166" s="9">
        <v>500</v>
      </c>
      <c r="S166" s="9">
        <v>500</v>
      </c>
      <c r="T166" s="9">
        <v>750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F166" s="6">
        <v>0</v>
      </c>
      <c r="AG166" s="6">
        <v>35070</v>
      </c>
      <c r="AH166" s="6">
        <v>0</v>
      </c>
      <c r="AI166" s="6">
        <v>56310</v>
      </c>
      <c r="AJ166" s="6">
        <v>52605</v>
      </c>
      <c r="AK166" s="6">
        <v>35070</v>
      </c>
      <c r="AL166" s="6">
        <v>35070</v>
      </c>
      <c r="AM166" s="6">
        <v>52605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49" t="s">
        <v>631</v>
      </c>
      <c r="AY166" s="51"/>
      <c r="AZ166" s="51"/>
      <c r="BA166" s="51"/>
      <c r="BB166" s="51"/>
      <c r="BC166" s="51"/>
      <c r="BD166" s="51"/>
      <c r="BE166" s="51"/>
      <c r="BF166" s="51"/>
      <c r="BG166" s="51"/>
      <c r="BH166" s="51" t="s">
        <v>631</v>
      </c>
      <c r="BI166" s="51"/>
      <c r="BJ166" s="51" t="s">
        <v>631</v>
      </c>
      <c r="BK166" s="84" t="s">
        <v>631</v>
      </c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 t="s">
        <v>631</v>
      </c>
      <c r="CH166" s="85" t="s">
        <v>631</v>
      </c>
      <c r="CI166" s="76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51"/>
      <c r="CY166" s="51"/>
      <c r="CZ166" s="51"/>
      <c r="DA166" s="51"/>
      <c r="DB166" s="51"/>
      <c r="DC166" s="51"/>
      <c r="DD166" s="51"/>
      <c r="DE166" s="51"/>
      <c r="DF166" s="51"/>
      <c r="DG166" s="51"/>
      <c r="DH166" s="51"/>
      <c r="DI166" s="51"/>
      <c r="DJ166" s="51"/>
      <c r="DK166" s="51"/>
      <c r="DL166" s="51"/>
      <c r="DM166" s="51"/>
      <c r="DN166" s="51"/>
      <c r="DO166" s="51"/>
    </row>
    <row r="167" spans="1:119" hidden="1" x14ac:dyDescent="0.3">
      <c r="A167" t="s">
        <v>7</v>
      </c>
      <c r="B167" s="4" t="s">
        <v>126</v>
      </c>
      <c r="C167" s="4" t="s">
        <v>352</v>
      </c>
      <c r="D167" s="4" t="s">
        <v>353</v>
      </c>
      <c r="E167" s="4" t="s">
        <v>354</v>
      </c>
      <c r="F167" s="12">
        <v>323.45999999999998</v>
      </c>
      <c r="G167" s="34">
        <f t="shared" si="13"/>
        <v>8086.4999999999991</v>
      </c>
      <c r="H167" s="28">
        <f t="shared" si="14"/>
        <v>25</v>
      </c>
      <c r="I167" s="28">
        <f t="shared" si="15"/>
        <v>3</v>
      </c>
      <c r="J167" s="26">
        <f t="shared" si="16"/>
        <v>0</v>
      </c>
      <c r="K167" s="24">
        <f t="shared" si="17"/>
        <v>0</v>
      </c>
      <c r="L167" s="31">
        <f t="shared" si="18"/>
        <v>0</v>
      </c>
      <c r="M167" s="9">
        <v>25</v>
      </c>
      <c r="N167" s="9">
        <v>0</v>
      </c>
      <c r="O167" s="9">
        <v>0</v>
      </c>
      <c r="P167" s="9">
        <v>0</v>
      </c>
      <c r="Q167" s="9">
        <v>0</v>
      </c>
      <c r="R167" s="9">
        <v>25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F167" s="6">
        <v>9460.5</v>
      </c>
      <c r="AG167" s="6">
        <v>0</v>
      </c>
      <c r="AH167" s="6">
        <v>0</v>
      </c>
      <c r="AI167" s="6">
        <v>0</v>
      </c>
      <c r="AJ167" s="6">
        <v>0</v>
      </c>
      <c r="AK167" s="6">
        <v>8086.4999999999991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49"/>
      <c r="AY167" s="51" t="s">
        <v>631</v>
      </c>
      <c r="AZ167" s="51" t="s">
        <v>631</v>
      </c>
      <c r="BA167" s="51"/>
      <c r="BB167" s="51"/>
      <c r="BC167" s="51"/>
      <c r="BD167" s="51"/>
      <c r="BE167" s="51"/>
      <c r="BF167" s="51"/>
      <c r="BG167" s="51" t="s">
        <v>631</v>
      </c>
      <c r="BH167" s="51" t="s">
        <v>631</v>
      </c>
      <c r="BI167" s="51"/>
      <c r="BJ167" s="51" t="s">
        <v>631</v>
      </c>
      <c r="BK167" s="84" t="s">
        <v>631</v>
      </c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 t="s">
        <v>631</v>
      </c>
      <c r="CH167" s="85" t="s">
        <v>631</v>
      </c>
      <c r="CI167" s="76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  <c r="DK167" s="51"/>
      <c r="DL167" s="51"/>
      <c r="DM167" s="51"/>
      <c r="DN167" s="51"/>
      <c r="DO167" s="51"/>
    </row>
    <row r="168" spans="1:119" hidden="1" x14ac:dyDescent="0.3">
      <c r="A168" t="s">
        <v>7</v>
      </c>
      <c r="B168" s="4" t="s">
        <v>126</v>
      </c>
      <c r="C168" s="4" t="s">
        <v>352</v>
      </c>
      <c r="D168" s="4" t="s">
        <v>355</v>
      </c>
      <c r="E168" s="4" t="s">
        <v>356</v>
      </c>
      <c r="F168" s="12">
        <v>268.36</v>
      </c>
      <c r="G168" s="34">
        <f t="shared" si="13"/>
        <v>0</v>
      </c>
      <c r="H168" s="28">
        <f t="shared" si="14"/>
        <v>0</v>
      </c>
      <c r="I168" s="28">
        <f t="shared" si="15"/>
        <v>0</v>
      </c>
      <c r="J168" s="26">
        <f t="shared" si="16"/>
        <v>0</v>
      </c>
      <c r="K168" s="24">
        <f t="shared" si="17"/>
        <v>0</v>
      </c>
      <c r="L168" s="31">
        <f t="shared" si="18"/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4"/>
      <c r="AY168" s="4"/>
      <c r="CI168" s="74">
        <v>23</v>
      </c>
    </row>
    <row r="169" spans="1:119" hidden="1" x14ac:dyDescent="0.3">
      <c r="A169" t="s">
        <v>7</v>
      </c>
      <c r="B169" s="4" t="s">
        <v>126</v>
      </c>
      <c r="C169" s="4" t="s">
        <v>357</v>
      </c>
      <c r="D169" s="4" t="s">
        <v>358</v>
      </c>
      <c r="E169" s="4" t="s">
        <v>359</v>
      </c>
      <c r="F169" s="12">
        <v>299.33</v>
      </c>
      <c r="G169" s="34">
        <f t="shared" si="13"/>
        <v>17959.8</v>
      </c>
      <c r="H169" s="28">
        <f t="shared" si="14"/>
        <v>60</v>
      </c>
      <c r="I169" s="28">
        <f t="shared" si="15"/>
        <v>5</v>
      </c>
      <c r="J169" s="26">
        <f t="shared" si="16"/>
        <v>0</v>
      </c>
      <c r="K169" s="24">
        <f t="shared" si="17"/>
        <v>0</v>
      </c>
      <c r="L169" s="31">
        <f t="shared" si="18"/>
        <v>0</v>
      </c>
      <c r="M169" s="9">
        <v>0</v>
      </c>
      <c r="N169" s="9">
        <v>60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F169" s="6">
        <v>0</v>
      </c>
      <c r="AG169" s="6">
        <v>17959.8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49"/>
      <c r="AY169" s="51" t="s">
        <v>631</v>
      </c>
      <c r="AZ169" s="51" t="s">
        <v>631</v>
      </c>
      <c r="BA169" s="51"/>
      <c r="BB169" s="51"/>
      <c r="BC169" s="51"/>
      <c r="BD169" s="51"/>
      <c r="BE169" s="51"/>
      <c r="BF169" s="51"/>
      <c r="BG169" s="51" t="s">
        <v>631</v>
      </c>
      <c r="BH169" s="51" t="s">
        <v>631</v>
      </c>
      <c r="BI169" s="51"/>
      <c r="BJ169" s="51" t="s">
        <v>631</v>
      </c>
      <c r="BK169" s="84" t="s">
        <v>631</v>
      </c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 t="s">
        <v>631</v>
      </c>
      <c r="CH169" s="85" t="s">
        <v>631</v>
      </c>
      <c r="CI169" s="76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  <c r="DK169" s="51"/>
      <c r="DL169" s="51"/>
      <c r="DM169" s="51"/>
      <c r="DN169" s="51"/>
      <c r="DO169" s="51"/>
    </row>
    <row r="170" spans="1:119" hidden="1" x14ac:dyDescent="0.3">
      <c r="A170" t="s">
        <v>7</v>
      </c>
      <c r="B170" s="4" t="s">
        <v>126</v>
      </c>
      <c r="C170" s="4" t="s">
        <v>357</v>
      </c>
      <c r="D170" s="4" t="s">
        <v>360</v>
      </c>
      <c r="E170" s="4" t="s">
        <v>361</v>
      </c>
      <c r="F170" s="12">
        <v>227.17</v>
      </c>
      <c r="G170" s="34">
        <f t="shared" si="13"/>
        <v>0</v>
      </c>
      <c r="H170" s="28">
        <f t="shared" si="14"/>
        <v>0</v>
      </c>
      <c r="I170" s="28">
        <f t="shared" si="15"/>
        <v>0</v>
      </c>
      <c r="J170" s="26">
        <f t="shared" si="16"/>
        <v>0</v>
      </c>
      <c r="K170" s="24">
        <f t="shared" si="17"/>
        <v>0</v>
      </c>
      <c r="L170" s="31">
        <f t="shared" si="18"/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4"/>
      <c r="AY170" s="4"/>
      <c r="CI170" s="74">
        <v>23</v>
      </c>
    </row>
    <row r="171" spans="1:119" hidden="1" x14ac:dyDescent="0.3">
      <c r="A171" t="s">
        <v>7</v>
      </c>
      <c r="B171" s="4" t="s">
        <v>126</v>
      </c>
      <c r="C171" s="4" t="s">
        <v>357</v>
      </c>
      <c r="D171" s="4" t="s">
        <v>362</v>
      </c>
      <c r="E171" s="4" t="s">
        <v>361</v>
      </c>
      <c r="F171" s="12">
        <v>274.13</v>
      </c>
      <c r="G171" s="34">
        <f t="shared" si="13"/>
        <v>69629.02</v>
      </c>
      <c r="H171" s="28">
        <f t="shared" si="14"/>
        <v>254</v>
      </c>
      <c r="I171" s="28">
        <f t="shared" si="15"/>
        <v>22</v>
      </c>
      <c r="J171" s="26">
        <f t="shared" si="16"/>
        <v>0</v>
      </c>
      <c r="K171" s="24">
        <f t="shared" si="17"/>
        <v>0</v>
      </c>
      <c r="L171" s="31">
        <f t="shared" si="18"/>
        <v>0</v>
      </c>
      <c r="M171" s="9">
        <v>0</v>
      </c>
      <c r="N171" s="9">
        <v>0</v>
      </c>
      <c r="O171" s="9">
        <v>127</v>
      </c>
      <c r="P171" s="9">
        <v>127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F171" s="6">
        <v>0</v>
      </c>
      <c r="AG171" s="6">
        <v>0</v>
      </c>
      <c r="AH171" s="6">
        <v>34814.51</v>
      </c>
      <c r="AI171" s="6">
        <v>34814.51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49" t="s">
        <v>631</v>
      </c>
      <c r="AY171" s="51" t="s">
        <v>631</v>
      </c>
      <c r="AZ171" s="51"/>
      <c r="BA171" s="51"/>
      <c r="BB171" s="51"/>
      <c r="BC171" s="51"/>
      <c r="BD171" s="51"/>
      <c r="BE171" s="51"/>
      <c r="BF171" s="51"/>
      <c r="BG171" s="51"/>
      <c r="BH171" s="51" t="s">
        <v>631</v>
      </c>
      <c r="BI171" s="51"/>
      <c r="BJ171" s="51" t="s">
        <v>631</v>
      </c>
      <c r="BK171" s="84" t="s">
        <v>631</v>
      </c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 t="s">
        <v>631</v>
      </c>
      <c r="CH171" s="85" t="s">
        <v>631</v>
      </c>
      <c r="CI171" s="76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  <c r="DK171" s="51"/>
      <c r="DL171" s="51"/>
      <c r="DM171" s="51"/>
      <c r="DN171" s="51"/>
      <c r="DO171" s="51"/>
    </row>
    <row r="172" spans="1:119" hidden="1" x14ac:dyDescent="0.3">
      <c r="A172" t="s">
        <v>7</v>
      </c>
      <c r="B172" s="4" t="s">
        <v>126</v>
      </c>
      <c r="C172" s="4" t="s">
        <v>357</v>
      </c>
      <c r="D172" s="4" t="s">
        <v>363</v>
      </c>
      <c r="E172" s="4" t="s">
        <v>364</v>
      </c>
      <c r="F172" s="12">
        <v>9.39</v>
      </c>
      <c r="G172" s="34">
        <f t="shared" si="13"/>
        <v>0</v>
      </c>
      <c r="H172" s="28">
        <f t="shared" si="14"/>
        <v>0</v>
      </c>
      <c r="I172" s="28">
        <f t="shared" si="15"/>
        <v>0</v>
      </c>
      <c r="J172" s="26">
        <f t="shared" si="16"/>
        <v>0</v>
      </c>
      <c r="K172" s="24">
        <f t="shared" si="17"/>
        <v>0</v>
      </c>
      <c r="L172" s="31">
        <f t="shared" si="18"/>
        <v>0</v>
      </c>
      <c r="M172" s="9">
        <v>194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F172" s="6">
        <v>1821.66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4"/>
      <c r="AY172" s="4"/>
      <c r="CI172" s="74" t="e">
        <v>#N/A</v>
      </c>
    </row>
    <row r="173" spans="1:119" hidden="1" x14ac:dyDescent="0.3">
      <c r="A173" t="s">
        <v>7</v>
      </c>
      <c r="B173" s="4" t="s">
        <v>126</v>
      </c>
      <c r="C173" s="4" t="s">
        <v>357</v>
      </c>
      <c r="D173" s="4" t="s">
        <v>365</v>
      </c>
      <c r="E173" s="4" t="s">
        <v>366</v>
      </c>
      <c r="F173" s="12">
        <v>18.98</v>
      </c>
      <c r="G173" s="34">
        <f t="shared" si="13"/>
        <v>1898</v>
      </c>
      <c r="H173" s="28">
        <f t="shared" si="14"/>
        <v>100</v>
      </c>
      <c r="I173" s="28">
        <f t="shared" si="15"/>
        <v>9</v>
      </c>
      <c r="J173" s="26">
        <f t="shared" si="16"/>
        <v>0</v>
      </c>
      <c r="K173" s="24">
        <f t="shared" si="17"/>
        <v>0</v>
      </c>
      <c r="L173" s="31">
        <f t="shared" si="18"/>
        <v>0</v>
      </c>
      <c r="M173" s="9">
        <v>0</v>
      </c>
      <c r="N173" s="9">
        <v>0</v>
      </c>
      <c r="O173" s="9">
        <v>50</v>
      </c>
      <c r="P173" s="9">
        <v>50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F173" s="6">
        <v>0</v>
      </c>
      <c r="AG173" s="6">
        <v>0</v>
      </c>
      <c r="AH173" s="6">
        <v>949</v>
      </c>
      <c r="AI173" s="6">
        <v>949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49" t="s">
        <v>631</v>
      </c>
      <c r="AY173" s="51" t="s">
        <v>631</v>
      </c>
      <c r="AZ173" s="51"/>
      <c r="BA173" s="51"/>
      <c r="BB173" s="51"/>
      <c r="BC173" s="51"/>
      <c r="BD173" s="51"/>
      <c r="BE173" s="51"/>
      <c r="BF173" s="51"/>
      <c r="BG173" s="51"/>
      <c r="BH173" s="51" t="s">
        <v>631</v>
      </c>
      <c r="BI173" s="51"/>
      <c r="BJ173" s="51" t="s">
        <v>631</v>
      </c>
      <c r="BK173" s="84" t="s">
        <v>631</v>
      </c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 t="s">
        <v>631</v>
      </c>
      <c r="CH173" s="85" t="s">
        <v>631</v>
      </c>
      <c r="CI173" s="76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  <c r="DK173" s="51"/>
      <c r="DL173" s="51"/>
      <c r="DM173" s="51"/>
      <c r="DN173" s="51"/>
      <c r="DO173" s="51"/>
    </row>
    <row r="174" spans="1:119" hidden="1" x14ac:dyDescent="0.3">
      <c r="A174" t="s">
        <v>7</v>
      </c>
      <c r="B174" s="4" t="s">
        <v>126</v>
      </c>
      <c r="C174" s="4" t="s">
        <v>357</v>
      </c>
      <c r="D174" s="4" t="s">
        <v>367</v>
      </c>
      <c r="E174" s="4" t="s">
        <v>366</v>
      </c>
      <c r="F174" s="12">
        <v>6.03</v>
      </c>
      <c r="G174" s="34">
        <f t="shared" si="13"/>
        <v>940.68000000000006</v>
      </c>
      <c r="H174" s="28">
        <f t="shared" si="14"/>
        <v>156</v>
      </c>
      <c r="I174" s="28">
        <f t="shared" si="15"/>
        <v>13</v>
      </c>
      <c r="J174" s="26">
        <f t="shared" si="16"/>
        <v>0</v>
      </c>
      <c r="K174" s="24">
        <f t="shared" si="17"/>
        <v>0</v>
      </c>
      <c r="L174" s="31">
        <f t="shared" si="18"/>
        <v>0</v>
      </c>
      <c r="M174" s="9">
        <v>0</v>
      </c>
      <c r="N174" s="9">
        <v>156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F174" s="6">
        <v>0</v>
      </c>
      <c r="AG174" s="6">
        <v>940.68000000000006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49"/>
      <c r="AY174" s="51" t="s">
        <v>631</v>
      </c>
      <c r="AZ174" s="51"/>
      <c r="BA174" s="51"/>
      <c r="BB174" s="51"/>
      <c r="BC174" s="51"/>
      <c r="BD174" s="51"/>
      <c r="BE174" s="51"/>
      <c r="BF174" s="51"/>
      <c r="BG174" s="51"/>
      <c r="BH174" s="51" t="s">
        <v>631</v>
      </c>
      <c r="BI174" s="51"/>
      <c r="BJ174" s="51" t="s">
        <v>631</v>
      </c>
      <c r="BK174" s="84" t="s">
        <v>631</v>
      </c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 t="s">
        <v>631</v>
      </c>
      <c r="CH174" s="85" t="s">
        <v>631</v>
      </c>
      <c r="CI174" s="76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  <c r="DK174" s="51"/>
      <c r="DL174" s="51"/>
      <c r="DM174" s="51"/>
      <c r="DN174" s="51"/>
      <c r="DO174" s="51"/>
    </row>
    <row r="175" spans="1:119" hidden="1" x14ac:dyDescent="0.3">
      <c r="A175" t="s">
        <v>7</v>
      </c>
      <c r="B175" s="4" t="s">
        <v>126</v>
      </c>
      <c r="C175" s="4" t="s">
        <v>357</v>
      </c>
      <c r="D175" s="4" t="s">
        <v>368</v>
      </c>
      <c r="E175" s="4" t="s">
        <v>369</v>
      </c>
      <c r="F175" s="12">
        <v>6.06</v>
      </c>
      <c r="G175" s="34">
        <f t="shared" si="13"/>
        <v>1999.8</v>
      </c>
      <c r="H175" s="28">
        <f t="shared" si="14"/>
        <v>330</v>
      </c>
      <c r="I175" s="28">
        <f t="shared" si="15"/>
        <v>28</v>
      </c>
      <c r="J175" s="26">
        <f t="shared" si="16"/>
        <v>0</v>
      </c>
      <c r="K175" s="24">
        <f t="shared" si="17"/>
        <v>0</v>
      </c>
      <c r="L175" s="31">
        <f t="shared" si="18"/>
        <v>0</v>
      </c>
      <c r="M175" s="9">
        <v>25</v>
      </c>
      <c r="N175" s="9">
        <v>330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F175" s="6">
        <v>151.5</v>
      </c>
      <c r="AG175" s="6">
        <v>1999.8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49"/>
      <c r="AY175" s="51" t="s">
        <v>631</v>
      </c>
      <c r="AZ175" s="51"/>
      <c r="BA175" s="51"/>
      <c r="BB175" s="51"/>
      <c r="BC175" s="51"/>
      <c r="BD175" s="51"/>
      <c r="BE175" s="51"/>
      <c r="BF175" s="51"/>
      <c r="BG175" s="51"/>
      <c r="BH175" s="51" t="s">
        <v>631</v>
      </c>
      <c r="BI175" s="51"/>
      <c r="BJ175" s="51" t="s">
        <v>631</v>
      </c>
      <c r="BK175" s="84" t="s">
        <v>631</v>
      </c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 t="s">
        <v>631</v>
      </c>
      <c r="CH175" s="85" t="s">
        <v>631</v>
      </c>
      <c r="CI175" s="76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  <c r="DK175" s="51"/>
      <c r="DL175" s="51"/>
      <c r="DM175" s="51"/>
      <c r="DN175" s="51"/>
      <c r="DO175" s="51"/>
    </row>
    <row r="176" spans="1:119" hidden="1" x14ac:dyDescent="0.3">
      <c r="A176" t="s">
        <v>7</v>
      </c>
      <c r="B176" s="4" t="s">
        <v>126</v>
      </c>
      <c r="C176" s="4" t="s">
        <v>370</v>
      </c>
      <c r="D176" s="4" t="s">
        <v>371</v>
      </c>
      <c r="E176" s="4" t="s">
        <v>372</v>
      </c>
      <c r="F176" s="12">
        <v>3.11</v>
      </c>
      <c r="G176" s="34">
        <f t="shared" si="13"/>
        <v>0</v>
      </c>
      <c r="H176" s="28">
        <f t="shared" si="14"/>
        <v>0</v>
      </c>
      <c r="I176" s="28">
        <f t="shared" si="15"/>
        <v>0</v>
      </c>
      <c r="J176" s="26">
        <f t="shared" si="16"/>
        <v>0</v>
      </c>
      <c r="K176" s="24">
        <f t="shared" si="17"/>
        <v>0</v>
      </c>
      <c r="L176" s="31">
        <f t="shared" si="18"/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4"/>
      <c r="AY176" s="4"/>
      <c r="CI176" s="74">
        <v>37</v>
      </c>
    </row>
    <row r="177" spans="1:119" hidden="1" x14ac:dyDescent="0.3">
      <c r="A177" t="s">
        <v>7</v>
      </c>
      <c r="B177" s="4" t="s">
        <v>126</v>
      </c>
      <c r="C177" s="4" t="s">
        <v>370</v>
      </c>
      <c r="D177" s="4" t="s">
        <v>373</v>
      </c>
      <c r="E177" s="4" t="s">
        <v>374</v>
      </c>
      <c r="F177" s="12">
        <v>3.48</v>
      </c>
      <c r="G177" s="34">
        <f t="shared" si="13"/>
        <v>0</v>
      </c>
      <c r="H177" s="28">
        <f t="shared" si="14"/>
        <v>0</v>
      </c>
      <c r="I177" s="28">
        <f t="shared" si="15"/>
        <v>0</v>
      </c>
      <c r="J177" s="26">
        <f t="shared" si="16"/>
        <v>0</v>
      </c>
      <c r="K177" s="24">
        <f t="shared" si="17"/>
        <v>0</v>
      </c>
      <c r="L177" s="31">
        <f t="shared" si="18"/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4"/>
      <c r="AY177" s="4"/>
      <c r="CI177" s="74" t="e">
        <v>#N/A</v>
      </c>
    </row>
    <row r="178" spans="1:119" hidden="1" x14ac:dyDescent="0.3">
      <c r="A178" t="s">
        <v>7</v>
      </c>
      <c r="B178" s="4" t="s">
        <v>126</v>
      </c>
      <c r="C178" s="4" t="s">
        <v>370</v>
      </c>
      <c r="D178" s="4" t="s">
        <v>375</v>
      </c>
      <c r="E178" s="4" t="s">
        <v>376</v>
      </c>
      <c r="F178" s="12">
        <v>41.75</v>
      </c>
      <c r="G178" s="34">
        <f t="shared" si="13"/>
        <v>0</v>
      </c>
      <c r="H178" s="28">
        <f t="shared" si="14"/>
        <v>0</v>
      </c>
      <c r="I178" s="28">
        <f t="shared" si="15"/>
        <v>0</v>
      </c>
      <c r="J178" s="26">
        <f t="shared" si="16"/>
        <v>0</v>
      </c>
      <c r="K178" s="24">
        <f t="shared" si="17"/>
        <v>0</v>
      </c>
      <c r="L178" s="31">
        <f t="shared" si="18"/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4"/>
      <c r="AY178" s="4"/>
      <c r="CI178" s="74" t="e">
        <v>#N/A</v>
      </c>
    </row>
    <row r="179" spans="1:119" hidden="1" x14ac:dyDescent="0.3">
      <c r="A179" t="s">
        <v>7</v>
      </c>
      <c r="B179" s="4" t="s">
        <v>126</v>
      </c>
      <c r="C179" s="4" t="s">
        <v>370</v>
      </c>
      <c r="D179" s="4" t="s">
        <v>377</v>
      </c>
      <c r="E179" s="4" t="s">
        <v>378</v>
      </c>
      <c r="F179" s="12">
        <v>14.03</v>
      </c>
      <c r="G179" s="34">
        <f t="shared" si="13"/>
        <v>0</v>
      </c>
      <c r="H179" s="28">
        <f t="shared" si="14"/>
        <v>0</v>
      </c>
      <c r="I179" s="28">
        <f t="shared" si="15"/>
        <v>0</v>
      </c>
      <c r="J179" s="26">
        <f t="shared" si="16"/>
        <v>0</v>
      </c>
      <c r="K179" s="24">
        <f t="shared" si="17"/>
        <v>0</v>
      </c>
      <c r="L179" s="31">
        <f t="shared" si="18"/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4"/>
      <c r="AY179" s="4"/>
      <c r="CI179" s="74" t="e">
        <v>#N/A</v>
      </c>
    </row>
    <row r="180" spans="1:119" hidden="1" x14ac:dyDescent="0.3">
      <c r="A180" t="s">
        <v>7</v>
      </c>
      <c r="B180" s="4" t="s">
        <v>126</v>
      </c>
      <c r="C180" s="4" t="s">
        <v>370</v>
      </c>
      <c r="D180" s="4" t="s">
        <v>379</v>
      </c>
      <c r="E180" s="4" t="s">
        <v>380</v>
      </c>
      <c r="F180" s="12">
        <v>10.24</v>
      </c>
      <c r="G180" s="34">
        <f t="shared" si="13"/>
        <v>0</v>
      </c>
      <c r="H180" s="28">
        <f t="shared" si="14"/>
        <v>0</v>
      </c>
      <c r="I180" s="28">
        <f t="shared" si="15"/>
        <v>0</v>
      </c>
      <c r="J180" s="26">
        <f t="shared" si="16"/>
        <v>0</v>
      </c>
      <c r="K180" s="24">
        <f t="shared" si="17"/>
        <v>0</v>
      </c>
      <c r="L180" s="31">
        <f t="shared" si="18"/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4"/>
      <c r="AY180" s="4"/>
      <c r="CI180" s="74" t="e">
        <v>#N/A</v>
      </c>
    </row>
    <row r="181" spans="1:119" hidden="1" x14ac:dyDescent="0.3">
      <c r="A181" t="s">
        <v>7</v>
      </c>
      <c r="B181" s="4" t="s">
        <v>126</v>
      </c>
      <c r="C181" s="4" t="s">
        <v>370</v>
      </c>
      <c r="D181" s="4" t="s">
        <v>381</v>
      </c>
      <c r="E181" s="4" t="s">
        <v>382</v>
      </c>
      <c r="F181" s="12">
        <v>10.24</v>
      </c>
      <c r="G181" s="34">
        <f t="shared" si="13"/>
        <v>0</v>
      </c>
      <c r="H181" s="28">
        <f t="shared" si="14"/>
        <v>0</v>
      </c>
      <c r="I181" s="28">
        <f t="shared" si="15"/>
        <v>0</v>
      </c>
      <c r="J181" s="26">
        <f t="shared" si="16"/>
        <v>0</v>
      </c>
      <c r="K181" s="24">
        <f t="shared" si="17"/>
        <v>0</v>
      </c>
      <c r="L181" s="31">
        <f t="shared" si="18"/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4"/>
      <c r="AY181" s="4"/>
      <c r="CI181" s="74" t="e">
        <v>#N/A</v>
      </c>
    </row>
    <row r="182" spans="1:119" hidden="1" x14ac:dyDescent="0.3">
      <c r="A182" t="s">
        <v>7</v>
      </c>
      <c r="B182" s="4" t="s">
        <v>126</v>
      </c>
      <c r="C182" s="4" t="s">
        <v>370</v>
      </c>
      <c r="D182" s="4" t="s">
        <v>383</v>
      </c>
      <c r="E182" s="4" t="s">
        <v>384</v>
      </c>
      <c r="F182" s="12">
        <v>10.24</v>
      </c>
      <c r="G182" s="34">
        <f t="shared" si="13"/>
        <v>0</v>
      </c>
      <c r="H182" s="28">
        <f t="shared" si="14"/>
        <v>0</v>
      </c>
      <c r="I182" s="28">
        <f t="shared" si="15"/>
        <v>0</v>
      </c>
      <c r="J182" s="26">
        <f t="shared" si="16"/>
        <v>0</v>
      </c>
      <c r="K182" s="24">
        <f t="shared" si="17"/>
        <v>0</v>
      </c>
      <c r="L182" s="31">
        <f t="shared" si="18"/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4"/>
      <c r="AY182" s="4"/>
      <c r="CI182" s="74" t="e">
        <v>#N/A</v>
      </c>
    </row>
    <row r="183" spans="1:119" hidden="1" x14ac:dyDescent="0.3">
      <c r="A183" t="s">
        <v>7</v>
      </c>
      <c r="B183" s="4" t="s">
        <v>126</v>
      </c>
      <c r="C183" s="4" t="s">
        <v>370</v>
      </c>
      <c r="D183" s="4" t="s">
        <v>385</v>
      </c>
      <c r="E183" s="4" t="s">
        <v>384</v>
      </c>
      <c r="F183" s="12">
        <v>10.24</v>
      </c>
      <c r="G183" s="34">
        <f t="shared" si="13"/>
        <v>0</v>
      </c>
      <c r="H183" s="28">
        <f t="shared" si="14"/>
        <v>0</v>
      </c>
      <c r="I183" s="28">
        <f t="shared" si="15"/>
        <v>0</v>
      </c>
      <c r="J183" s="26">
        <f t="shared" si="16"/>
        <v>0</v>
      </c>
      <c r="K183" s="24">
        <f t="shared" si="17"/>
        <v>0</v>
      </c>
      <c r="L183" s="31">
        <f t="shared" si="18"/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4"/>
      <c r="AY183" s="4"/>
      <c r="CI183" s="74" t="e">
        <v>#N/A</v>
      </c>
    </row>
    <row r="184" spans="1:119" hidden="1" x14ac:dyDescent="0.3">
      <c r="A184" t="s">
        <v>7</v>
      </c>
      <c r="B184" s="4" t="s">
        <v>126</v>
      </c>
      <c r="C184" s="4" t="s">
        <v>370</v>
      </c>
      <c r="D184" s="4" t="s">
        <v>386</v>
      </c>
      <c r="E184" s="4" t="s">
        <v>387</v>
      </c>
      <c r="F184" s="12">
        <v>11805.59</v>
      </c>
      <c r="G184" s="34">
        <f t="shared" si="13"/>
        <v>6327796.2400000002</v>
      </c>
      <c r="H184" s="28">
        <f t="shared" si="14"/>
        <v>536</v>
      </c>
      <c r="I184" s="28">
        <f t="shared" si="15"/>
        <v>45</v>
      </c>
      <c r="J184" s="26">
        <f t="shared" si="16"/>
        <v>2750702.47</v>
      </c>
      <c r="K184" s="24">
        <f t="shared" si="17"/>
        <v>233</v>
      </c>
      <c r="L184" s="31">
        <f t="shared" si="18"/>
        <v>47</v>
      </c>
      <c r="M184" s="9">
        <v>40</v>
      </c>
      <c r="N184" s="9">
        <v>0</v>
      </c>
      <c r="O184" s="9">
        <v>30</v>
      </c>
      <c r="P184" s="9">
        <v>40</v>
      </c>
      <c r="Q184" s="9">
        <v>50</v>
      </c>
      <c r="R184" s="9">
        <v>50</v>
      </c>
      <c r="S184" s="9">
        <v>50</v>
      </c>
      <c r="T184" s="9">
        <v>50</v>
      </c>
      <c r="U184" s="9">
        <v>50</v>
      </c>
      <c r="V184" s="9">
        <v>58</v>
      </c>
      <c r="W184" s="9">
        <v>50</v>
      </c>
      <c r="X184" s="9">
        <v>50</v>
      </c>
      <c r="Y184" s="9">
        <v>58</v>
      </c>
      <c r="Z184" s="9">
        <v>50</v>
      </c>
      <c r="AA184" s="9">
        <v>40</v>
      </c>
      <c r="AB184" s="9">
        <v>58</v>
      </c>
      <c r="AC184" s="9">
        <v>45</v>
      </c>
      <c r="AD184" s="9">
        <v>40</v>
      </c>
      <c r="AF184" s="6">
        <v>472223.60000000003</v>
      </c>
      <c r="AG184" s="6">
        <v>0</v>
      </c>
      <c r="AH184" s="6">
        <v>354167.69999999995</v>
      </c>
      <c r="AI184" s="6">
        <v>472223.6</v>
      </c>
      <c r="AJ184" s="6">
        <v>590279.5</v>
      </c>
      <c r="AK184" s="6">
        <v>590279.5</v>
      </c>
      <c r="AL184" s="6">
        <v>590279.5</v>
      </c>
      <c r="AM184" s="6">
        <v>590279.5</v>
      </c>
      <c r="AN184" s="6">
        <v>590279.5</v>
      </c>
      <c r="AO184" s="6">
        <v>684724.22</v>
      </c>
      <c r="AP184" s="6">
        <v>590279.5</v>
      </c>
      <c r="AQ184" s="6">
        <v>590279.5</v>
      </c>
      <c r="AR184" s="6">
        <v>684724.22</v>
      </c>
      <c r="AS184" s="6">
        <v>590279.5</v>
      </c>
      <c r="AT184" s="6">
        <v>472223.6</v>
      </c>
      <c r="AU184" s="6">
        <v>684724.22</v>
      </c>
      <c r="AV184" s="6">
        <v>531251.55000000005</v>
      </c>
      <c r="AW184" s="6">
        <v>472223.6</v>
      </c>
      <c r="AX184" s="49" t="s">
        <v>631</v>
      </c>
      <c r="AY184" s="51" t="s">
        <v>631</v>
      </c>
      <c r="AZ184" s="51" t="s">
        <v>631</v>
      </c>
      <c r="BA184" s="51"/>
      <c r="BB184" s="51"/>
      <c r="BC184" s="51"/>
      <c r="BD184" s="51"/>
      <c r="BE184" s="51"/>
      <c r="BF184" s="51" t="s">
        <v>631</v>
      </c>
      <c r="BG184" s="51"/>
      <c r="BH184" s="51" t="s">
        <v>631</v>
      </c>
      <c r="BI184" s="51"/>
      <c r="BJ184" s="51" t="s">
        <v>631</v>
      </c>
      <c r="BK184" s="84" t="s">
        <v>631</v>
      </c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 t="s">
        <v>631</v>
      </c>
      <c r="BY184" s="51"/>
      <c r="BZ184" s="51"/>
      <c r="CA184" s="51"/>
      <c r="CB184" s="51"/>
      <c r="CC184" s="51"/>
      <c r="CD184" s="51"/>
      <c r="CE184" s="51"/>
      <c r="CF184" s="51"/>
      <c r="CG184" s="51" t="s">
        <v>631</v>
      </c>
      <c r="CH184" s="51" t="s">
        <v>631</v>
      </c>
      <c r="CI184" s="76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51"/>
      <c r="CU184" s="51"/>
      <c r="CV184" s="51"/>
      <c r="CW184" s="51"/>
      <c r="CX184" s="51"/>
      <c r="CY184" s="51"/>
      <c r="CZ184" s="51"/>
      <c r="DA184" s="51"/>
      <c r="DB184" s="51"/>
      <c r="DC184" s="51"/>
      <c r="DD184" s="51"/>
      <c r="DE184" s="51"/>
      <c r="DF184" s="51"/>
      <c r="DG184" s="51"/>
      <c r="DH184" s="51"/>
      <c r="DI184" s="51"/>
      <c r="DJ184" s="51"/>
      <c r="DK184" s="51"/>
      <c r="DL184" s="51"/>
      <c r="DM184" s="51"/>
      <c r="DN184" s="51"/>
      <c r="DO184" s="51"/>
    </row>
    <row r="185" spans="1:119" hidden="1" x14ac:dyDescent="0.3">
      <c r="A185" t="s">
        <v>7</v>
      </c>
      <c r="B185" s="4" t="s">
        <v>126</v>
      </c>
      <c r="C185" s="4" t="s">
        <v>388</v>
      </c>
      <c r="D185" s="4" t="s">
        <v>389</v>
      </c>
      <c r="E185" s="4" t="s">
        <v>390</v>
      </c>
      <c r="F185" s="12">
        <v>7.55</v>
      </c>
      <c r="G185" s="34">
        <f t="shared" si="13"/>
        <v>89112.65</v>
      </c>
      <c r="H185" s="28">
        <f t="shared" si="14"/>
        <v>11803</v>
      </c>
      <c r="I185" s="28">
        <f t="shared" si="15"/>
        <v>984</v>
      </c>
      <c r="J185" s="26">
        <f t="shared" si="16"/>
        <v>9633.7999999999993</v>
      </c>
      <c r="K185" s="24">
        <f t="shared" si="17"/>
        <v>1276</v>
      </c>
      <c r="L185" s="31">
        <f t="shared" si="18"/>
        <v>256</v>
      </c>
      <c r="M185" s="9">
        <v>0</v>
      </c>
      <c r="N185" s="9">
        <v>1500</v>
      </c>
      <c r="O185" s="9">
        <v>2000</v>
      </c>
      <c r="P185" s="9">
        <v>282</v>
      </c>
      <c r="Q185" s="9">
        <v>2171</v>
      </c>
      <c r="R185" s="9">
        <v>2171</v>
      </c>
      <c r="S185" s="9">
        <v>2171</v>
      </c>
      <c r="T185" s="9">
        <v>290</v>
      </c>
      <c r="U185" s="9">
        <v>232</v>
      </c>
      <c r="V185" s="9">
        <v>232</v>
      </c>
      <c r="W185" s="9">
        <v>290</v>
      </c>
      <c r="X185" s="9">
        <v>232</v>
      </c>
      <c r="Y185" s="9">
        <v>232</v>
      </c>
      <c r="Z185" s="9">
        <v>290</v>
      </c>
      <c r="AA185" s="9">
        <v>232</v>
      </c>
      <c r="AB185" s="9">
        <v>232</v>
      </c>
      <c r="AC185" s="9">
        <v>290</v>
      </c>
      <c r="AD185" s="9">
        <v>232</v>
      </c>
      <c r="AF185" s="6">
        <v>0</v>
      </c>
      <c r="AG185" s="6">
        <v>8655</v>
      </c>
      <c r="AH185" s="6">
        <v>11465</v>
      </c>
      <c r="AI185" s="6">
        <v>1629.96</v>
      </c>
      <c r="AJ185" s="6">
        <v>12418.119999999999</v>
      </c>
      <c r="AK185" s="6">
        <v>12548.380000000001</v>
      </c>
      <c r="AL185" s="6">
        <v>12548.380000000001</v>
      </c>
      <c r="AM185" s="6">
        <v>1676.2</v>
      </c>
      <c r="AN185" s="6">
        <v>1338.6399999999999</v>
      </c>
      <c r="AO185" s="6">
        <v>1338.6399999999999</v>
      </c>
      <c r="AP185" s="6">
        <v>1673.3</v>
      </c>
      <c r="AQ185" s="6">
        <v>1338.6399999999999</v>
      </c>
      <c r="AR185" s="6">
        <v>1338.6399999999999</v>
      </c>
      <c r="AS185" s="6">
        <v>1673.3</v>
      </c>
      <c r="AT185" s="6">
        <v>1338.6399999999999</v>
      </c>
      <c r="AU185" s="6">
        <v>1338.6399999999999</v>
      </c>
      <c r="AV185" s="6">
        <v>1673.3</v>
      </c>
      <c r="AW185" s="6">
        <v>1338.6399999999999</v>
      </c>
      <c r="AX185" s="49"/>
      <c r="AY185" s="51"/>
      <c r="AZ185" s="51"/>
      <c r="BA185" s="51"/>
      <c r="BB185" s="51"/>
      <c r="BC185" s="51" t="s">
        <v>631</v>
      </c>
      <c r="BD185" s="51"/>
      <c r="BE185" s="51"/>
      <c r="BF185" s="51"/>
      <c r="BG185" s="51"/>
      <c r="BH185" s="51" t="s">
        <v>631</v>
      </c>
      <c r="BI185" s="51"/>
      <c r="BJ185" s="51" t="s">
        <v>631</v>
      </c>
      <c r="BK185" s="84" t="s">
        <v>631</v>
      </c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 t="s">
        <v>631</v>
      </c>
      <c r="CH185" s="85" t="s">
        <v>631</v>
      </c>
      <c r="CI185" s="76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C185" s="51"/>
      <c r="DD185" s="51"/>
      <c r="DE185" s="51"/>
      <c r="DF185" s="51"/>
      <c r="DG185" s="51"/>
      <c r="DH185" s="51"/>
      <c r="DI185" s="51"/>
      <c r="DJ185" s="51"/>
      <c r="DK185" s="51"/>
      <c r="DL185" s="51"/>
      <c r="DM185" s="51"/>
      <c r="DN185" s="51"/>
      <c r="DO185" s="51"/>
    </row>
    <row r="186" spans="1:119" hidden="1" x14ac:dyDescent="0.3">
      <c r="A186" t="s">
        <v>7</v>
      </c>
      <c r="B186" s="4" t="s">
        <v>126</v>
      </c>
      <c r="C186" s="4" t="s">
        <v>388</v>
      </c>
      <c r="D186" s="4" t="s">
        <v>391</v>
      </c>
      <c r="E186" s="4" t="s">
        <v>392</v>
      </c>
      <c r="F186" s="12">
        <v>6.73</v>
      </c>
      <c r="G186" s="34">
        <f t="shared" si="13"/>
        <v>0</v>
      </c>
      <c r="H186" s="28">
        <f t="shared" si="14"/>
        <v>0</v>
      </c>
      <c r="I186" s="28">
        <f t="shared" si="15"/>
        <v>0</v>
      </c>
      <c r="J186" s="26">
        <f t="shared" si="16"/>
        <v>0</v>
      </c>
      <c r="K186" s="24">
        <f t="shared" si="17"/>
        <v>0</v>
      </c>
      <c r="L186" s="31">
        <f t="shared" si="18"/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4"/>
      <c r="AY186" s="4"/>
      <c r="CI186" s="74">
        <v>73</v>
      </c>
    </row>
    <row r="187" spans="1:119" hidden="1" x14ac:dyDescent="0.3">
      <c r="A187" t="s">
        <v>7</v>
      </c>
      <c r="B187" s="4" t="s">
        <v>126</v>
      </c>
      <c r="C187" s="4" t="s">
        <v>388</v>
      </c>
      <c r="D187" s="4" t="s">
        <v>393</v>
      </c>
      <c r="E187" s="4" t="s">
        <v>394</v>
      </c>
      <c r="F187" s="12">
        <v>34.869999999999997</v>
      </c>
      <c r="G187" s="34">
        <f t="shared" si="13"/>
        <v>86965.78</v>
      </c>
      <c r="H187" s="28">
        <f t="shared" si="14"/>
        <v>2494</v>
      </c>
      <c r="I187" s="28">
        <f t="shared" si="15"/>
        <v>208</v>
      </c>
      <c r="J187" s="26">
        <f t="shared" si="16"/>
        <v>44494.119999999995</v>
      </c>
      <c r="K187" s="24">
        <f t="shared" si="17"/>
        <v>1276</v>
      </c>
      <c r="L187" s="31">
        <f t="shared" si="18"/>
        <v>256</v>
      </c>
      <c r="M187" s="9">
        <v>40</v>
      </c>
      <c r="N187" s="9">
        <v>0</v>
      </c>
      <c r="O187" s="9">
        <v>0</v>
      </c>
      <c r="P187" s="9">
        <v>232</v>
      </c>
      <c r="Q187" s="9">
        <v>232</v>
      </c>
      <c r="R187" s="9">
        <v>290</v>
      </c>
      <c r="S187" s="9">
        <v>232</v>
      </c>
      <c r="T187" s="9">
        <v>290</v>
      </c>
      <c r="U187" s="9">
        <v>232</v>
      </c>
      <c r="V187" s="9">
        <v>232</v>
      </c>
      <c r="W187" s="9">
        <v>290</v>
      </c>
      <c r="X187" s="9">
        <v>232</v>
      </c>
      <c r="Y187" s="9">
        <v>232</v>
      </c>
      <c r="Z187" s="9">
        <v>290</v>
      </c>
      <c r="AA187" s="9">
        <v>232</v>
      </c>
      <c r="AB187" s="9">
        <v>232</v>
      </c>
      <c r="AC187" s="9">
        <v>290</v>
      </c>
      <c r="AD187" s="9">
        <v>232</v>
      </c>
      <c r="AF187" s="6">
        <v>1334.8</v>
      </c>
      <c r="AG187" s="6">
        <v>0</v>
      </c>
      <c r="AH187" s="6">
        <v>0</v>
      </c>
      <c r="AI187" s="6">
        <v>7818.4000000000005</v>
      </c>
      <c r="AJ187" s="6">
        <v>7818.4000000000005</v>
      </c>
      <c r="AK187" s="6">
        <v>9773</v>
      </c>
      <c r="AL187" s="6">
        <v>7818.4000000000005</v>
      </c>
      <c r="AM187" s="6">
        <v>9677.2999999999993</v>
      </c>
      <c r="AN187" s="6">
        <v>7741.8399999999992</v>
      </c>
      <c r="AO187" s="6">
        <v>7741.8399999999992</v>
      </c>
      <c r="AP187" s="6">
        <v>9677.2999999999993</v>
      </c>
      <c r="AQ187" s="6">
        <v>7741.8399999999992</v>
      </c>
      <c r="AR187" s="6">
        <v>7741.8399999999992</v>
      </c>
      <c r="AS187" s="6">
        <v>9677.2999999999993</v>
      </c>
      <c r="AT187" s="6">
        <v>7741.8399999999992</v>
      </c>
      <c r="AU187" s="6">
        <v>7741.8399999999992</v>
      </c>
      <c r="AV187" s="6">
        <v>9677.2999999999993</v>
      </c>
      <c r="AW187" s="6">
        <v>7741.8399999999992</v>
      </c>
      <c r="AX187" s="49" t="s">
        <v>631</v>
      </c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 t="s">
        <v>631</v>
      </c>
      <c r="BK187" s="84" t="s">
        <v>631</v>
      </c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 t="s">
        <v>631</v>
      </c>
      <c r="CH187" s="85" t="s">
        <v>631</v>
      </c>
      <c r="CI187" s="76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51"/>
      <c r="CU187" s="51"/>
      <c r="CV187" s="51"/>
      <c r="CW187" s="51"/>
      <c r="CX187" s="51"/>
      <c r="CY187" s="51"/>
      <c r="CZ187" s="51"/>
      <c r="DA187" s="51"/>
      <c r="DB187" s="51"/>
      <c r="DC187" s="51"/>
      <c r="DD187" s="51"/>
      <c r="DE187" s="51"/>
      <c r="DF187" s="51"/>
      <c r="DG187" s="51"/>
      <c r="DH187" s="51"/>
      <c r="DI187" s="51"/>
      <c r="DJ187" s="51"/>
      <c r="DK187" s="51"/>
      <c r="DL187" s="51"/>
      <c r="DM187" s="51"/>
      <c r="DN187" s="51"/>
      <c r="DO187" s="51"/>
    </row>
    <row r="188" spans="1:119" hidden="1" x14ac:dyDescent="0.3">
      <c r="A188" t="s">
        <v>7</v>
      </c>
      <c r="B188" s="4" t="s">
        <v>126</v>
      </c>
      <c r="C188" s="4" t="s">
        <v>388</v>
      </c>
      <c r="D188" s="4" t="s">
        <v>395</v>
      </c>
      <c r="E188" s="4" t="s">
        <v>246</v>
      </c>
      <c r="F188" s="12">
        <v>3.2</v>
      </c>
      <c r="G188" s="34">
        <f t="shared" si="13"/>
        <v>5740.8</v>
      </c>
      <c r="H188" s="28">
        <f t="shared" si="14"/>
        <v>1794</v>
      </c>
      <c r="I188" s="28">
        <f t="shared" si="15"/>
        <v>150</v>
      </c>
      <c r="J188" s="26">
        <f t="shared" si="16"/>
        <v>3238.4</v>
      </c>
      <c r="K188" s="24">
        <f t="shared" si="17"/>
        <v>1012</v>
      </c>
      <c r="L188" s="31">
        <f t="shared" si="18"/>
        <v>203</v>
      </c>
      <c r="M188" s="9">
        <v>0</v>
      </c>
      <c r="N188" s="9">
        <v>0</v>
      </c>
      <c r="O188" s="9">
        <v>0</v>
      </c>
      <c r="P188" s="9">
        <v>0</v>
      </c>
      <c r="Q188" s="9">
        <v>184</v>
      </c>
      <c r="R188" s="9">
        <v>230</v>
      </c>
      <c r="S188" s="9">
        <v>184</v>
      </c>
      <c r="T188" s="9">
        <v>230</v>
      </c>
      <c r="U188" s="9">
        <v>184</v>
      </c>
      <c r="V188" s="9">
        <v>184</v>
      </c>
      <c r="W188" s="9">
        <v>230</v>
      </c>
      <c r="X188" s="9">
        <v>184</v>
      </c>
      <c r="Y188" s="9">
        <v>184</v>
      </c>
      <c r="Z188" s="9">
        <v>230</v>
      </c>
      <c r="AA188" s="9">
        <v>184</v>
      </c>
      <c r="AB188" s="9">
        <v>184</v>
      </c>
      <c r="AC188" s="9">
        <v>230</v>
      </c>
      <c r="AD188" s="9">
        <v>184</v>
      </c>
      <c r="AF188" s="6">
        <v>0</v>
      </c>
      <c r="AG188" s="6">
        <v>0</v>
      </c>
      <c r="AH188" s="6">
        <v>0</v>
      </c>
      <c r="AI188" s="6">
        <v>0</v>
      </c>
      <c r="AJ188" s="6">
        <v>568.55999999999995</v>
      </c>
      <c r="AK188" s="6">
        <v>710.69999999999993</v>
      </c>
      <c r="AL188" s="6">
        <v>568.55999999999995</v>
      </c>
      <c r="AM188" s="6">
        <v>710.69999999999993</v>
      </c>
      <c r="AN188" s="6">
        <v>568.55999999999995</v>
      </c>
      <c r="AO188" s="6">
        <v>568.55999999999995</v>
      </c>
      <c r="AP188" s="6">
        <v>710.69999999999993</v>
      </c>
      <c r="AQ188" s="6">
        <v>568.55999999999995</v>
      </c>
      <c r="AR188" s="6">
        <v>568.55999999999995</v>
      </c>
      <c r="AS188" s="6">
        <v>710.69999999999993</v>
      </c>
      <c r="AT188" s="6">
        <v>568.55999999999995</v>
      </c>
      <c r="AU188" s="6">
        <v>568.55999999999995</v>
      </c>
      <c r="AV188" s="6">
        <v>710.69999999999993</v>
      </c>
      <c r="AW188" s="6">
        <v>568.55999999999995</v>
      </c>
      <c r="AX188" s="49"/>
      <c r="AY188" s="51"/>
      <c r="AZ188" s="51" t="s">
        <v>631</v>
      </c>
      <c r="BA188" s="51"/>
      <c r="BB188" s="51"/>
      <c r="BC188" s="51"/>
      <c r="BD188" s="51"/>
      <c r="BE188" s="51"/>
      <c r="BF188" s="51"/>
      <c r="BG188" s="51"/>
      <c r="BH188" s="51"/>
      <c r="BI188" s="51"/>
      <c r="BJ188" s="51" t="s">
        <v>631</v>
      </c>
      <c r="BK188" s="84" t="s">
        <v>631</v>
      </c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 t="s">
        <v>631</v>
      </c>
      <c r="CH188" s="85" t="s">
        <v>631</v>
      </c>
      <c r="CI188" s="76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51"/>
      <c r="CU188" s="51"/>
      <c r="CV188" s="51"/>
      <c r="CW188" s="51"/>
      <c r="CX188" s="51"/>
      <c r="CY188" s="51"/>
      <c r="CZ188" s="51"/>
      <c r="DA188" s="51"/>
      <c r="DB188" s="51"/>
      <c r="DC188" s="51"/>
      <c r="DD188" s="51"/>
      <c r="DE188" s="51"/>
      <c r="DF188" s="51"/>
      <c r="DG188" s="51"/>
      <c r="DH188" s="51"/>
      <c r="DI188" s="51"/>
      <c r="DJ188" s="51"/>
      <c r="DK188" s="51"/>
      <c r="DL188" s="51"/>
      <c r="DM188" s="51"/>
      <c r="DN188" s="51"/>
      <c r="DO188" s="51"/>
    </row>
    <row r="189" spans="1:119" hidden="1" x14ac:dyDescent="0.3">
      <c r="A189" t="s">
        <v>7</v>
      </c>
      <c r="B189" s="4" t="s">
        <v>126</v>
      </c>
      <c r="C189" s="4" t="s">
        <v>396</v>
      </c>
      <c r="D189" s="4" t="s">
        <v>397</v>
      </c>
      <c r="E189" s="4" t="s">
        <v>398</v>
      </c>
      <c r="F189" s="12">
        <v>21.54</v>
      </c>
      <c r="G189" s="34">
        <f t="shared" si="13"/>
        <v>112438.79999999999</v>
      </c>
      <c r="H189" s="28">
        <f t="shared" si="14"/>
        <v>5220</v>
      </c>
      <c r="I189" s="28">
        <f t="shared" si="15"/>
        <v>435</v>
      </c>
      <c r="J189" s="26">
        <f t="shared" si="16"/>
        <v>43596.959999999999</v>
      </c>
      <c r="K189" s="24">
        <f t="shared" si="17"/>
        <v>2024</v>
      </c>
      <c r="L189" s="31">
        <f t="shared" si="18"/>
        <v>405</v>
      </c>
      <c r="M189" s="9">
        <v>924</v>
      </c>
      <c r="N189" s="9">
        <v>1000</v>
      </c>
      <c r="O189" s="9">
        <v>0</v>
      </c>
      <c r="P189" s="9">
        <v>0</v>
      </c>
      <c r="Q189" s="9">
        <v>1000</v>
      </c>
      <c r="R189" s="9">
        <v>460</v>
      </c>
      <c r="S189" s="9">
        <v>368</v>
      </c>
      <c r="T189" s="9">
        <v>460</v>
      </c>
      <c r="U189" s="9">
        <v>368</v>
      </c>
      <c r="V189" s="9">
        <v>368</v>
      </c>
      <c r="W189" s="9">
        <v>460</v>
      </c>
      <c r="X189" s="9">
        <v>368</v>
      </c>
      <c r="Y189" s="9">
        <v>368</v>
      </c>
      <c r="Z189" s="9">
        <v>460</v>
      </c>
      <c r="AA189" s="9">
        <v>368</v>
      </c>
      <c r="AB189" s="9">
        <v>368</v>
      </c>
      <c r="AC189" s="9">
        <v>460</v>
      </c>
      <c r="AD189" s="9">
        <v>368</v>
      </c>
      <c r="AF189" s="6">
        <v>19902.96</v>
      </c>
      <c r="AG189" s="6">
        <v>21540</v>
      </c>
      <c r="AH189" s="6">
        <v>0</v>
      </c>
      <c r="AI189" s="6">
        <v>0</v>
      </c>
      <c r="AJ189" s="6">
        <v>21540</v>
      </c>
      <c r="AK189" s="6">
        <v>9908.4</v>
      </c>
      <c r="AL189" s="6">
        <v>7926.7199999999993</v>
      </c>
      <c r="AM189" s="6">
        <v>9908.4</v>
      </c>
      <c r="AN189" s="6">
        <v>7926.7199999999993</v>
      </c>
      <c r="AO189" s="6">
        <v>7926.7199999999993</v>
      </c>
      <c r="AP189" s="6">
        <v>9908.4</v>
      </c>
      <c r="AQ189" s="6">
        <v>7926.7199999999993</v>
      </c>
      <c r="AR189" s="6">
        <v>7926.7199999999993</v>
      </c>
      <c r="AS189" s="6">
        <v>9908.4</v>
      </c>
      <c r="AT189" s="6">
        <v>7926.7199999999993</v>
      </c>
      <c r="AU189" s="6">
        <v>7926.7199999999993</v>
      </c>
      <c r="AV189" s="6">
        <v>9908.4</v>
      </c>
      <c r="AW189" s="6">
        <v>7926.7199999999993</v>
      </c>
      <c r="AX189" s="49" t="s">
        <v>631</v>
      </c>
      <c r="AY189" s="51"/>
      <c r="AZ189" s="51"/>
      <c r="BA189" s="51" t="s">
        <v>631</v>
      </c>
      <c r="BB189" s="51"/>
      <c r="BC189" s="51"/>
      <c r="BD189" s="51"/>
      <c r="BE189" s="51"/>
      <c r="BF189" s="51"/>
      <c r="BG189" s="51"/>
      <c r="BH189" s="51" t="s">
        <v>631</v>
      </c>
      <c r="BI189" s="51"/>
      <c r="BJ189" s="51" t="s">
        <v>631</v>
      </c>
      <c r="BK189" s="84" t="s">
        <v>631</v>
      </c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 t="s">
        <v>631</v>
      </c>
      <c r="CH189" s="85" t="s">
        <v>631</v>
      </c>
      <c r="CI189" s="76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51"/>
      <c r="CU189" s="51"/>
      <c r="CV189" s="51"/>
      <c r="CW189" s="51"/>
      <c r="CX189" s="51"/>
      <c r="CY189" s="51"/>
      <c r="CZ189" s="51"/>
      <c r="DA189" s="51"/>
      <c r="DB189" s="51"/>
      <c r="DC189" s="51"/>
      <c r="DD189" s="51"/>
      <c r="DE189" s="51"/>
      <c r="DF189" s="51"/>
      <c r="DG189" s="51"/>
      <c r="DH189" s="51"/>
      <c r="DI189" s="51"/>
      <c r="DJ189" s="51"/>
      <c r="DK189" s="51"/>
      <c r="DL189" s="51"/>
      <c r="DM189" s="51"/>
      <c r="DN189" s="51"/>
      <c r="DO189" s="51"/>
    </row>
    <row r="190" spans="1:119" hidden="1" x14ac:dyDescent="0.3">
      <c r="A190" t="s">
        <v>7</v>
      </c>
      <c r="B190" s="4" t="s">
        <v>126</v>
      </c>
      <c r="C190" s="4" t="s">
        <v>396</v>
      </c>
      <c r="D190" s="4" t="s">
        <v>399</v>
      </c>
      <c r="E190" s="4" t="s">
        <v>400</v>
      </c>
      <c r="F190" s="12">
        <v>7.56</v>
      </c>
      <c r="G190" s="34">
        <f t="shared" si="13"/>
        <v>32508</v>
      </c>
      <c r="H190" s="28">
        <f t="shared" si="14"/>
        <v>4300</v>
      </c>
      <c r="I190" s="28">
        <f t="shared" si="15"/>
        <v>359</v>
      </c>
      <c r="J190" s="26">
        <f t="shared" si="16"/>
        <v>15301.439999999999</v>
      </c>
      <c r="K190" s="24">
        <f t="shared" si="17"/>
        <v>2024</v>
      </c>
      <c r="L190" s="31">
        <f t="shared" si="18"/>
        <v>405</v>
      </c>
      <c r="M190" s="9">
        <v>0</v>
      </c>
      <c r="N190" s="9">
        <v>1000</v>
      </c>
      <c r="O190" s="9">
        <v>0</v>
      </c>
      <c r="P190" s="9">
        <v>0</v>
      </c>
      <c r="Q190" s="9">
        <v>1000</v>
      </c>
      <c r="R190" s="9">
        <v>0</v>
      </c>
      <c r="S190" s="9">
        <v>368</v>
      </c>
      <c r="T190" s="9">
        <v>0</v>
      </c>
      <c r="U190" s="9">
        <v>368</v>
      </c>
      <c r="V190" s="9">
        <v>368</v>
      </c>
      <c r="W190" s="9">
        <v>460</v>
      </c>
      <c r="X190" s="9">
        <v>368</v>
      </c>
      <c r="Y190" s="9">
        <v>368</v>
      </c>
      <c r="Z190" s="9">
        <v>460</v>
      </c>
      <c r="AA190" s="9">
        <v>368</v>
      </c>
      <c r="AB190" s="9">
        <v>368</v>
      </c>
      <c r="AC190" s="9">
        <v>460</v>
      </c>
      <c r="AD190" s="9">
        <v>368</v>
      </c>
      <c r="AF190" s="6">
        <v>0</v>
      </c>
      <c r="AG190" s="6">
        <v>7560</v>
      </c>
      <c r="AH190" s="6">
        <v>0</v>
      </c>
      <c r="AI190" s="6">
        <v>0</v>
      </c>
      <c r="AJ190" s="6">
        <v>7560</v>
      </c>
      <c r="AK190" s="6">
        <v>0</v>
      </c>
      <c r="AL190" s="6">
        <v>2782.08</v>
      </c>
      <c r="AM190" s="6">
        <v>0</v>
      </c>
      <c r="AN190" s="6">
        <v>2782.08</v>
      </c>
      <c r="AO190" s="6">
        <v>2782.08</v>
      </c>
      <c r="AP190" s="6">
        <v>3477.6</v>
      </c>
      <c r="AQ190" s="6">
        <v>2782.08</v>
      </c>
      <c r="AR190" s="6">
        <v>2782.08</v>
      </c>
      <c r="AS190" s="6">
        <v>3477.6</v>
      </c>
      <c r="AT190" s="6">
        <v>2782.08</v>
      </c>
      <c r="AU190" s="6">
        <v>2782.08</v>
      </c>
      <c r="AV190" s="6">
        <v>3477.6</v>
      </c>
      <c r="AW190" s="6">
        <v>2782.08</v>
      </c>
      <c r="AX190" s="49" t="s">
        <v>631</v>
      </c>
      <c r="AY190" s="51"/>
      <c r="AZ190" s="51"/>
      <c r="BA190" s="51"/>
      <c r="BB190" s="51"/>
      <c r="BC190" s="51"/>
      <c r="BD190" s="51"/>
      <c r="BE190" s="51"/>
      <c r="BF190" s="51"/>
      <c r="BG190" s="51"/>
      <c r="BH190" s="51" t="s">
        <v>631</v>
      </c>
      <c r="BI190" s="51"/>
      <c r="BJ190" s="51" t="s">
        <v>631</v>
      </c>
      <c r="BK190" s="84" t="s">
        <v>631</v>
      </c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85" t="s">
        <v>631</v>
      </c>
      <c r="CI190" s="76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51"/>
      <c r="CU190" s="51"/>
      <c r="CV190" s="51"/>
      <c r="CW190" s="51"/>
      <c r="CX190" s="51"/>
      <c r="CY190" s="51"/>
      <c r="CZ190" s="51"/>
      <c r="DA190" s="51"/>
      <c r="DB190" s="51"/>
      <c r="DC190" s="51"/>
      <c r="DD190" s="51"/>
      <c r="DE190" s="51"/>
      <c r="DF190" s="51"/>
      <c r="DG190" s="51"/>
      <c r="DH190" s="51"/>
      <c r="DI190" s="51"/>
      <c r="DJ190" s="51"/>
      <c r="DK190" s="51"/>
      <c r="DL190" s="51"/>
      <c r="DM190" s="51"/>
      <c r="DN190" s="51"/>
      <c r="DO190" s="51"/>
    </row>
    <row r="191" spans="1:119" hidden="1" x14ac:dyDescent="0.3">
      <c r="A191" t="s">
        <v>7</v>
      </c>
      <c r="B191" s="4" t="s">
        <v>126</v>
      </c>
      <c r="C191" s="4" t="s">
        <v>396</v>
      </c>
      <c r="D191" s="4" t="s">
        <v>401</v>
      </c>
      <c r="E191" s="4" t="s">
        <v>202</v>
      </c>
      <c r="F191" s="12">
        <v>5.14</v>
      </c>
      <c r="G191" s="34">
        <f t="shared" si="13"/>
        <v>0</v>
      </c>
      <c r="H191" s="28">
        <f t="shared" si="14"/>
        <v>0</v>
      </c>
      <c r="I191" s="28">
        <f t="shared" si="15"/>
        <v>0</v>
      </c>
      <c r="J191" s="26">
        <f t="shared" si="16"/>
        <v>0</v>
      </c>
      <c r="K191" s="24">
        <f t="shared" si="17"/>
        <v>0</v>
      </c>
      <c r="L191" s="31">
        <f t="shared" si="18"/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4"/>
      <c r="AY191" s="4"/>
      <c r="CI191" s="74">
        <v>120</v>
      </c>
    </row>
    <row r="192" spans="1:119" hidden="1" x14ac:dyDescent="0.3">
      <c r="A192" t="s">
        <v>7</v>
      </c>
      <c r="B192" s="4" t="s">
        <v>126</v>
      </c>
      <c r="C192" s="4" t="s">
        <v>396</v>
      </c>
      <c r="D192" s="4" t="s">
        <v>402</v>
      </c>
      <c r="E192" s="4" t="s">
        <v>202</v>
      </c>
      <c r="F192" s="12">
        <v>9.5399999999999991</v>
      </c>
      <c r="G192" s="34">
        <f t="shared" si="13"/>
        <v>95399.999999999985</v>
      </c>
      <c r="H192" s="28">
        <f t="shared" si="14"/>
        <v>10000</v>
      </c>
      <c r="I192" s="28">
        <f t="shared" si="15"/>
        <v>834</v>
      </c>
      <c r="J192" s="26">
        <f t="shared" si="16"/>
        <v>0</v>
      </c>
      <c r="K192" s="24">
        <f t="shared" si="17"/>
        <v>0</v>
      </c>
      <c r="L192" s="31">
        <f t="shared" si="18"/>
        <v>0</v>
      </c>
      <c r="M192" s="9">
        <v>0</v>
      </c>
      <c r="N192" s="9">
        <v>0</v>
      </c>
      <c r="O192" s="9">
        <v>1000</v>
      </c>
      <c r="P192" s="9">
        <v>4000</v>
      </c>
      <c r="Q192" s="9">
        <v>4000</v>
      </c>
      <c r="R192" s="9">
        <v>1000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F192" s="6">
        <v>0</v>
      </c>
      <c r="AG192" s="6">
        <v>0</v>
      </c>
      <c r="AH192" s="6">
        <v>4770</v>
      </c>
      <c r="AI192" s="6">
        <v>38160</v>
      </c>
      <c r="AJ192" s="6">
        <v>38160</v>
      </c>
      <c r="AK192" s="6">
        <v>9540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49"/>
      <c r="AY192" s="51"/>
      <c r="AZ192" s="51"/>
      <c r="BA192" s="51"/>
      <c r="BB192" s="51" t="s">
        <v>631</v>
      </c>
      <c r="BC192" s="51"/>
      <c r="BD192" s="51"/>
      <c r="BE192" s="51"/>
      <c r="BF192" s="51"/>
      <c r="BG192" s="51"/>
      <c r="BH192" s="51"/>
      <c r="BI192" s="51"/>
      <c r="BJ192" s="51" t="s">
        <v>631</v>
      </c>
      <c r="BK192" s="84" t="s">
        <v>631</v>
      </c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85" t="s">
        <v>631</v>
      </c>
      <c r="CI192" s="76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51"/>
      <c r="CU192" s="51"/>
      <c r="CV192" s="51"/>
      <c r="CW192" s="51"/>
      <c r="CX192" s="51"/>
      <c r="CY192" s="51"/>
      <c r="CZ192" s="51"/>
      <c r="DA192" s="51"/>
      <c r="DB192" s="51"/>
      <c r="DC192" s="51"/>
      <c r="DD192" s="51"/>
      <c r="DE192" s="51"/>
      <c r="DF192" s="51"/>
      <c r="DG192" s="51"/>
      <c r="DH192" s="51"/>
      <c r="DI192" s="51"/>
      <c r="DJ192" s="51"/>
      <c r="DK192" s="51"/>
      <c r="DL192" s="51"/>
      <c r="DM192" s="51"/>
      <c r="DN192" s="51"/>
      <c r="DO192" s="51"/>
    </row>
    <row r="193" spans="1:119" hidden="1" x14ac:dyDescent="0.3">
      <c r="A193" t="s">
        <v>7</v>
      </c>
      <c r="B193" s="4" t="s">
        <v>126</v>
      </c>
      <c r="C193" s="4" t="s">
        <v>396</v>
      </c>
      <c r="D193" s="4" t="s">
        <v>403</v>
      </c>
      <c r="E193" s="4" t="s">
        <v>166</v>
      </c>
      <c r="F193" s="12">
        <v>49.54</v>
      </c>
      <c r="G193" s="34">
        <f t="shared" si="13"/>
        <v>0</v>
      </c>
      <c r="H193" s="28">
        <f t="shared" si="14"/>
        <v>0</v>
      </c>
      <c r="I193" s="28">
        <f t="shared" si="15"/>
        <v>0</v>
      </c>
      <c r="J193" s="26">
        <f t="shared" si="16"/>
        <v>0</v>
      </c>
      <c r="K193" s="24">
        <f t="shared" si="17"/>
        <v>0</v>
      </c>
      <c r="L193" s="31">
        <f t="shared" si="18"/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4"/>
      <c r="AY193" s="4"/>
      <c r="CI193" s="74" t="e">
        <v>#N/A</v>
      </c>
    </row>
    <row r="194" spans="1:119" hidden="1" x14ac:dyDescent="0.3">
      <c r="A194" t="s">
        <v>7</v>
      </c>
      <c r="B194" s="4" t="s">
        <v>126</v>
      </c>
      <c r="C194" s="4" t="s">
        <v>396</v>
      </c>
      <c r="D194" s="4" t="s">
        <v>404</v>
      </c>
      <c r="E194" s="4" t="s">
        <v>405</v>
      </c>
      <c r="F194" s="12">
        <v>4.21</v>
      </c>
      <c r="G194" s="34">
        <f t="shared" si="13"/>
        <v>0</v>
      </c>
      <c r="H194" s="28">
        <f t="shared" si="14"/>
        <v>0</v>
      </c>
      <c r="I194" s="28">
        <f t="shared" si="15"/>
        <v>0</v>
      </c>
      <c r="J194" s="26">
        <f t="shared" si="16"/>
        <v>0</v>
      </c>
      <c r="K194" s="24">
        <f t="shared" si="17"/>
        <v>0</v>
      </c>
      <c r="L194" s="31">
        <f t="shared" si="18"/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4"/>
      <c r="AY194" s="4"/>
      <c r="CI194" s="74" t="e">
        <v>#N/A</v>
      </c>
    </row>
    <row r="195" spans="1:119" hidden="1" x14ac:dyDescent="0.3">
      <c r="A195" t="s">
        <v>7</v>
      </c>
      <c r="B195" s="4" t="s">
        <v>126</v>
      </c>
      <c r="C195" s="4" t="s">
        <v>406</v>
      </c>
      <c r="D195" s="4" t="s">
        <v>407</v>
      </c>
      <c r="E195" s="4" t="s">
        <v>408</v>
      </c>
      <c r="F195" s="12">
        <v>6644.92</v>
      </c>
      <c r="G195" s="34">
        <f t="shared" si="13"/>
        <v>0</v>
      </c>
      <c r="H195" s="28">
        <f t="shared" si="14"/>
        <v>0</v>
      </c>
      <c r="I195" s="28">
        <f t="shared" si="15"/>
        <v>0</v>
      </c>
      <c r="J195" s="26">
        <f t="shared" si="16"/>
        <v>0</v>
      </c>
      <c r="K195" s="24">
        <f t="shared" si="17"/>
        <v>0</v>
      </c>
      <c r="L195" s="31">
        <f t="shared" si="18"/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4"/>
      <c r="AY195" s="4"/>
      <c r="CI195" s="74">
        <v>3.5</v>
      </c>
    </row>
    <row r="196" spans="1:119" hidden="1" x14ac:dyDescent="0.3">
      <c r="A196" t="s">
        <v>7</v>
      </c>
      <c r="B196" s="4" t="s">
        <v>126</v>
      </c>
      <c r="C196" s="4" t="s">
        <v>409</v>
      </c>
      <c r="D196" s="4" t="s">
        <v>410</v>
      </c>
      <c r="E196" s="4" t="s">
        <v>411</v>
      </c>
      <c r="F196" s="12">
        <v>1324.31</v>
      </c>
      <c r="G196" s="34">
        <f t="shared" si="13"/>
        <v>0</v>
      </c>
      <c r="H196" s="28">
        <f t="shared" si="14"/>
        <v>0</v>
      </c>
      <c r="I196" s="28">
        <f t="shared" si="15"/>
        <v>0</v>
      </c>
      <c r="J196" s="26">
        <f t="shared" si="16"/>
        <v>0</v>
      </c>
      <c r="K196" s="24">
        <f t="shared" si="17"/>
        <v>0</v>
      </c>
      <c r="L196" s="31">
        <f t="shared" si="18"/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4"/>
      <c r="AY196" s="4"/>
      <c r="CI196" s="74">
        <v>1</v>
      </c>
    </row>
    <row r="197" spans="1:119" hidden="1" x14ac:dyDescent="0.3">
      <c r="A197" t="s">
        <v>7</v>
      </c>
      <c r="B197" s="4" t="s">
        <v>412</v>
      </c>
      <c r="C197" s="4" t="s">
        <v>413</v>
      </c>
      <c r="D197" s="4" t="s">
        <v>414</v>
      </c>
      <c r="E197" s="4" t="s">
        <v>415</v>
      </c>
      <c r="F197" s="12">
        <v>4997.97</v>
      </c>
      <c r="G197" s="34">
        <f t="shared" si="13"/>
        <v>9995.94</v>
      </c>
      <c r="H197" s="28">
        <f t="shared" si="14"/>
        <v>2</v>
      </c>
      <c r="I197" s="28">
        <f t="shared" si="15"/>
        <v>1</v>
      </c>
      <c r="J197" s="26">
        <f t="shared" si="16"/>
        <v>0</v>
      </c>
      <c r="K197" s="24">
        <f t="shared" si="17"/>
        <v>0</v>
      </c>
      <c r="L197" s="31">
        <f t="shared" si="18"/>
        <v>0</v>
      </c>
      <c r="M197" s="9">
        <v>32</v>
      </c>
      <c r="N197" s="9">
        <v>2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F197" s="6">
        <v>157736</v>
      </c>
      <c r="AG197" s="6">
        <v>9858.5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49" t="s">
        <v>631</v>
      </c>
      <c r="AY197" s="51"/>
      <c r="AZ197" s="51" t="s">
        <v>631</v>
      </c>
      <c r="BA197" s="51"/>
      <c r="BB197" s="51"/>
      <c r="BC197" s="51"/>
      <c r="BD197" s="51"/>
      <c r="BE197" s="51"/>
      <c r="BF197" s="51" t="s">
        <v>631</v>
      </c>
      <c r="BG197" s="51"/>
      <c r="BH197" s="51" t="s">
        <v>631</v>
      </c>
      <c r="BI197" s="51"/>
      <c r="BJ197" s="51" t="s">
        <v>631</v>
      </c>
      <c r="BK197" s="84" t="s">
        <v>631</v>
      </c>
      <c r="BL197" s="51"/>
      <c r="BM197" s="51"/>
      <c r="BN197" s="51"/>
      <c r="BO197" s="51"/>
      <c r="BP197" s="84" t="s">
        <v>631</v>
      </c>
      <c r="BQ197" s="51"/>
      <c r="BR197" s="51"/>
      <c r="BS197" s="51"/>
      <c r="BT197" s="51"/>
      <c r="BU197" s="51" t="s">
        <v>631</v>
      </c>
      <c r="BV197" s="84" t="s">
        <v>631</v>
      </c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 t="s">
        <v>631</v>
      </c>
      <c r="CH197" s="85" t="s">
        <v>631</v>
      </c>
      <c r="CI197" s="76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51"/>
      <c r="CU197" s="51"/>
      <c r="CV197" s="51"/>
      <c r="CW197" s="51"/>
      <c r="CX197" s="51"/>
      <c r="CY197" s="51"/>
      <c r="CZ197" s="51"/>
      <c r="DA197" s="51"/>
      <c r="DB197" s="51"/>
      <c r="DC197" s="51"/>
      <c r="DD197" s="51"/>
      <c r="DE197" s="51"/>
      <c r="DF197" s="51"/>
      <c r="DG197" s="51"/>
      <c r="DH197" s="51"/>
      <c r="DI197" s="51"/>
      <c r="DJ197" s="51"/>
      <c r="DK197" s="51"/>
      <c r="DL197" s="51"/>
      <c r="DM197" s="51"/>
      <c r="DN197" s="51"/>
      <c r="DO197" s="51"/>
    </row>
    <row r="198" spans="1:119" hidden="1" x14ac:dyDescent="0.3">
      <c r="A198" t="s">
        <v>7</v>
      </c>
      <c r="B198" s="4" t="s">
        <v>416</v>
      </c>
      <c r="C198" s="4" t="s">
        <v>71</v>
      </c>
      <c r="D198" s="4" t="s">
        <v>417</v>
      </c>
      <c r="E198" s="4" t="s">
        <v>418</v>
      </c>
      <c r="F198" s="12">
        <v>5.59</v>
      </c>
      <c r="G198" s="34">
        <f t="shared" si="13"/>
        <v>0</v>
      </c>
      <c r="H198" s="28">
        <f t="shared" si="14"/>
        <v>0</v>
      </c>
      <c r="I198" s="28">
        <f t="shared" si="15"/>
        <v>0</v>
      </c>
      <c r="J198" s="26">
        <f t="shared" si="16"/>
        <v>0</v>
      </c>
      <c r="K198" s="24">
        <f t="shared" si="17"/>
        <v>0</v>
      </c>
      <c r="L198" s="31">
        <f t="shared" si="18"/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4"/>
      <c r="AY198" s="4"/>
      <c r="CI198" s="74" t="e">
        <v>#N/A</v>
      </c>
    </row>
    <row r="199" spans="1:119" hidden="1" x14ac:dyDescent="0.3">
      <c r="A199" t="s">
        <v>7</v>
      </c>
      <c r="B199" s="4" t="s">
        <v>416</v>
      </c>
      <c r="C199" s="4" t="s">
        <v>71</v>
      </c>
      <c r="D199" s="4" t="s">
        <v>419</v>
      </c>
      <c r="E199" s="4" t="s">
        <v>420</v>
      </c>
      <c r="F199" s="12">
        <v>4.99</v>
      </c>
      <c r="G199" s="34">
        <f t="shared" ref="G199:G262" si="19">F199*H199</f>
        <v>0</v>
      </c>
      <c r="H199" s="28">
        <f t="shared" ref="H199:H262" si="20">SUM(N199:Y199)</f>
        <v>0</v>
      </c>
      <c r="I199" s="28">
        <f t="shared" ref="I199:I262" si="21">ROUNDUP(H199/12,0)</f>
        <v>0</v>
      </c>
      <c r="J199" s="26">
        <f t="shared" ref="J199:J262" si="22">K199*F199</f>
        <v>0</v>
      </c>
      <c r="K199" s="24">
        <f t="shared" ref="K199:K262" si="23">SUM(Z199:AD199)</f>
        <v>0</v>
      </c>
      <c r="L199" s="31">
        <f t="shared" ref="L199:L262" si="24">ROUNDUP(K199/5,0)</f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4"/>
      <c r="AY199" s="4"/>
      <c r="CI199" s="74" t="e">
        <v>#N/A</v>
      </c>
    </row>
    <row r="200" spans="1:119" hidden="1" x14ac:dyDescent="0.3">
      <c r="A200" t="s">
        <v>7</v>
      </c>
      <c r="B200" s="4" t="s">
        <v>416</v>
      </c>
      <c r="C200" s="4" t="s">
        <v>71</v>
      </c>
      <c r="D200" s="4" t="s">
        <v>421</v>
      </c>
      <c r="E200" s="4" t="s">
        <v>422</v>
      </c>
      <c r="F200" s="12">
        <v>35.93</v>
      </c>
      <c r="G200" s="34">
        <f t="shared" si="19"/>
        <v>0</v>
      </c>
      <c r="H200" s="28">
        <f t="shared" si="20"/>
        <v>0</v>
      </c>
      <c r="I200" s="28">
        <f t="shared" si="21"/>
        <v>0</v>
      </c>
      <c r="J200" s="26">
        <f t="shared" si="22"/>
        <v>0</v>
      </c>
      <c r="K200" s="24">
        <f t="shared" si="23"/>
        <v>0</v>
      </c>
      <c r="L200" s="31">
        <f t="shared" si="24"/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4"/>
      <c r="AY200" s="4"/>
      <c r="CI200" s="74" t="e">
        <v>#N/A</v>
      </c>
    </row>
    <row r="201" spans="1:119" hidden="1" x14ac:dyDescent="0.3">
      <c r="A201" t="s">
        <v>7</v>
      </c>
      <c r="B201" s="4" t="s">
        <v>416</v>
      </c>
      <c r="C201" s="4" t="s">
        <v>71</v>
      </c>
      <c r="D201" s="4" t="s">
        <v>423</v>
      </c>
      <c r="E201" s="4" t="s">
        <v>424</v>
      </c>
      <c r="F201" s="12">
        <v>53.05</v>
      </c>
      <c r="G201" s="34">
        <f t="shared" si="19"/>
        <v>0</v>
      </c>
      <c r="H201" s="28">
        <f t="shared" si="20"/>
        <v>0</v>
      </c>
      <c r="I201" s="28">
        <f t="shared" si="21"/>
        <v>0</v>
      </c>
      <c r="J201" s="26">
        <f t="shared" si="22"/>
        <v>0</v>
      </c>
      <c r="K201" s="24">
        <f t="shared" si="23"/>
        <v>0</v>
      </c>
      <c r="L201" s="31">
        <f t="shared" si="24"/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4"/>
      <c r="AY201" s="4"/>
      <c r="CI201" s="74" t="e">
        <v>#N/A</v>
      </c>
    </row>
    <row r="202" spans="1:119" hidden="1" x14ac:dyDescent="0.3">
      <c r="A202" t="s">
        <v>7</v>
      </c>
      <c r="B202" s="4" t="s">
        <v>416</v>
      </c>
      <c r="C202" s="4" t="s">
        <v>71</v>
      </c>
      <c r="D202" s="4" t="s">
        <v>425</v>
      </c>
      <c r="E202" s="4" t="s">
        <v>426</v>
      </c>
      <c r="F202" s="12">
        <v>13.88</v>
      </c>
      <c r="G202" s="34">
        <f t="shared" si="19"/>
        <v>0</v>
      </c>
      <c r="H202" s="28">
        <f t="shared" si="20"/>
        <v>0</v>
      </c>
      <c r="I202" s="28">
        <f t="shared" si="21"/>
        <v>0</v>
      </c>
      <c r="J202" s="26">
        <f t="shared" si="22"/>
        <v>0</v>
      </c>
      <c r="K202" s="24">
        <f t="shared" si="23"/>
        <v>0</v>
      </c>
      <c r="L202" s="31">
        <f t="shared" si="24"/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4"/>
      <c r="AY202" s="4"/>
      <c r="CI202" s="74" t="e">
        <v>#N/A</v>
      </c>
    </row>
    <row r="203" spans="1:119" hidden="1" x14ac:dyDescent="0.3">
      <c r="A203" t="s">
        <v>7</v>
      </c>
      <c r="B203" s="4" t="s">
        <v>416</v>
      </c>
      <c r="C203" s="4" t="s">
        <v>71</v>
      </c>
      <c r="D203" s="4" t="s">
        <v>427</v>
      </c>
      <c r="E203" s="4" t="s">
        <v>428</v>
      </c>
      <c r="F203" s="12">
        <v>3.92</v>
      </c>
      <c r="G203" s="34">
        <f t="shared" si="19"/>
        <v>0</v>
      </c>
      <c r="H203" s="28">
        <f t="shared" si="20"/>
        <v>0</v>
      </c>
      <c r="I203" s="28">
        <f t="shared" si="21"/>
        <v>0</v>
      </c>
      <c r="J203" s="26">
        <f t="shared" si="22"/>
        <v>0</v>
      </c>
      <c r="K203" s="24">
        <f t="shared" si="23"/>
        <v>0</v>
      </c>
      <c r="L203" s="31">
        <f t="shared" si="24"/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4"/>
      <c r="AY203" s="4"/>
      <c r="CI203" s="74" t="e">
        <v>#N/A</v>
      </c>
    </row>
    <row r="204" spans="1:119" hidden="1" x14ac:dyDescent="0.3">
      <c r="A204" t="s">
        <v>7</v>
      </c>
      <c r="B204" s="4" t="s">
        <v>429</v>
      </c>
      <c r="C204" s="4" t="s">
        <v>71</v>
      </c>
      <c r="D204" s="4" t="s">
        <v>430</v>
      </c>
      <c r="E204" s="4" t="s">
        <v>431</v>
      </c>
      <c r="F204" s="12">
        <v>178.83</v>
      </c>
      <c r="G204" s="34">
        <f t="shared" si="19"/>
        <v>0</v>
      </c>
      <c r="H204" s="28">
        <f t="shared" si="20"/>
        <v>0</v>
      </c>
      <c r="I204" s="28">
        <f t="shared" si="21"/>
        <v>0</v>
      </c>
      <c r="J204" s="26">
        <f t="shared" si="22"/>
        <v>0</v>
      </c>
      <c r="K204" s="24">
        <f t="shared" si="23"/>
        <v>0</v>
      </c>
      <c r="L204" s="31">
        <f t="shared" si="24"/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4"/>
      <c r="AY204" s="4"/>
      <c r="CI204" s="74" t="e">
        <v>#N/A</v>
      </c>
    </row>
    <row r="205" spans="1:119" hidden="1" x14ac:dyDescent="0.3">
      <c r="A205" t="s">
        <v>7</v>
      </c>
      <c r="B205" s="4" t="s">
        <v>432</v>
      </c>
      <c r="C205" s="4" t="s">
        <v>433</v>
      </c>
      <c r="D205" s="86" t="s">
        <v>434</v>
      </c>
      <c r="E205" s="4" t="s">
        <v>435</v>
      </c>
      <c r="F205" s="12">
        <v>55</v>
      </c>
      <c r="G205" s="34">
        <f t="shared" si="19"/>
        <v>174020</v>
      </c>
      <c r="H205" s="28">
        <f t="shared" si="20"/>
        <v>3164</v>
      </c>
      <c r="I205" s="28">
        <f t="shared" si="21"/>
        <v>264</v>
      </c>
      <c r="J205" s="26">
        <f t="shared" si="22"/>
        <v>0</v>
      </c>
      <c r="K205" s="24">
        <f t="shared" si="23"/>
        <v>0</v>
      </c>
      <c r="L205" s="31">
        <f t="shared" si="24"/>
        <v>0</v>
      </c>
      <c r="M205" s="9">
        <v>0</v>
      </c>
      <c r="N205" s="9">
        <v>600</v>
      </c>
      <c r="O205" s="9">
        <v>1000</v>
      </c>
      <c r="P205" s="9">
        <v>328</v>
      </c>
      <c r="Q205" s="9">
        <v>92</v>
      </c>
      <c r="R205" s="9">
        <v>115</v>
      </c>
      <c r="S205" s="9">
        <v>960</v>
      </c>
      <c r="T205" s="9">
        <v>69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F205" s="6">
        <v>0</v>
      </c>
      <c r="AG205" s="6">
        <v>33000</v>
      </c>
      <c r="AH205" s="6">
        <v>55000</v>
      </c>
      <c r="AI205" s="6">
        <v>18040</v>
      </c>
      <c r="AJ205" s="6">
        <v>5060</v>
      </c>
      <c r="AK205" s="6">
        <v>6325</v>
      </c>
      <c r="AL205" s="6">
        <v>52800</v>
      </c>
      <c r="AM205" s="6">
        <v>3795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50"/>
      <c r="AY205" s="52"/>
      <c r="AZ205" s="52"/>
      <c r="BA205" s="52"/>
      <c r="BB205" s="52"/>
      <c r="BC205" s="52"/>
      <c r="BD205" s="52"/>
      <c r="BE205" s="52"/>
      <c r="BF205" s="52"/>
      <c r="BG205" s="52"/>
      <c r="BH205" s="52"/>
      <c r="BI205" s="52"/>
      <c r="BJ205" s="52"/>
      <c r="BK205" s="52"/>
      <c r="BL205" s="52"/>
      <c r="BM205" s="52"/>
      <c r="BN205" s="52"/>
      <c r="BO205" s="52"/>
      <c r="BP205" s="52"/>
      <c r="BQ205" s="52"/>
      <c r="BR205" s="52"/>
      <c r="BS205" s="52"/>
      <c r="BT205" s="52"/>
      <c r="BU205" s="52"/>
      <c r="BV205" s="52"/>
      <c r="BW205" s="52"/>
      <c r="BX205" s="52"/>
      <c r="BY205" s="52"/>
      <c r="BZ205" s="52"/>
      <c r="CA205" s="52"/>
      <c r="CB205" s="52"/>
      <c r="CC205" s="52"/>
      <c r="CD205" s="52"/>
      <c r="CE205" s="52"/>
      <c r="CF205" s="52"/>
      <c r="CG205" s="52"/>
      <c r="CH205" s="52"/>
      <c r="CI205" s="76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1"/>
      <c r="CW205" s="51"/>
      <c r="CX205" s="51"/>
      <c r="CY205" s="51"/>
      <c r="CZ205" s="51"/>
      <c r="DA205" s="51"/>
      <c r="DB205" s="51"/>
      <c r="DC205" s="51"/>
      <c r="DD205" s="51"/>
      <c r="DE205" s="51"/>
      <c r="DF205" s="51"/>
      <c r="DG205" s="51"/>
      <c r="DH205" s="51"/>
      <c r="DI205" s="51"/>
      <c r="DJ205" s="51"/>
      <c r="DK205" s="51"/>
      <c r="DL205" s="51"/>
      <c r="DM205" s="51"/>
      <c r="DN205" s="51"/>
      <c r="DO205" s="51"/>
    </row>
    <row r="206" spans="1:119" hidden="1" x14ac:dyDescent="0.3">
      <c r="A206" t="s">
        <v>7</v>
      </c>
      <c r="B206" s="4" t="s">
        <v>432</v>
      </c>
      <c r="C206" s="4" t="s">
        <v>433</v>
      </c>
      <c r="D206" s="86" t="s">
        <v>436</v>
      </c>
      <c r="E206" s="4" t="s">
        <v>437</v>
      </c>
      <c r="F206" s="12">
        <v>24.86</v>
      </c>
      <c r="G206" s="34">
        <f t="shared" si="19"/>
        <v>43132.1</v>
      </c>
      <c r="H206" s="28">
        <f t="shared" si="20"/>
        <v>1735</v>
      </c>
      <c r="I206" s="28">
        <f t="shared" si="21"/>
        <v>145</v>
      </c>
      <c r="J206" s="26">
        <f t="shared" si="22"/>
        <v>0</v>
      </c>
      <c r="K206" s="24">
        <f t="shared" si="23"/>
        <v>0</v>
      </c>
      <c r="L206" s="31">
        <f t="shared" si="24"/>
        <v>0</v>
      </c>
      <c r="M206" s="9">
        <v>1280</v>
      </c>
      <c r="N206" s="9">
        <v>0</v>
      </c>
      <c r="O206" s="9">
        <v>0</v>
      </c>
      <c r="P206" s="9">
        <v>608</v>
      </c>
      <c r="Q206" s="9">
        <v>415</v>
      </c>
      <c r="R206" s="9">
        <v>445</v>
      </c>
      <c r="S206" s="9">
        <v>267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F206" s="6">
        <v>14553.599999999999</v>
      </c>
      <c r="AG206" s="6">
        <v>0</v>
      </c>
      <c r="AH206" s="6">
        <v>0</v>
      </c>
      <c r="AI206" s="6">
        <v>15114.88</v>
      </c>
      <c r="AJ206" s="6">
        <v>10316.9</v>
      </c>
      <c r="AK206" s="6">
        <v>11062.699999999999</v>
      </c>
      <c r="AL206" s="6">
        <v>6637.62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50"/>
      <c r="AY206" s="52"/>
      <c r="AZ206" s="52"/>
      <c r="BA206" s="52"/>
      <c r="BB206" s="52"/>
      <c r="BC206" s="52"/>
      <c r="BD206" s="52"/>
      <c r="BE206" s="52"/>
      <c r="BF206" s="52"/>
      <c r="BG206" s="52"/>
      <c r="BH206" s="52"/>
      <c r="BI206" s="52"/>
      <c r="BJ206" s="52"/>
      <c r="BK206" s="52"/>
      <c r="BL206" s="52"/>
      <c r="BM206" s="52"/>
      <c r="BN206" s="52"/>
      <c r="BO206" s="52"/>
      <c r="BP206" s="52"/>
      <c r="BQ206" s="52"/>
      <c r="BR206" s="52"/>
      <c r="BS206" s="52"/>
      <c r="BT206" s="52"/>
      <c r="BU206" s="52"/>
      <c r="BV206" s="52"/>
      <c r="BW206" s="52"/>
      <c r="BX206" s="52"/>
      <c r="BY206" s="52"/>
      <c r="BZ206" s="52"/>
      <c r="CA206" s="52"/>
      <c r="CB206" s="52"/>
      <c r="CC206" s="52"/>
      <c r="CD206" s="52"/>
      <c r="CE206" s="52"/>
      <c r="CF206" s="52"/>
      <c r="CG206" s="52"/>
      <c r="CH206" s="52"/>
      <c r="CI206" s="76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1"/>
      <c r="CW206" s="51"/>
      <c r="CX206" s="51"/>
      <c r="CY206" s="51"/>
      <c r="CZ206" s="51"/>
      <c r="DA206" s="51"/>
      <c r="DB206" s="51"/>
      <c r="DC206" s="51"/>
      <c r="DD206" s="51"/>
      <c r="DE206" s="51"/>
      <c r="DF206" s="51"/>
      <c r="DG206" s="51"/>
      <c r="DH206" s="51"/>
      <c r="DI206" s="51"/>
      <c r="DJ206" s="51"/>
      <c r="DK206" s="51"/>
      <c r="DL206" s="51"/>
      <c r="DM206" s="51"/>
      <c r="DN206" s="51"/>
      <c r="DO206" s="51"/>
    </row>
    <row r="207" spans="1:119" hidden="1" x14ac:dyDescent="0.3">
      <c r="A207" t="s">
        <v>7</v>
      </c>
      <c r="B207" s="4" t="s">
        <v>432</v>
      </c>
      <c r="C207" s="4" t="s">
        <v>433</v>
      </c>
      <c r="D207" s="4" t="s">
        <v>438</v>
      </c>
      <c r="E207" s="4" t="s">
        <v>439</v>
      </c>
      <c r="F207" s="12">
        <v>15.26</v>
      </c>
      <c r="G207" s="34">
        <f t="shared" si="19"/>
        <v>0</v>
      </c>
      <c r="H207" s="28">
        <f t="shared" si="20"/>
        <v>0</v>
      </c>
      <c r="I207" s="28">
        <f t="shared" si="21"/>
        <v>0</v>
      </c>
      <c r="J207" s="26">
        <f t="shared" si="22"/>
        <v>0</v>
      </c>
      <c r="K207" s="24">
        <f t="shared" si="23"/>
        <v>0</v>
      </c>
      <c r="L207" s="31">
        <f t="shared" si="24"/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4"/>
      <c r="AY207" s="4"/>
      <c r="CI207" s="74" t="e">
        <v>#N/A</v>
      </c>
    </row>
    <row r="208" spans="1:119" hidden="1" x14ac:dyDescent="0.3">
      <c r="A208" t="s">
        <v>7</v>
      </c>
      <c r="B208" s="4" t="s">
        <v>432</v>
      </c>
      <c r="C208" s="4" t="s">
        <v>433</v>
      </c>
      <c r="D208" s="4" t="s">
        <v>440</v>
      </c>
      <c r="E208" s="4" t="s">
        <v>441</v>
      </c>
      <c r="F208" s="12">
        <v>332.27</v>
      </c>
      <c r="G208" s="34">
        <f t="shared" si="19"/>
        <v>0</v>
      </c>
      <c r="H208" s="28">
        <f t="shared" si="20"/>
        <v>0</v>
      </c>
      <c r="I208" s="28">
        <f t="shared" si="21"/>
        <v>0</v>
      </c>
      <c r="J208" s="26">
        <f t="shared" si="22"/>
        <v>0</v>
      </c>
      <c r="K208" s="24">
        <f t="shared" si="23"/>
        <v>0</v>
      </c>
      <c r="L208" s="31">
        <f t="shared" si="24"/>
        <v>0</v>
      </c>
      <c r="M208" s="9">
        <v>1480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F208" s="6">
        <v>491759.6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4"/>
      <c r="AY208" s="4"/>
      <c r="CI208" s="74" t="e">
        <v>#N/A</v>
      </c>
    </row>
    <row r="209" spans="1:119" hidden="1" x14ac:dyDescent="0.3">
      <c r="A209" t="s">
        <v>7</v>
      </c>
      <c r="B209" s="4" t="s">
        <v>432</v>
      </c>
      <c r="C209" s="4" t="s">
        <v>433</v>
      </c>
      <c r="D209" s="86" t="s">
        <v>442</v>
      </c>
      <c r="E209" s="4" t="s">
        <v>441</v>
      </c>
      <c r="F209" s="12">
        <v>332.27</v>
      </c>
      <c r="G209" s="34">
        <f t="shared" si="19"/>
        <v>3395134.86</v>
      </c>
      <c r="H209" s="28">
        <f t="shared" si="20"/>
        <v>10218</v>
      </c>
      <c r="I209" s="28">
        <f t="shared" si="21"/>
        <v>852</v>
      </c>
      <c r="J209" s="26">
        <f t="shared" si="22"/>
        <v>0</v>
      </c>
      <c r="K209" s="24">
        <f t="shared" si="23"/>
        <v>0</v>
      </c>
      <c r="L209" s="31">
        <f t="shared" si="24"/>
        <v>0</v>
      </c>
      <c r="M209" s="9">
        <v>0</v>
      </c>
      <c r="N209" s="9">
        <v>2070</v>
      </c>
      <c r="O209" s="9">
        <v>0</v>
      </c>
      <c r="P209" s="9">
        <v>1080</v>
      </c>
      <c r="Q209" s="9">
        <v>1258</v>
      </c>
      <c r="R209" s="9">
        <v>1200</v>
      </c>
      <c r="S209" s="9">
        <v>1860</v>
      </c>
      <c r="T209" s="9">
        <v>1372</v>
      </c>
      <c r="U209" s="9">
        <v>914</v>
      </c>
      <c r="V209" s="9">
        <v>446</v>
      </c>
      <c r="W209" s="9">
        <v>18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F209" s="6">
        <v>0</v>
      </c>
      <c r="AG209" s="6">
        <v>687798.89999999991</v>
      </c>
      <c r="AH209" s="6">
        <v>0</v>
      </c>
      <c r="AI209" s="6">
        <v>358851.6</v>
      </c>
      <c r="AJ209" s="6">
        <v>417995.66</v>
      </c>
      <c r="AK209" s="6">
        <v>398724</v>
      </c>
      <c r="AL209" s="6">
        <v>618022.19999999995</v>
      </c>
      <c r="AM209" s="6">
        <v>455874.44</v>
      </c>
      <c r="AN209" s="6">
        <v>303694.77999999997</v>
      </c>
      <c r="AO209" s="6">
        <v>148192.41999999998</v>
      </c>
      <c r="AP209" s="6">
        <v>5980.86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50"/>
      <c r="AY209" s="52"/>
      <c r="AZ209" s="52"/>
      <c r="BA209" s="52"/>
      <c r="BB209" s="52"/>
      <c r="BC209" s="52"/>
      <c r="BD209" s="52"/>
      <c r="BE209" s="52"/>
      <c r="BF209" s="52"/>
      <c r="BG209" s="52"/>
      <c r="BH209" s="52"/>
      <c r="BI209" s="52"/>
      <c r="BJ209" s="52"/>
      <c r="BK209" s="52"/>
      <c r="BL209" s="52"/>
      <c r="BM209" s="52"/>
      <c r="BN209" s="52"/>
      <c r="BO209" s="52"/>
      <c r="BP209" s="52"/>
      <c r="BQ209" s="52"/>
      <c r="BR209" s="52"/>
      <c r="BS209" s="52"/>
      <c r="BT209" s="52"/>
      <c r="BU209" s="52"/>
      <c r="BV209" s="52"/>
      <c r="BW209" s="52"/>
      <c r="BX209" s="52"/>
      <c r="BY209" s="52"/>
      <c r="BZ209" s="52"/>
      <c r="CA209" s="52"/>
      <c r="CB209" s="52"/>
      <c r="CC209" s="52"/>
      <c r="CD209" s="52"/>
      <c r="CE209" s="52"/>
      <c r="CF209" s="52"/>
      <c r="CG209" s="52"/>
      <c r="CH209" s="52"/>
      <c r="CI209" s="76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1"/>
      <c r="CW209" s="51"/>
      <c r="CX209" s="51"/>
      <c r="CY209" s="51"/>
      <c r="CZ209" s="51"/>
      <c r="DA209" s="51"/>
      <c r="DB209" s="51"/>
      <c r="DC209" s="51"/>
      <c r="DD209" s="51"/>
      <c r="DE209" s="51"/>
      <c r="DF209" s="51"/>
      <c r="DG209" s="51"/>
      <c r="DH209" s="51"/>
      <c r="DI209" s="51"/>
      <c r="DJ209" s="51"/>
      <c r="DK209" s="51"/>
      <c r="DL209" s="51"/>
      <c r="DM209" s="51"/>
      <c r="DN209" s="51"/>
      <c r="DO209" s="51"/>
    </row>
    <row r="210" spans="1:119" hidden="1" x14ac:dyDescent="0.3">
      <c r="A210" t="s">
        <v>7</v>
      </c>
      <c r="B210" s="4" t="s">
        <v>432</v>
      </c>
      <c r="C210" s="4" t="s">
        <v>433</v>
      </c>
      <c r="D210" s="86" t="s">
        <v>443</v>
      </c>
      <c r="E210" s="4" t="s">
        <v>444</v>
      </c>
      <c r="F210" s="12">
        <v>379.63</v>
      </c>
      <c r="G210" s="34">
        <f t="shared" si="19"/>
        <v>2264113.3199999998</v>
      </c>
      <c r="H210" s="28">
        <f t="shared" si="20"/>
        <v>5964</v>
      </c>
      <c r="I210" s="28">
        <f t="shared" si="21"/>
        <v>497</v>
      </c>
      <c r="J210" s="26">
        <f t="shared" si="22"/>
        <v>0</v>
      </c>
      <c r="K210" s="24">
        <f t="shared" si="23"/>
        <v>0</v>
      </c>
      <c r="L210" s="31">
        <f t="shared" si="24"/>
        <v>0</v>
      </c>
      <c r="M210" s="9">
        <v>0</v>
      </c>
      <c r="N210" s="9">
        <v>1350</v>
      </c>
      <c r="O210" s="9">
        <v>0</v>
      </c>
      <c r="P210" s="9">
        <v>1080</v>
      </c>
      <c r="Q210" s="9">
        <v>629</v>
      </c>
      <c r="R210" s="9">
        <v>600</v>
      </c>
      <c r="S210" s="9">
        <v>930</v>
      </c>
      <c r="T210" s="9">
        <v>686</v>
      </c>
      <c r="U210" s="9">
        <v>457</v>
      </c>
      <c r="V210" s="9">
        <v>223</v>
      </c>
      <c r="W210" s="9">
        <v>9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F210" s="6">
        <v>0</v>
      </c>
      <c r="AG210" s="6">
        <v>512500.5</v>
      </c>
      <c r="AH210" s="6">
        <v>0</v>
      </c>
      <c r="AI210" s="6">
        <v>410000.4</v>
      </c>
      <c r="AJ210" s="6">
        <v>238787.27</v>
      </c>
      <c r="AK210" s="6">
        <v>227778</v>
      </c>
      <c r="AL210" s="6">
        <v>353055.9</v>
      </c>
      <c r="AM210" s="6">
        <v>260426.18</v>
      </c>
      <c r="AN210" s="6">
        <v>173490.91</v>
      </c>
      <c r="AO210" s="6">
        <v>84657.49</v>
      </c>
      <c r="AP210" s="6">
        <v>3416.67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50"/>
      <c r="AY210" s="52"/>
      <c r="AZ210" s="52"/>
      <c r="BA210" s="52"/>
      <c r="BB210" s="52"/>
      <c r="BC210" s="52"/>
      <c r="BD210" s="52"/>
      <c r="BE210" s="52"/>
      <c r="BF210" s="52"/>
      <c r="BG210" s="52"/>
      <c r="BH210" s="52"/>
      <c r="BI210" s="52"/>
      <c r="BJ210" s="52"/>
      <c r="BK210" s="52"/>
      <c r="BL210" s="52"/>
      <c r="BM210" s="52"/>
      <c r="BN210" s="52"/>
      <c r="BO210" s="52"/>
      <c r="BP210" s="52"/>
      <c r="BQ210" s="52"/>
      <c r="BR210" s="52"/>
      <c r="BS210" s="52"/>
      <c r="BT210" s="52"/>
      <c r="BU210" s="52"/>
      <c r="BV210" s="52"/>
      <c r="BW210" s="52"/>
      <c r="BX210" s="52"/>
      <c r="BY210" s="52"/>
      <c r="BZ210" s="52"/>
      <c r="CA210" s="52"/>
      <c r="CB210" s="52"/>
      <c r="CC210" s="52"/>
      <c r="CD210" s="52"/>
      <c r="CE210" s="52"/>
      <c r="CF210" s="52"/>
      <c r="CG210" s="52"/>
      <c r="CH210" s="52"/>
      <c r="CI210" s="76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  <c r="DF210" s="51"/>
      <c r="DG210" s="51"/>
      <c r="DH210" s="51"/>
      <c r="DI210" s="51"/>
      <c r="DJ210" s="51"/>
      <c r="DK210" s="51"/>
      <c r="DL210" s="51"/>
      <c r="DM210" s="51"/>
      <c r="DN210" s="51"/>
      <c r="DO210" s="51"/>
    </row>
    <row r="211" spans="1:119" hidden="1" x14ac:dyDescent="0.3">
      <c r="A211" t="s">
        <v>7</v>
      </c>
      <c r="B211" s="4" t="s">
        <v>432</v>
      </c>
      <c r="C211" s="4" t="s">
        <v>433</v>
      </c>
      <c r="D211" s="4" t="s">
        <v>445</v>
      </c>
      <c r="E211" s="4" t="s">
        <v>446</v>
      </c>
      <c r="F211" s="12">
        <v>531.34</v>
      </c>
      <c r="G211" s="34">
        <f t="shared" si="19"/>
        <v>0</v>
      </c>
      <c r="H211" s="28">
        <f t="shared" si="20"/>
        <v>0</v>
      </c>
      <c r="I211" s="28">
        <f t="shared" si="21"/>
        <v>0</v>
      </c>
      <c r="J211" s="26">
        <f t="shared" si="22"/>
        <v>0</v>
      </c>
      <c r="K211" s="24">
        <f t="shared" si="23"/>
        <v>0</v>
      </c>
      <c r="L211" s="31">
        <f t="shared" si="24"/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4"/>
      <c r="AY211" s="4"/>
      <c r="CI211" s="74" t="e">
        <v>#N/A</v>
      </c>
    </row>
    <row r="212" spans="1:119" hidden="1" x14ac:dyDescent="0.3">
      <c r="A212" t="s">
        <v>7</v>
      </c>
      <c r="B212" s="4" t="s">
        <v>432</v>
      </c>
      <c r="C212" s="4" t="s">
        <v>433</v>
      </c>
      <c r="D212" s="4" t="s">
        <v>447</v>
      </c>
      <c r="E212" s="4" t="s">
        <v>448</v>
      </c>
      <c r="F212" s="12">
        <v>18.41</v>
      </c>
      <c r="G212" s="34">
        <f t="shared" si="19"/>
        <v>0</v>
      </c>
      <c r="H212" s="28">
        <f t="shared" si="20"/>
        <v>0</v>
      </c>
      <c r="I212" s="28">
        <f t="shared" si="21"/>
        <v>0</v>
      </c>
      <c r="J212" s="26">
        <f t="shared" si="22"/>
        <v>0</v>
      </c>
      <c r="K212" s="24">
        <f t="shared" si="23"/>
        <v>0</v>
      </c>
      <c r="L212" s="31">
        <f t="shared" si="24"/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4"/>
      <c r="AY212" s="4"/>
      <c r="CI212" s="74" t="e">
        <v>#N/A</v>
      </c>
    </row>
    <row r="213" spans="1:119" hidden="1" x14ac:dyDescent="0.3">
      <c r="A213" t="s">
        <v>7</v>
      </c>
      <c r="B213" s="4" t="s">
        <v>432</v>
      </c>
      <c r="C213" s="4" t="s">
        <v>433</v>
      </c>
      <c r="D213" s="86" t="s">
        <v>449</v>
      </c>
      <c r="E213" s="4" t="s">
        <v>450</v>
      </c>
      <c r="F213" s="12">
        <v>800</v>
      </c>
      <c r="G213" s="34">
        <f t="shared" si="19"/>
        <v>11520000</v>
      </c>
      <c r="H213" s="28">
        <f t="shared" si="20"/>
        <v>14400</v>
      </c>
      <c r="I213" s="28">
        <f t="shared" si="21"/>
        <v>1200</v>
      </c>
      <c r="J213" s="26">
        <f t="shared" si="22"/>
        <v>6400000</v>
      </c>
      <c r="K213" s="24">
        <f t="shared" si="23"/>
        <v>8000</v>
      </c>
      <c r="L213" s="31">
        <f t="shared" si="24"/>
        <v>1600</v>
      </c>
      <c r="M213" s="9">
        <v>0</v>
      </c>
      <c r="N213" s="9">
        <v>0</v>
      </c>
      <c r="O213" s="9">
        <v>0</v>
      </c>
      <c r="P213" s="9">
        <v>0</v>
      </c>
      <c r="Q213" s="17">
        <v>1600</v>
      </c>
      <c r="R213" s="17">
        <v>1600</v>
      </c>
      <c r="S213" s="17">
        <v>1600</v>
      </c>
      <c r="T213" s="17">
        <v>1600</v>
      </c>
      <c r="U213" s="17">
        <v>1600</v>
      </c>
      <c r="V213" s="17">
        <v>1600</v>
      </c>
      <c r="W213" s="17">
        <v>1600</v>
      </c>
      <c r="X213" s="17">
        <v>1600</v>
      </c>
      <c r="Y213" s="17">
        <v>1600</v>
      </c>
      <c r="Z213" s="17">
        <v>1600</v>
      </c>
      <c r="AA213" s="17">
        <v>1600</v>
      </c>
      <c r="AB213" s="17">
        <v>1600</v>
      </c>
      <c r="AC213" s="17">
        <v>1600</v>
      </c>
      <c r="AD213" s="17">
        <v>1600</v>
      </c>
      <c r="AF213" s="6">
        <v>0</v>
      </c>
      <c r="AG213" s="6">
        <v>0</v>
      </c>
      <c r="AH213" s="6">
        <v>0</v>
      </c>
      <c r="AI213" s="6">
        <v>0</v>
      </c>
      <c r="AJ213" s="6">
        <v>1280000</v>
      </c>
      <c r="AK213" s="6">
        <v>1280000</v>
      </c>
      <c r="AL213" s="6">
        <v>1280000</v>
      </c>
      <c r="AM213" s="6">
        <v>1280000</v>
      </c>
      <c r="AN213" s="6">
        <v>1280000</v>
      </c>
      <c r="AO213" s="6">
        <v>1280000</v>
      </c>
      <c r="AP213" s="6">
        <v>1280000</v>
      </c>
      <c r="AQ213" s="6">
        <v>1280000</v>
      </c>
      <c r="AR213" s="6">
        <v>1280000</v>
      </c>
      <c r="AS213" s="6">
        <v>1280000</v>
      </c>
      <c r="AT213" s="6">
        <v>1280000</v>
      </c>
      <c r="AU213" s="6">
        <v>1280000</v>
      </c>
      <c r="AV213" s="6">
        <v>1280000</v>
      </c>
      <c r="AW213" s="6">
        <v>1280000</v>
      </c>
      <c r="AX213" s="50"/>
      <c r="AY213" s="52"/>
      <c r="AZ213" s="52"/>
      <c r="BA213" s="52"/>
      <c r="BB213" s="52"/>
      <c r="BC213" s="52"/>
      <c r="BD213" s="52"/>
      <c r="BE213" s="52"/>
      <c r="BF213" s="52"/>
      <c r="BG213" s="52"/>
      <c r="BH213" s="52"/>
      <c r="BI213" s="52"/>
      <c r="BJ213" s="52"/>
      <c r="BK213" s="52"/>
      <c r="BL213" s="52"/>
      <c r="BM213" s="52"/>
      <c r="BN213" s="52"/>
      <c r="BO213" s="52"/>
      <c r="BP213" s="52"/>
      <c r="BQ213" s="52"/>
      <c r="BR213" s="52"/>
      <c r="BS213" s="52"/>
      <c r="BT213" s="52"/>
      <c r="BU213" s="52"/>
      <c r="BV213" s="52"/>
      <c r="BW213" s="52"/>
      <c r="BX213" s="52"/>
      <c r="BY213" s="52"/>
      <c r="BZ213" s="52"/>
      <c r="CA213" s="52"/>
      <c r="CB213" s="52"/>
      <c r="CC213" s="52"/>
      <c r="CD213" s="52"/>
      <c r="CE213" s="52"/>
      <c r="CF213" s="52"/>
      <c r="CG213" s="52"/>
      <c r="CH213" s="52"/>
      <c r="CI213" s="76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1"/>
      <c r="CW213" s="51"/>
      <c r="CX213" s="51"/>
      <c r="CY213" s="51"/>
      <c r="CZ213" s="51"/>
      <c r="DA213" s="51"/>
      <c r="DB213" s="51"/>
      <c r="DC213" s="51"/>
      <c r="DD213" s="51"/>
      <c r="DE213" s="51"/>
      <c r="DF213" s="51"/>
      <c r="DG213" s="51"/>
      <c r="DH213" s="51"/>
      <c r="DI213" s="51"/>
      <c r="DJ213" s="51"/>
      <c r="DK213" s="51"/>
      <c r="DL213" s="51"/>
      <c r="DM213" s="51"/>
      <c r="DN213" s="51"/>
      <c r="DO213" s="51"/>
    </row>
    <row r="214" spans="1:119" hidden="1" x14ac:dyDescent="0.3">
      <c r="A214" t="s">
        <v>7</v>
      </c>
      <c r="B214" s="4" t="s">
        <v>432</v>
      </c>
      <c r="C214" s="4" t="s">
        <v>451</v>
      </c>
      <c r="D214" s="87">
        <v>1149937</v>
      </c>
      <c r="E214" s="4" t="s">
        <v>452</v>
      </c>
      <c r="F214" s="12">
        <v>3.48</v>
      </c>
      <c r="G214" s="34">
        <f t="shared" si="19"/>
        <v>156600</v>
      </c>
      <c r="H214" s="28">
        <f t="shared" si="20"/>
        <v>45000</v>
      </c>
      <c r="I214" s="28">
        <f t="shared" si="21"/>
        <v>3750</v>
      </c>
      <c r="J214" s="26">
        <f t="shared" si="22"/>
        <v>87000</v>
      </c>
      <c r="K214" s="24">
        <f t="shared" si="23"/>
        <v>25000</v>
      </c>
      <c r="L214" s="31">
        <f t="shared" si="24"/>
        <v>5000</v>
      </c>
      <c r="M214" s="9">
        <v>0</v>
      </c>
      <c r="N214" s="9">
        <v>0</v>
      </c>
      <c r="O214" s="9">
        <v>0</v>
      </c>
      <c r="P214" s="9">
        <v>0</v>
      </c>
      <c r="Q214" s="9">
        <v>5000</v>
      </c>
      <c r="R214" s="9">
        <v>5000</v>
      </c>
      <c r="S214" s="9">
        <v>5000</v>
      </c>
      <c r="T214" s="9">
        <v>5000</v>
      </c>
      <c r="U214" s="9">
        <v>5000</v>
      </c>
      <c r="V214" s="9">
        <v>5000</v>
      </c>
      <c r="W214" s="9">
        <v>5000</v>
      </c>
      <c r="X214" s="9">
        <v>5000</v>
      </c>
      <c r="Y214" s="9">
        <v>5000</v>
      </c>
      <c r="Z214" s="9">
        <v>5000</v>
      </c>
      <c r="AA214" s="9">
        <v>5000</v>
      </c>
      <c r="AB214" s="9">
        <v>5000</v>
      </c>
      <c r="AC214" s="9">
        <v>5000</v>
      </c>
      <c r="AD214" s="9">
        <v>5000</v>
      </c>
      <c r="AF214" s="6">
        <v>0</v>
      </c>
      <c r="AG214" s="6">
        <v>0</v>
      </c>
      <c r="AH214" s="6">
        <v>0</v>
      </c>
      <c r="AI214" s="6">
        <v>0</v>
      </c>
      <c r="AJ214" s="6">
        <v>17400</v>
      </c>
      <c r="AK214" s="6">
        <v>17400</v>
      </c>
      <c r="AL214" s="6">
        <v>17400</v>
      </c>
      <c r="AM214" s="6">
        <v>17400</v>
      </c>
      <c r="AN214" s="6">
        <v>17400</v>
      </c>
      <c r="AO214" s="6">
        <v>17400</v>
      </c>
      <c r="AP214" s="6">
        <v>17400</v>
      </c>
      <c r="AQ214" s="6">
        <v>17400</v>
      </c>
      <c r="AR214" s="6">
        <v>17400</v>
      </c>
      <c r="AS214" s="6">
        <v>17400</v>
      </c>
      <c r="AT214" s="6">
        <v>17400</v>
      </c>
      <c r="AU214" s="6">
        <v>17400</v>
      </c>
      <c r="AV214" s="6">
        <v>17400</v>
      </c>
      <c r="AW214" s="6">
        <v>17400</v>
      </c>
      <c r="AX214" s="50"/>
      <c r="AY214" s="52"/>
      <c r="AZ214" s="52"/>
      <c r="BA214" s="52"/>
      <c r="BB214" s="52"/>
      <c r="BC214" s="52"/>
      <c r="BD214" s="52"/>
      <c r="BE214" s="52"/>
      <c r="BF214" s="52"/>
      <c r="BG214" s="52"/>
      <c r="BH214" s="52"/>
      <c r="BI214" s="52"/>
      <c r="BJ214" s="52"/>
      <c r="BK214" s="52"/>
      <c r="BL214" s="52"/>
      <c r="BM214" s="52"/>
      <c r="BN214" s="52"/>
      <c r="BO214" s="52"/>
      <c r="BP214" s="52"/>
      <c r="BQ214" s="52"/>
      <c r="BR214" s="52"/>
      <c r="BS214" s="52"/>
      <c r="BT214" s="52"/>
      <c r="BU214" s="52"/>
      <c r="BV214" s="52"/>
      <c r="BW214" s="52"/>
      <c r="BX214" s="52"/>
      <c r="BY214" s="52"/>
      <c r="BZ214" s="52"/>
      <c r="CA214" s="52"/>
      <c r="CB214" s="52"/>
      <c r="CC214" s="52"/>
      <c r="CD214" s="52"/>
      <c r="CE214" s="52"/>
      <c r="CF214" s="52"/>
      <c r="CG214" s="52"/>
      <c r="CH214" s="52"/>
      <c r="CI214" s="76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1"/>
      <c r="CW214" s="51"/>
      <c r="CX214" s="51"/>
      <c r="CY214" s="51"/>
      <c r="CZ214" s="51"/>
      <c r="DA214" s="51"/>
      <c r="DB214" s="51"/>
      <c r="DC214" s="51"/>
      <c r="DD214" s="51"/>
      <c r="DE214" s="51"/>
      <c r="DF214" s="51"/>
      <c r="DG214" s="51"/>
      <c r="DH214" s="51"/>
      <c r="DI214" s="51"/>
      <c r="DJ214" s="51"/>
      <c r="DK214" s="51"/>
      <c r="DL214" s="51"/>
      <c r="DM214" s="51"/>
      <c r="DN214" s="51"/>
      <c r="DO214" s="51"/>
    </row>
    <row r="215" spans="1:119" hidden="1" x14ac:dyDescent="0.3">
      <c r="A215" t="s">
        <v>7</v>
      </c>
      <c r="B215" s="4" t="s">
        <v>432</v>
      </c>
      <c r="C215" s="4" t="s">
        <v>451</v>
      </c>
      <c r="D215" s="87">
        <v>1149938</v>
      </c>
      <c r="E215" s="4" t="s">
        <v>453</v>
      </c>
      <c r="F215" s="12">
        <v>0.67</v>
      </c>
      <c r="G215" s="34">
        <f t="shared" si="19"/>
        <v>30150</v>
      </c>
      <c r="H215" s="28">
        <f t="shared" si="20"/>
        <v>45000</v>
      </c>
      <c r="I215" s="28">
        <f t="shared" si="21"/>
        <v>3750</v>
      </c>
      <c r="J215" s="26">
        <f t="shared" si="22"/>
        <v>16750</v>
      </c>
      <c r="K215" s="24">
        <f t="shared" si="23"/>
        <v>25000</v>
      </c>
      <c r="L215" s="31">
        <f t="shared" si="24"/>
        <v>5000</v>
      </c>
      <c r="M215" s="9">
        <v>0</v>
      </c>
      <c r="N215" s="9">
        <v>0</v>
      </c>
      <c r="O215" s="9">
        <v>0</v>
      </c>
      <c r="P215" s="9">
        <v>0</v>
      </c>
      <c r="Q215" s="9">
        <v>5000</v>
      </c>
      <c r="R215" s="9">
        <v>5000</v>
      </c>
      <c r="S215" s="9">
        <v>5000</v>
      </c>
      <c r="T215" s="9">
        <v>5000</v>
      </c>
      <c r="U215" s="9">
        <v>5000</v>
      </c>
      <c r="V215" s="9">
        <v>5000</v>
      </c>
      <c r="W215" s="9">
        <v>5000</v>
      </c>
      <c r="X215" s="9">
        <v>5000</v>
      </c>
      <c r="Y215" s="9">
        <v>5000</v>
      </c>
      <c r="Z215" s="9">
        <v>5000</v>
      </c>
      <c r="AA215" s="9">
        <v>5000</v>
      </c>
      <c r="AB215" s="9">
        <v>5000</v>
      </c>
      <c r="AC215" s="9">
        <v>5000</v>
      </c>
      <c r="AD215" s="9">
        <v>5000</v>
      </c>
      <c r="AF215" s="6">
        <v>0</v>
      </c>
      <c r="AG215" s="6">
        <v>0</v>
      </c>
      <c r="AH215" s="6">
        <v>0</v>
      </c>
      <c r="AI215" s="6">
        <v>0</v>
      </c>
      <c r="AJ215" s="6">
        <v>3350</v>
      </c>
      <c r="AK215" s="6">
        <v>3350</v>
      </c>
      <c r="AL215" s="6">
        <v>3350</v>
      </c>
      <c r="AM215" s="6">
        <v>3350</v>
      </c>
      <c r="AN215" s="6">
        <v>3350</v>
      </c>
      <c r="AO215" s="6">
        <v>3350</v>
      </c>
      <c r="AP215" s="6">
        <v>3350</v>
      </c>
      <c r="AQ215" s="6">
        <v>3350</v>
      </c>
      <c r="AR215" s="6">
        <v>3350</v>
      </c>
      <c r="AS215" s="6">
        <v>3350</v>
      </c>
      <c r="AT215" s="6">
        <v>3350</v>
      </c>
      <c r="AU215" s="6">
        <v>3350</v>
      </c>
      <c r="AV215" s="6">
        <v>3350</v>
      </c>
      <c r="AW215" s="6">
        <v>3350</v>
      </c>
      <c r="AX215" s="50"/>
      <c r="AY215" s="52"/>
      <c r="AZ215" s="52"/>
      <c r="BA215" s="52"/>
      <c r="BB215" s="52"/>
      <c r="BC215" s="52"/>
      <c r="BD215" s="52"/>
      <c r="BE215" s="52"/>
      <c r="BF215" s="52"/>
      <c r="BG215" s="52"/>
      <c r="BH215" s="52"/>
      <c r="BI215" s="52"/>
      <c r="BJ215" s="52"/>
      <c r="BK215" s="52"/>
      <c r="BL215" s="52"/>
      <c r="BM215" s="52"/>
      <c r="BN215" s="52"/>
      <c r="BO215" s="52"/>
      <c r="BP215" s="52"/>
      <c r="BQ215" s="52"/>
      <c r="BR215" s="52"/>
      <c r="BS215" s="52"/>
      <c r="BT215" s="52"/>
      <c r="BU215" s="52"/>
      <c r="BV215" s="52"/>
      <c r="BW215" s="52"/>
      <c r="BX215" s="52"/>
      <c r="BY215" s="52"/>
      <c r="BZ215" s="52"/>
      <c r="CA215" s="52"/>
      <c r="CB215" s="52"/>
      <c r="CC215" s="52"/>
      <c r="CD215" s="52"/>
      <c r="CE215" s="52"/>
      <c r="CF215" s="52"/>
      <c r="CG215" s="52"/>
      <c r="CH215" s="52"/>
      <c r="CI215" s="76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  <c r="DK215" s="51"/>
      <c r="DL215" s="51"/>
      <c r="DM215" s="51"/>
      <c r="DN215" s="51"/>
      <c r="DO215" s="51"/>
    </row>
    <row r="216" spans="1:119" hidden="1" x14ac:dyDescent="0.3">
      <c r="A216" t="s">
        <v>7</v>
      </c>
      <c r="B216" s="4" t="s">
        <v>432</v>
      </c>
      <c r="C216" s="4" t="s">
        <v>451</v>
      </c>
      <c r="D216" s="87">
        <v>1149941</v>
      </c>
      <c r="E216" s="4" t="s">
        <v>454</v>
      </c>
      <c r="F216" s="12">
        <v>10.5</v>
      </c>
      <c r="G216" s="34">
        <f t="shared" si="19"/>
        <v>472500</v>
      </c>
      <c r="H216" s="28">
        <f t="shared" si="20"/>
        <v>45000</v>
      </c>
      <c r="I216" s="28">
        <f t="shared" si="21"/>
        <v>3750</v>
      </c>
      <c r="J216" s="26">
        <f t="shared" si="22"/>
        <v>262500</v>
      </c>
      <c r="K216" s="24">
        <f t="shared" si="23"/>
        <v>25000</v>
      </c>
      <c r="L216" s="31">
        <f t="shared" si="24"/>
        <v>5000</v>
      </c>
      <c r="M216" s="9">
        <v>0</v>
      </c>
      <c r="N216" s="9">
        <v>0</v>
      </c>
      <c r="O216" s="9">
        <v>0</v>
      </c>
      <c r="P216" s="9">
        <v>0</v>
      </c>
      <c r="Q216" s="9">
        <v>5000</v>
      </c>
      <c r="R216" s="9">
        <v>5000</v>
      </c>
      <c r="S216" s="9">
        <v>5000</v>
      </c>
      <c r="T216" s="9">
        <v>5000</v>
      </c>
      <c r="U216" s="9">
        <v>5000</v>
      </c>
      <c r="V216" s="9">
        <v>5000</v>
      </c>
      <c r="W216" s="9">
        <v>5000</v>
      </c>
      <c r="X216" s="9">
        <v>5000</v>
      </c>
      <c r="Y216" s="9">
        <v>5000</v>
      </c>
      <c r="Z216" s="9">
        <v>5000</v>
      </c>
      <c r="AA216" s="9">
        <v>5000</v>
      </c>
      <c r="AB216" s="9">
        <v>5000</v>
      </c>
      <c r="AC216" s="9">
        <v>5000</v>
      </c>
      <c r="AD216" s="9">
        <v>5000</v>
      </c>
      <c r="AF216" s="6">
        <v>0</v>
      </c>
      <c r="AG216" s="6">
        <v>0</v>
      </c>
      <c r="AH216" s="6">
        <v>0</v>
      </c>
      <c r="AI216" s="6">
        <v>0</v>
      </c>
      <c r="AJ216" s="6">
        <v>52500</v>
      </c>
      <c r="AK216" s="6">
        <v>52500</v>
      </c>
      <c r="AL216" s="6">
        <v>52500</v>
      </c>
      <c r="AM216" s="6">
        <v>52500</v>
      </c>
      <c r="AN216" s="6">
        <v>52500</v>
      </c>
      <c r="AO216" s="6">
        <v>52500</v>
      </c>
      <c r="AP216" s="6">
        <v>52500</v>
      </c>
      <c r="AQ216" s="6">
        <v>52500</v>
      </c>
      <c r="AR216" s="6">
        <v>52500</v>
      </c>
      <c r="AS216" s="6">
        <v>52500</v>
      </c>
      <c r="AT216" s="6">
        <v>52500</v>
      </c>
      <c r="AU216" s="6">
        <v>52500</v>
      </c>
      <c r="AV216" s="6">
        <v>52500</v>
      </c>
      <c r="AW216" s="6">
        <v>52500</v>
      </c>
      <c r="AX216" s="50"/>
      <c r="AY216" s="52"/>
      <c r="AZ216" s="52"/>
      <c r="BA216" s="52"/>
      <c r="BB216" s="52"/>
      <c r="BC216" s="52"/>
      <c r="BD216" s="52"/>
      <c r="BE216" s="52"/>
      <c r="BF216" s="52"/>
      <c r="BG216" s="52"/>
      <c r="BH216" s="52"/>
      <c r="BI216" s="52"/>
      <c r="BJ216" s="52"/>
      <c r="BK216" s="52"/>
      <c r="BL216" s="52"/>
      <c r="BM216" s="52"/>
      <c r="BN216" s="52"/>
      <c r="BO216" s="52"/>
      <c r="BP216" s="52"/>
      <c r="BQ216" s="52"/>
      <c r="BR216" s="52"/>
      <c r="BS216" s="52"/>
      <c r="BT216" s="52"/>
      <c r="BU216" s="52"/>
      <c r="BV216" s="52"/>
      <c r="BW216" s="52"/>
      <c r="BX216" s="52"/>
      <c r="BY216" s="52"/>
      <c r="BZ216" s="52"/>
      <c r="CA216" s="52"/>
      <c r="CB216" s="52"/>
      <c r="CC216" s="52"/>
      <c r="CD216" s="52"/>
      <c r="CE216" s="52"/>
      <c r="CF216" s="52"/>
      <c r="CG216" s="52"/>
      <c r="CH216" s="52"/>
      <c r="CI216" s="76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1"/>
      <c r="CW216" s="51"/>
      <c r="CX216" s="51"/>
      <c r="CY216" s="51"/>
      <c r="CZ216" s="51"/>
      <c r="DA216" s="51"/>
      <c r="DB216" s="51"/>
      <c r="DC216" s="51"/>
      <c r="DD216" s="51"/>
      <c r="DE216" s="51"/>
      <c r="DF216" s="51"/>
      <c r="DG216" s="51"/>
      <c r="DH216" s="51"/>
      <c r="DI216" s="51"/>
      <c r="DJ216" s="51"/>
      <c r="DK216" s="51"/>
      <c r="DL216" s="51"/>
      <c r="DM216" s="51"/>
      <c r="DN216" s="51"/>
      <c r="DO216" s="51"/>
    </row>
    <row r="217" spans="1:119" hidden="1" x14ac:dyDescent="0.3">
      <c r="A217" t="s">
        <v>7</v>
      </c>
      <c r="B217" s="4" t="s">
        <v>432</v>
      </c>
      <c r="C217" s="4" t="s">
        <v>451</v>
      </c>
      <c r="D217" s="87">
        <v>1153059</v>
      </c>
      <c r="E217" s="4" t="s">
        <v>455</v>
      </c>
      <c r="F217" s="12">
        <v>3.18</v>
      </c>
      <c r="G217" s="34">
        <f t="shared" si="19"/>
        <v>143100</v>
      </c>
      <c r="H217" s="28">
        <f t="shared" si="20"/>
        <v>45000</v>
      </c>
      <c r="I217" s="28">
        <f t="shared" si="21"/>
        <v>3750</v>
      </c>
      <c r="J217" s="26">
        <f t="shared" si="22"/>
        <v>79500</v>
      </c>
      <c r="K217" s="24">
        <f t="shared" si="23"/>
        <v>25000</v>
      </c>
      <c r="L217" s="31">
        <f t="shared" si="24"/>
        <v>5000</v>
      </c>
      <c r="M217" s="9">
        <v>0</v>
      </c>
      <c r="N217" s="9">
        <v>0</v>
      </c>
      <c r="O217" s="9">
        <v>0</v>
      </c>
      <c r="P217" s="9">
        <v>0</v>
      </c>
      <c r="Q217" s="9">
        <v>5000</v>
      </c>
      <c r="R217" s="9">
        <v>5000</v>
      </c>
      <c r="S217" s="9">
        <v>5000</v>
      </c>
      <c r="T217" s="9">
        <v>5000</v>
      </c>
      <c r="U217" s="9">
        <v>5000</v>
      </c>
      <c r="V217" s="9">
        <v>5000</v>
      </c>
      <c r="W217" s="9">
        <v>5000</v>
      </c>
      <c r="X217" s="9">
        <v>5000</v>
      </c>
      <c r="Y217" s="9">
        <v>5000</v>
      </c>
      <c r="Z217" s="9">
        <v>5000</v>
      </c>
      <c r="AA217" s="9">
        <v>5000</v>
      </c>
      <c r="AB217" s="9">
        <v>5000</v>
      </c>
      <c r="AC217" s="9">
        <v>5000</v>
      </c>
      <c r="AD217" s="9">
        <v>5000</v>
      </c>
      <c r="AF217" s="6">
        <v>0</v>
      </c>
      <c r="AG217" s="6">
        <v>0</v>
      </c>
      <c r="AH217" s="6">
        <v>0</v>
      </c>
      <c r="AI217" s="6">
        <v>0</v>
      </c>
      <c r="AJ217" s="6">
        <v>15900</v>
      </c>
      <c r="AK217" s="6">
        <v>15900</v>
      </c>
      <c r="AL217" s="6">
        <v>15900</v>
      </c>
      <c r="AM217" s="6">
        <v>15900</v>
      </c>
      <c r="AN217" s="6">
        <v>15900</v>
      </c>
      <c r="AO217" s="6">
        <v>15900</v>
      </c>
      <c r="AP217" s="6">
        <v>15900</v>
      </c>
      <c r="AQ217" s="6">
        <v>15900</v>
      </c>
      <c r="AR217" s="6">
        <v>15900</v>
      </c>
      <c r="AS217" s="6">
        <v>15900</v>
      </c>
      <c r="AT217" s="6">
        <v>15900</v>
      </c>
      <c r="AU217" s="6">
        <v>15900</v>
      </c>
      <c r="AV217" s="6">
        <v>15900</v>
      </c>
      <c r="AW217" s="6">
        <v>15900</v>
      </c>
      <c r="AX217" s="50"/>
      <c r="AY217" s="52"/>
      <c r="AZ217" s="52"/>
      <c r="BA217" s="52"/>
      <c r="BB217" s="52"/>
      <c r="BC217" s="52"/>
      <c r="BD217" s="52"/>
      <c r="BE217" s="52"/>
      <c r="BF217" s="52"/>
      <c r="BG217" s="52"/>
      <c r="BH217" s="52"/>
      <c r="BI217" s="52"/>
      <c r="BJ217" s="52"/>
      <c r="BK217" s="52"/>
      <c r="BL217" s="52"/>
      <c r="BM217" s="52"/>
      <c r="BN217" s="52"/>
      <c r="BO217" s="52"/>
      <c r="BP217" s="52"/>
      <c r="BQ217" s="52"/>
      <c r="BR217" s="52"/>
      <c r="BS217" s="52"/>
      <c r="BT217" s="52"/>
      <c r="BU217" s="52"/>
      <c r="BV217" s="52"/>
      <c r="BW217" s="52"/>
      <c r="BX217" s="52"/>
      <c r="BY217" s="52"/>
      <c r="BZ217" s="52"/>
      <c r="CA217" s="52"/>
      <c r="CB217" s="52"/>
      <c r="CC217" s="52"/>
      <c r="CD217" s="52"/>
      <c r="CE217" s="52"/>
      <c r="CF217" s="52"/>
      <c r="CG217" s="52"/>
      <c r="CH217" s="52"/>
      <c r="CI217" s="76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2"/>
      <c r="CV217" s="51"/>
      <c r="CW217" s="51"/>
      <c r="CX217" s="51"/>
      <c r="CY217" s="51"/>
      <c r="CZ217" s="51"/>
      <c r="DA217" s="51"/>
      <c r="DB217" s="51"/>
      <c r="DC217" s="51"/>
      <c r="DD217" s="51"/>
      <c r="DE217" s="51"/>
      <c r="DF217" s="51"/>
      <c r="DG217" s="51"/>
      <c r="DH217" s="51"/>
      <c r="DI217" s="51"/>
      <c r="DJ217" s="51"/>
      <c r="DK217" s="51"/>
      <c r="DL217" s="51"/>
      <c r="DM217" s="51"/>
      <c r="DN217" s="51"/>
      <c r="DO217" s="51"/>
    </row>
    <row r="218" spans="1:119" hidden="1" x14ac:dyDescent="0.3">
      <c r="A218" t="s">
        <v>7</v>
      </c>
      <c r="B218" s="4" t="s">
        <v>432</v>
      </c>
      <c r="C218" s="4" t="s">
        <v>451</v>
      </c>
      <c r="D218" s="87">
        <v>1153063</v>
      </c>
      <c r="E218" s="4" t="s">
        <v>456</v>
      </c>
      <c r="F218" s="12">
        <v>3.87</v>
      </c>
      <c r="G218" s="34">
        <f t="shared" si="19"/>
        <v>174150</v>
      </c>
      <c r="H218" s="28">
        <f t="shared" si="20"/>
        <v>45000</v>
      </c>
      <c r="I218" s="28">
        <f t="shared" si="21"/>
        <v>3750</v>
      </c>
      <c r="J218" s="26">
        <f t="shared" si="22"/>
        <v>96750</v>
      </c>
      <c r="K218" s="24">
        <f t="shared" si="23"/>
        <v>25000</v>
      </c>
      <c r="L218" s="31">
        <f t="shared" si="24"/>
        <v>5000</v>
      </c>
      <c r="M218" s="9">
        <v>0</v>
      </c>
      <c r="N218" s="9">
        <v>0</v>
      </c>
      <c r="O218" s="9">
        <v>0</v>
      </c>
      <c r="P218" s="9">
        <v>0</v>
      </c>
      <c r="Q218" s="9">
        <v>5000</v>
      </c>
      <c r="R218" s="9">
        <v>5000</v>
      </c>
      <c r="S218" s="9">
        <v>5000</v>
      </c>
      <c r="T218" s="9">
        <v>5000</v>
      </c>
      <c r="U218" s="9">
        <v>5000</v>
      </c>
      <c r="V218" s="9">
        <v>5000</v>
      </c>
      <c r="W218" s="9">
        <v>5000</v>
      </c>
      <c r="X218" s="9">
        <v>5000</v>
      </c>
      <c r="Y218" s="9">
        <v>5000</v>
      </c>
      <c r="Z218" s="9">
        <v>5000</v>
      </c>
      <c r="AA218" s="9">
        <v>5000</v>
      </c>
      <c r="AB218" s="9">
        <v>5000</v>
      </c>
      <c r="AC218" s="9">
        <v>5000</v>
      </c>
      <c r="AD218" s="9">
        <v>5000</v>
      </c>
      <c r="AF218" s="6">
        <v>0</v>
      </c>
      <c r="AG218" s="6">
        <v>0</v>
      </c>
      <c r="AH218" s="6">
        <v>0</v>
      </c>
      <c r="AI218" s="6">
        <v>0</v>
      </c>
      <c r="AJ218" s="6">
        <v>19350</v>
      </c>
      <c r="AK218" s="6">
        <v>19350</v>
      </c>
      <c r="AL218" s="6">
        <v>19350</v>
      </c>
      <c r="AM218" s="6">
        <v>19350</v>
      </c>
      <c r="AN218" s="6">
        <v>19350</v>
      </c>
      <c r="AO218" s="6">
        <v>19350</v>
      </c>
      <c r="AP218" s="6">
        <v>19350</v>
      </c>
      <c r="AQ218" s="6">
        <v>19350</v>
      </c>
      <c r="AR218" s="6">
        <v>19350</v>
      </c>
      <c r="AS218" s="6">
        <v>19350</v>
      </c>
      <c r="AT218" s="6">
        <v>19350</v>
      </c>
      <c r="AU218" s="6">
        <v>19350</v>
      </c>
      <c r="AV218" s="6">
        <v>19350</v>
      </c>
      <c r="AW218" s="6">
        <v>19350</v>
      </c>
      <c r="AX218" s="50"/>
      <c r="AY218" s="52"/>
      <c r="AZ218" s="52"/>
      <c r="BA218" s="52"/>
      <c r="BB218" s="52"/>
      <c r="BC218" s="52"/>
      <c r="BD218" s="52"/>
      <c r="BE218" s="52"/>
      <c r="BF218" s="52"/>
      <c r="BG218" s="52"/>
      <c r="BH218" s="52"/>
      <c r="BI218" s="52"/>
      <c r="BJ218" s="52"/>
      <c r="BK218" s="52"/>
      <c r="BL218" s="52"/>
      <c r="BM218" s="52"/>
      <c r="BN218" s="52"/>
      <c r="BO218" s="52"/>
      <c r="BP218" s="52"/>
      <c r="BQ218" s="52"/>
      <c r="BR218" s="52"/>
      <c r="BS218" s="52"/>
      <c r="BT218" s="52"/>
      <c r="BU218" s="52"/>
      <c r="BV218" s="52"/>
      <c r="BW218" s="52"/>
      <c r="BX218" s="52"/>
      <c r="BY218" s="52"/>
      <c r="BZ218" s="52"/>
      <c r="CA218" s="52"/>
      <c r="CB218" s="52"/>
      <c r="CC218" s="52"/>
      <c r="CD218" s="52"/>
      <c r="CE218" s="52"/>
      <c r="CF218" s="52"/>
      <c r="CG218" s="52"/>
      <c r="CH218" s="52"/>
      <c r="CI218" s="76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  <c r="DK218" s="51"/>
      <c r="DL218" s="51"/>
      <c r="DM218" s="51"/>
      <c r="DN218" s="51"/>
      <c r="DO218" s="51"/>
    </row>
    <row r="219" spans="1:119" hidden="1" x14ac:dyDescent="0.3">
      <c r="A219" t="s">
        <v>7</v>
      </c>
      <c r="B219" s="4" t="s">
        <v>432</v>
      </c>
      <c r="C219" s="4" t="s">
        <v>451</v>
      </c>
      <c r="D219" s="87">
        <v>1156574</v>
      </c>
      <c r="E219" s="4" t="s">
        <v>457</v>
      </c>
      <c r="F219" s="12">
        <v>3.26</v>
      </c>
      <c r="G219" s="34">
        <f t="shared" si="19"/>
        <v>146700</v>
      </c>
      <c r="H219" s="28">
        <f t="shared" si="20"/>
        <v>45000</v>
      </c>
      <c r="I219" s="28">
        <f t="shared" si="21"/>
        <v>3750</v>
      </c>
      <c r="J219" s="26">
        <f t="shared" si="22"/>
        <v>81500</v>
      </c>
      <c r="K219" s="24">
        <f t="shared" si="23"/>
        <v>25000</v>
      </c>
      <c r="L219" s="31">
        <f t="shared" si="24"/>
        <v>5000</v>
      </c>
      <c r="M219" s="9">
        <v>0</v>
      </c>
      <c r="N219" s="9">
        <v>0</v>
      </c>
      <c r="O219" s="9">
        <v>0</v>
      </c>
      <c r="P219" s="9">
        <v>0</v>
      </c>
      <c r="Q219" s="9">
        <v>5000</v>
      </c>
      <c r="R219" s="9">
        <v>5000</v>
      </c>
      <c r="S219" s="9">
        <v>5000</v>
      </c>
      <c r="T219" s="9">
        <v>5000</v>
      </c>
      <c r="U219" s="9">
        <v>5000</v>
      </c>
      <c r="V219" s="9">
        <v>5000</v>
      </c>
      <c r="W219" s="9">
        <v>5000</v>
      </c>
      <c r="X219" s="9">
        <v>5000</v>
      </c>
      <c r="Y219" s="9">
        <v>5000</v>
      </c>
      <c r="Z219" s="9">
        <v>5000</v>
      </c>
      <c r="AA219" s="9">
        <v>5000</v>
      </c>
      <c r="AB219" s="9">
        <v>5000</v>
      </c>
      <c r="AC219" s="9">
        <v>5000</v>
      </c>
      <c r="AD219" s="9">
        <v>5000</v>
      </c>
      <c r="AF219" s="6">
        <v>0</v>
      </c>
      <c r="AG219" s="6">
        <v>0</v>
      </c>
      <c r="AH219" s="6">
        <v>0</v>
      </c>
      <c r="AI219" s="6">
        <v>0</v>
      </c>
      <c r="AJ219" s="6">
        <v>16299.999999999998</v>
      </c>
      <c r="AK219" s="6">
        <v>16299.999999999998</v>
      </c>
      <c r="AL219" s="6">
        <v>16299.999999999998</v>
      </c>
      <c r="AM219" s="6">
        <v>16299.999999999998</v>
      </c>
      <c r="AN219" s="6">
        <v>16299.999999999998</v>
      </c>
      <c r="AO219" s="6">
        <v>16299.999999999998</v>
      </c>
      <c r="AP219" s="6">
        <v>16299.999999999998</v>
      </c>
      <c r="AQ219" s="6">
        <v>16299.999999999998</v>
      </c>
      <c r="AR219" s="6">
        <v>16299.999999999998</v>
      </c>
      <c r="AS219" s="6">
        <v>16299.999999999998</v>
      </c>
      <c r="AT219" s="6">
        <v>16299.999999999998</v>
      </c>
      <c r="AU219" s="6">
        <v>16299.999999999998</v>
      </c>
      <c r="AV219" s="6">
        <v>16299.999999999998</v>
      </c>
      <c r="AW219" s="6">
        <v>16299.999999999998</v>
      </c>
      <c r="AX219" s="50"/>
      <c r="AY219" s="52"/>
      <c r="AZ219" s="52"/>
      <c r="BA219" s="52"/>
      <c r="BB219" s="52"/>
      <c r="BC219" s="52"/>
      <c r="BD219" s="52"/>
      <c r="BE219" s="52"/>
      <c r="BF219" s="52"/>
      <c r="BG219" s="52"/>
      <c r="BH219" s="52"/>
      <c r="BI219" s="52"/>
      <c r="BJ219" s="52"/>
      <c r="BK219" s="52"/>
      <c r="BL219" s="52"/>
      <c r="BM219" s="52"/>
      <c r="BN219" s="52"/>
      <c r="BO219" s="52"/>
      <c r="BP219" s="52"/>
      <c r="BQ219" s="52"/>
      <c r="BR219" s="52"/>
      <c r="BS219" s="52"/>
      <c r="BT219" s="52"/>
      <c r="BU219" s="52"/>
      <c r="BV219" s="52"/>
      <c r="BW219" s="52"/>
      <c r="BX219" s="52"/>
      <c r="BY219" s="52"/>
      <c r="BZ219" s="52"/>
      <c r="CA219" s="52"/>
      <c r="CB219" s="52"/>
      <c r="CC219" s="52"/>
      <c r="CD219" s="52"/>
      <c r="CE219" s="52"/>
      <c r="CF219" s="52"/>
      <c r="CG219" s="52"/>
      <c r="CH219" s="52"/>
      <c r="CI219" s="76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1"/>
      <c r="CW219" s="51"/>
      <c r="CX219" s="51"/>
      <c r="CY219" s="51"/>
      <c r="CZ219" s="51"/>
      <c r="DA219" s="51"/>
      <c r="DB219" s="51"/>
      <c r="DC219" s="51"/>
      <c r="DD219" s="51"/>
      <c r="DE219" s="51"/>
      <c r="DF219" s="51"/>
      <c r="DG219" s="51"/>
      <c r="DH219" s="51"/>
      <c r="DI219" s="51"/>
      <c r="DJ219" s="51"/>
      <c r="DK219" s="51"/>
      <c r="DL219" s="51"/>
      <c r="DM219" s="51"/>
      <c r="DN219" s="51"/>
      <c r="DO219" s="51"/>
    </row>
    <row r="220" spans="1:119" hidden="1" x14ac:dyDescent="0.3">
      <c r="A220" t="s">
        <v>7</v>
      </c>
      <c r="B220" s="4" t="s">
        <v>432</v>
      </c>
      <c r="C220" s="4" t="s">
        <v>451</v>
      </c>
      <c r="D220" s="87">
        <v>1156579</v>
      </c>
      <c r="E220" s="4" t="s">
        <v>458</v>
      </c>
      <c r="F220" s="12">
        <v>4.16</v>
      </c>
      <c r="G220" s="34">
        <f t="shared" si="19"/>
        <v>187200</v>
      </c>
      <c r="H220" s="28">
        <f t="shared" si="20"/>
        <v>45000</v>
      </c>
      <c r="I220" s="28">
        <f t="shared" si="21"/>
        <v>3750</v>
      </c>
      <c r="J220" s="26">
        <f t="shared" si="22"/>
        <v>104000</v>
      </c>
      <c r="K220" s="24">
        <f t="shared" si="23"/>
        <v>25000</v>
      </c>
      <c r="L220" s="31">
        <f t="shared" si="24"/>
        <v>5000</v>
      </c>
      <c r="M220" s="9">
        <v>0</v>
      </c>
      <c r="N220" s="9">
        <v>0</v>
      </c>
      <c r="O220" s="9">
        <v>0</v>
      </c>
      <c r="P220" s="9">
        <v>0</v>
      </c>
      <c r="Q220" s="9">
        <v>5000</v>
      </c>
      <c r="R220" s="9">
        <v>5000</v>
      </c>
      <c r="S220" s="9">
        <v>5000</v>
      </c>
      <c r="T220" s="9">
        <v>5000</v>
      </c>
      <c r="U220" s="9">
        <v>5000</v>
      </c>
      <c r="V220" s="9">
        <v>5000</v>
      </c>
      <c r="W220" s="9">
        <v>5000</v>
      </c>
      <c r="X220" s="9">
        <v>5000</v>
      </c>
      <c r="Y220" s="9">
        <v>5000</v>
      </c>
      <c r="Z220" s="9">
        <v>5000</v>
      </c>
      <c r="AA220" s="9">
        <v>5000</v>
      </c>
      <c r="AB220" s="9">
        <v>5000</v>
      </c>
      <c r="AC220" s="9">
        <v>5000</v>
      </c>
      <c r="AD220" s="9">
        <v>5000</v>
      </c>
      <c r="AF220" s="6">
        <v>0</v>
      </c>
      <c r="AG220" s="6">
        <v>0</v>
      </c>
      <c r="AH220" s="6">
        <v>0</v>
      </c>
      <c r="AI220" s="6">
        <v>0</v>
      </c>
      <c r="AJ220" s="6">
        <v>20800</v>
      </c>
      <c r="AK220" s="6">
        <v>20800</v>
      </c>
      <c r="AL220" s="6">
        <v>20800</v>
      </c>
      <c r="AM220" s="6">
        <v>20800</v>
      </c>
      <c r="AN220" s="6">
        <v>20800</v>
      </c>
      <c r="AO220" s="6">
        <v>20800</v>
      </c>
      <c r="AP220" s="6">
        <v>20800</v>
      </c>
      <c r="AQ220" s="6">
        <v>20800</v>
      </c>
      <c r="AR220" s="6">
        <v>20800</v>
      </c>
      <c r="AS220" s="6">
        <v>20800</v>
      </c>
      <c r="AT220" s="6">
        <v>20800</v>
      </c>
      <c r="AU220" s="6">
        <v>20800</v>
      </c>
      <c r="AV220" s="6">
        <v>20800</v>
      </c>
      <c r="AW220" s="6">
        <v>20800</v>
      </c>
      <c r="AX220" s="50"/>
      <c r="AY220" s="52"/>
      <c r="AZ220" s="52"/>
      <c r="BA220" s="52"/>
      <c r="BB220" s="52"/>
      <c r="BC220" s="52"/>
      <c r="BD220" s="52"/>
      <c r="BE220" s="52"/>
      <c r="BF220" s="52"/>
      <c r="BG220" s="52"/>
      <c r="BH220" s="52"/>
      <c r="BI220" s="52"/>
      <c r="BJ220" s="52"/>
      <c r="BK220" s="52"/>
      <c r="BL220" s="52"/>
      <c r="BM220" s="52"/>
      <c r="BN220" s="52"/>
      <c r="BO220" s="52"/>
      <c r="BP220" s="52"/>
      <c r="BQ220" s="52"/>
      <c r="BR220" s="52"/>
      <c r="BS220" s="52"/>
      <c r="BT220" s="52"/>
      <c r="BU220" s="52"/>
      <c r="BV220" s="52"/>
      <c r="BW220" s="52"/>
      <c r="BX220" s="52"/>
      <c r="BY220" s="52"/>
      <c r="BZ220" s="52"/>
      <c r="CA220" s="52"/>
      <c r="CB220" s="52"/>
      <c r="CC220" s="52"/>
      <c r="CD220" s="52"/>
      <c r="CE220" s="52"/>
      <c r="CF220" s="52"/>
      <c r="CG220" s="52"/>
      <c r="CH220" s="52"/>
      <c r="CI220" s="76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2"/>
      <c r="CV220" s="51"/>
      <c r="CW220" s="51"/>
      <c r="CX220" s="51"/>
      <c r="CY220" s="51"/>
      <c r="CZ220" s="51"/>
      <c r="DA220" s="51"/>
      <c r="DB220" s="51"/>
      <c r="DC220" s="51"/>
      <c r="DD220" s="51"/>
      <c r="DE220" s="51"/>
      <c r="DF220" s="51"/>
      <c r="DG220" s="51"/>
      <c r="DH220" s="51"/>
      <c r="DI220" s="51"/>
      <c r="DJ220" s="51"/>
      <c r="DK220" s="51"/>
      <c r="DL220" s="51"/>
      <c r="DM220" s="51"/>
      <c r="DN220" s="51"/>
      <c r="DO220" s="51"/>
    </row>
    <row r="221" spans="1:119" hidden="1" x14ac:dyDescent="0.3">
      <c r="A221" t="s">
        <v>7</v>
      </c>
      <c r="B221" s="4" t="s">
        <v>432</v>
      </c>
      <c r="C221" s="4" t="s">
        <v>451</v>
      </c>
      <c r="D221" s="87">
        <v>1160752</v>
      </c>
      <c r="E221" s="4" t="s">
        <v>459</v>
      </c>
      <c r="F221" s="12">
        <v>65.92</v>
      </c>
      <c r="G221" s="34">
        <f t="shared" si="19"/>
        <v>2966400</v>
      </c>
      <c r="H221" s="28">
        <f t="shared" si="20"/>
        <v>45000</v>
      </c>
      <c r="I221" s="28">
        <f t="shared" si="21"/>
        <v>3750</v>
      </c>
      <c r="J221" s="26">
        <f t="shared" si="22"/>
        <v>1648000</v>
      </c>
      <c r="K221" s="24">
        <f t="shared" si="23"/>
        <v>25000</v>
      </c>
      <c r="L221" s="31">
        <f t="shared" si="24"/>
        <v>5000</v>
      </c>
      <c r="M221" s="9">
        <v>0</v>
      </c>
      <c r="N221" s="9">
        <v>0</v>
      </c>
      <c r="O221" s="9">
        <v>0</v>
      </c>
      <c r="P221" s="9">
        <v>0</v>
      </c>
      <c r="Q221" s="9">
        <v>5000</v>
      </c>
      <c r="R221" s="9">
        <v>5000</v>
      </c>
      <c r="S221" s="9">
        <v>5000</v>
      </c>
      <c r="T221" s="9">
        <v>5000</v>
      </c>
      <c r="U221" s="9">
        <v>5000</v>
      </c>
      <c r="V221" s="9">
        <v>5000</v>
      </c>
      <c r="W221" s="9">
        <v>5000</v>
      </c>
      <c r="X221" s="9">
        <v>5000</v>
      </c>
      <c r="Y221" s="9">
        <v>5000</v>
      </c>
      <c r="Z221" s="9">
        <v>5000</v>
      </c>
      <c r="AA221" s="9">
        <v>5000</v>
      </c>
      <c r="AB221" s="9">
        <v>5000</v>
      </c>
      <c r="AC221" s="9">
        <v>5000</v>
      </c>
      <c r="AD221" s="9">
        <v>5000</v>
      </c>
      <c r="AF221" s="6">
        <v>0</v>
      </c>
      <c r="AG221" s="6">
        <v>0</v>
      </c>
      <c r="AH221" s="6">
        <v>0</v>
      </c>
      <c r="AI221" s="6">
        <v>0</v>
      </c>
      <c r="AJ221" s="6">
        <v>329600</v>
      </c>
      <c r="AK221" s="6">
        <v>329600</v>
      </c>
      <c r="AL221" s="6">
        <v>329600</v>
      </c>
      <c r="AM221" s="6">
        <v>329600</v>
      </c>
      <c r="AN221" s="6">
        <v>329600</v>
      </c>
      <c r="AO221" s="6">
        <v>329600</v>
      </c>
      <c r="AP221" s="6">
        <v>329600</v>
      </c>
      <c r="AQ221" s="6">
        <v>329600</v>
      </c>
      <c r="AR221" s="6">
        <v>329600</v>
      </c>
      <c r="AS221" s="6">
        <v>329600</v>
      </c>
      <c r="AT221" s="6">
        <v>329600</v>
      </c>
      <c r="AU221" s="6">
        <v>329600</v>
      </c>
      <c r="AV221" s="6">
        <v>329600</v>
      </c>
      <c r="AW221" s="6">
        <v>329600</v>
      </c>
      <c r="AX221" s="50"/>
      <c r="AY221" s="52"/>
      <c r="AZ221" s="52"/>
      <c r="BA221" s="52"/>
      <c r="BB221" s="52"/>
      <c r="BC221" s="52"/>
      <c r="BD221" s="52"/>
      <c r="BE221" s="52"/>
      <c r="BF221" s="52"/>
      <c r="BG221" s="52"/>
      <c r="BH221" s="52"/>
      <c r="BI221" s="52"/>
      <c r="BJ221" s="52"/>
      <c r="BK221" s="52"/>
      <c r="BL221" s="52"/>
      <c r="BM221" s="52"/>
      <c r="BN221" s="52"/>
      <c r="BO221" s="52"/>
      <c r="BP221" s="52"/>
      <c r="BQ221" s="52"/>
      <c r="BR221" s="52"/>
      <c r="BS221" s="52"/>
      <c r="BT221" s="52"/>
      <c r="BU221" s="52"/>
      <c r="BV221" s="52"/>
      <c r="BW221" s="52"/>
      <c r="BX221" s="52"/>
      <c r="BY221" s="52"/>
      <c r="BZ221" s="52"/>
      <c r="CA221" s="52"/>
      <c r="CB221" s="52"/>
      <c r="CC221" s="52"/>
      <c r="CD221" s="52"/>
      <c r="CE221" s="52"/>
      <c r="CF221" s="52"/>
      <c r="CG221" s="52"/>
      <c r="CH221" s="52"/>
      <c r="CI221" s="76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1"/>
      <c r="CW221" s="51"/>
      <c r="CX221" s="51"/>
      <c r="CY221" s="51"/>
      <c r="CZ221" s="51"/>
      <c r="DA221" s="51"/>
      <c r="DB221" s="51"/>
      <c r="DC221" s="51"/>
      <c r="DD221" s="51"/>
      <c r="DE221" s="51"/>
      <c r="DF221" s="51"/>
      <c r="DG221" s="51"/>
      <c r="DH221" s="51"/>
      <c r="DI221" s="51"/>
      <c r="DJ221" s="51"/>
      <c r="DK221" s="51"/>
      <c r="DL221" s="51"/>
      <c r="DM221" s="51"/>
      <c r="DN221" s="51"/>
      <c r="DO221" s="51"/>
    </row>
    <row r="222" spans="1:119" hidden="1" x14ac:dyDescent="0.3">
      <c r="A222" t="s">
        <v>7</v>
      </c>
      <c r="B222" s="4" t="s">
        <v>432</v>
      </c>
      <c r="C222" s="4" t="s">
        <v>460</v>
      </c>
      <c r="D222" s="4" t="s">
        <v>461</v>
      </c>
      <c r="E222" s="4" t="s">
        <v>462</v>
      </c>
      <c r="F222" s="12">
        <v>174.46</v>
      </c>
      <c r="G222" s="34">
        <f t="shared" si="19"/>
        <v>3892900.4400000004</v>
      </c>
      <c r="H222" s="28">
        <f t="shared" si="20"/>
        <v>22314</v>
      </c>
      <c r="I222" s="28">
        <f t="shared" si="21"/>
        <v>1860</v>
      </c>
      <c r="J222" s="26">
        <f t="shared" si="22"/>
        <v>1276000.44</v>
      </c>
      <c r="K222" s="24">
        <f t="shared" si="23"/>
        <v>7314</v>
      </c>
      <c r="L222" s="31">
        <f t="shared" si="24"/>
        <v>1463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4594</v>
      </c>
      <c r="T222" s="9">
        <v>4594</v>
      </c>
      <c r="U222" s="9">
        <v>2750</v>
      </c>
      <c r="V222" s="9">
        <v>2750</v>
      </c>
      <c r="W222" s="9">
        <v>2750</v>
      </c>
      <c r="X222" s="9">
        <v>2438</v>
      </c>
      <c r="Y222" s="9">
        <v>2438</v>
      </c>
      <c r="Z222" s="9">
        <v>2438</v>
      </c>
      <c r="AA222" s="9">
        <v>2438</v>
      </c>
      <c r="AB222" s="9">
        <v>2438</v>
      </c>
      <c r="AC222" s="9">
        <v>0</v>
      </c>
      <c r="AD222" s="9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801469.24</v>
      </c>
      <c r="AM222" s="6">
        <v>801469.24</v>
      </c>
      <c r="AN222" s="6">
        <v>479765</v>
      </c>
      <c r="AO222" s="6">
        <v>479765</v>
      </c>
      <c r="AP222" s="6">
        <v>479765</v>
      </c>
      <c r="AQ222" s="6">
        <v>425333.48000000004</v>
      </c>
      <c r="AR222" s="6">
        <v>425333.48000000004</v>
      </c>
      <c r="AS222" s="6">
        <v>425333.48000000004</v>
      </c>
      <c r="AT222" s="6">
        <v>425333.48000000004</v>
      </c>
      <c r="AU222" s="6">
        <v>425333.48000000004</v>
      </c>
      <c r="AV222" s="6">
        <v>0</v>
      </c>
      <c r="AW222" s="6">
        <v>0</v>
      </c>
      <c r="AX222" s="50"/>
      <c r="AY222" s="52"/>
      <c r="AZ222" s="52"/>
      <c r="BA222" s="52"/>
      <c r="BB222" s="52"/>
      <c r="BC222" s="52"/>
      <c r="BD222" s="52"/>
      <c r="BE222" s="52"/>
      <c r="BF222" s="52"/>
      <c r="BG222" s="52"/>
      <c r="BH222" s="52"/>
      <c r="BI222" s="52"/>
      <c r="BJ222" s="52"/>
      <c r="BK222" s="52"/>
      <c r="BL222" s="52"/>
      <c r="BM222" s="52"/>
      <c r="BN222" s="52"/>
      <c r="BO222" s="52"/>
      <c r="BP222" s="52"/>
      <c r="BQ222" s="52"/>
      <c r="BR222" s="52"/>
      <c r="BS222" s="52"/>
      <c r="BT222" s="52"/>
      <c r="BU222" s="52"/>
      <c r="BV222" s="52"/>
      <c r="BW222" s="52"/>
      <c r="BX222" s="52"/>
      <c r="BY222" s="52"/>
      <c r="BZ222" s="52"/>
      <c r="CA222" s="52"/>
      <c r="CB222" s="52"/>
      <c r="CC222" s="52"/>
      <c r="CD222" s="52"/>
      <c r="CE222" s="52"/>
      <c r="CF222" s="52"/>
      <c r="CG222" s="52"/>
      <c r="CH222" s="52"/>
      <c r="CI222" s="76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1"/>
      <c r="CW222" s="51"/>
      <c r="CX222" s="51"/>
      <c r="CY222" s="51"/>
      <c r="CZ222" s="51"/>
      <c r="DA222" s="51"/>
      <c r="DB222" s="51"/>
      <c r="DC222" s="51"/>
      <c r="DD222" s="51"/>
      <c r="DE222" s="51"/>
      <c r="DF222" s="51"/>
      <c r="DG222" s="51"/>
      <c r="DH222" s="51"/>
      <c r="DI222" s="51"/>
      <c r="DJ222" s="51"/>
      <c r="DK222" s="51"/>
      <c r="DL222" s="51"/>
      <c r="DM222" s="51"/>
      <c r="DN222" s="51"/>
      <c r="DO222" s="51"/>
    </row>
    <row r="223" spans="1:119" hidden="1" x14ac:dyDescent="0.3">
      <c r="A223" t="s">
        <v>7</v>
      </c>
      <c r="B223" s="4" t="s">
        <v>432</v>
      </c>
      <c r="C223" s="4" t="s">
        <v>460</v>
      </c>
      <c r="D223" s="4" t="s">
        <v>463</v>
      </c>
      <c r="E223" s="4" t="s">
        <v>464</v>
      </c>
      <c r="F223" s="12">
        <v>275.94</v>
      </c>
      <c r="G223" s="34">
        <f t="shared" si="19"/>
        <v>12316305.959999999</v>
      </c>
      <c r="H223" s="28">
        <f t="shared" si="20"/>
        <v>44634</v>
      </c>
      <c r="I223" s="28">
        <f t="shared" si="21"/>
        <v>3720</v>
      </c>
      <c r="J223" s="26">
        <f t="shared" si="22"/>
        <v>4038933.78</v>
      </c>
      <c r="K223" s="24">
        <f t="shared" si="23"/>
        <v>14637</v>
      </c>
      <c r="L223" s="31">
        <f t="shared" si="24"/>
        <v>2928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9188</v>
      </c>
      <c r="T223" s="9">
        <v>9188</v>
      </c>
      <c r="U223" s="9">
        <v>5500</v>
      </c>
      <c r="V223" s="9">
        <v>5500</v>
      </c>
      <c r="W223" s="9">
        <v>5500</v>
      </c>
      <c r="X223" s="9">
        <v>4879</v>
      </c>
      <c r="Y223" s="9">
        <v>4879</v>
      </c>
      <c r="Z223" s="9">
        <v>4879</v>
      </c>
      <c r="AA223" s="9">
        <v>4879</v>
      </c>
      <c r="AB223" s="9">
        <v>4879</v>
      </c>
      <c r="AC223" s="9">
        <v>0</v>
      </c>
      <c r="AD223" s="9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2535336.7200000002</v>
      </c>
      <c r="AM223" s="6">
        <v>2535336.7200000002</v>
      </c>
      <c r="AN223" s="6">
        <v>1517670</v>
      </c>
      <c r="AO223" s="6">
        <v>1517670</v>
      </c>
      <c r="AP223" s="6">
        <v>1517670</v>
      </c>
      <c r="AQ223" s="6">
        <v>1346311.26</v>
      </c>
      <c r="AR223" s="6">
        <v>1346311.26</v>
      </c>
      <c r="AS223" s="6">
        <v>1346311.26</v>
      </c>
      <c r="AT223" s="6">
        <v>1346311.26</v>
      </c>
      <c r="AU223" s="6">
        <v>1346311.26</v>
      </c>
      <c r="AV223" s="6">
        <v>0</v>
      </c>
      <c r="AW223" s="6">
        <v>0</v>
      </c>
      <c r="AX223" s="50"/>
      <c r="AY223" s="52"/>
      <c r="AZ223" s="52"/>
      <c r="BA223" s="52"/>
      <c r="BB223" s="52"/>
      <c r="BC223" s="52"/>
      <c r="BD223" s="52"/>
      <c r="BE223" s="52"/>
      <c r="BF223" s="52"/>
      <c r="BG223" s="52"/>
      <c r="BH223" s="52"/>
      <c r="BI223" s="52"/>
      <c r="BJ223" s="52"/>
      <c r="BK223" s="52"/>
      <c r="BL223" s="52"/>
      <c r="BM223" s="52"/>
      <c r="BN223" s="52"/>
      <c r="BO223" s="52"/>
      <c r="BP223" s="52"/>
      <c r="BQ223" s="52"/>
      <c r="BR223" s="52"/>
      <c r="BS223" s="52"/>
      <c r="BT223" s="52"/>
      <c r="BU223" s="52"/>
      <c r="BV223" s="52"/>
      <c r="BW223" s="52"/>
      <c r="BX223" s="52"/>
      <c r="BY223" s="52"/>
      <c r="BZ223" s="52"/>
      <c r="CA223" s="52"/>
      <c r="CB223" s="52"/>
      <c r="CC223" s="52"/>
      <c r="CD223" s="52"/>
      <c r="CE223" s="52"/>
      <c r="CF223" s="52"/>
      <c r="CG223" s="52"/>
      <c r="CH223" s="52"/>
      <c r="CI223" s="76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1"/>
      <c r="CW223" s="51"/>
      <c r="CX223" s="51"/>
      <c r="CY223" s="51"/>
      <c r="CZ223" s="51"/>
      <c r="DA223" s="51"/>
      <c r="DB223" s="51"/>
      <c r="DC223" s="51"/>
      <c r="DD223" s="51"/>
      <c r="DE223" s="51"/>
      <c r="DF223" s="51"/>
      <c r="DG223" s="51"/>
      <c r="DH223" s="51"/>
      <c r="DI223" s="51"/>
      <c r="DJ223" s="51"/>
      <c r="DK223" s="51"/>
      <c r="DL223" s="51"/>
      <c r="DM223" s="51"/>
      <c r="DN223" s="51"/>
      <c r="DO223" s="51"/>
    </row>
    <row r="224" spans="1:119" hidden="1" x14ac:dyDescent="0.3">
      <c r="A224" t="s">
        <v>7</v>
      </c>
      <c r="B224" s="4" t="s">
        <v>432</v>
      </c>
      <c r="C224" s="4" t="s">
        <v>460</v>
      </c>
      <c r="D224" s="4" t="s">
        <v>465</v>
      </c>
      <c r="E224" s="4" t="s">
        <v>466</v>
      </c>
      <c r="F224" s="12">
        <v>9.25</v>
      </c>
      <c r="G224" s="34">
        <f t="shared" si="19"/>
        <v>206404.5</v>
      </c>
      <c r="H224" s="28">
        <f t="shared" si="20"/>
        <v>22314</v>
      </c>
      <c r="I224" s="28">
        <f t="shared" si="21"/>
        <v>1860</v>
      </c>
      <c r="J224" s="26">
        <f t="shared" si="22"/>
        <v>67654.5</v>
      </c>
      <c r="K224" s="24">
        <f t="shared" si="23"/>
        <v>7314</v>
      </c>
      <c r="L224" s="31">
        <f t="shared" si="24"/>
        <v>1463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4594</v>
      </c>
      <c r="T224" s="9">
        <v>4594</v>
      </c>
      <c r="U224" s="9">
        <v>2750</v>
      </c>
      <c r="V224" s="9">
        <v>2750</v>
      </c>
      <c r="W224" s="9">
        <v>2750</v>
      </c>
      <c r="X224" s="9">
        <v>2438</v>
      </c>
      <c r="Y224" s="9">
        <v>2438</v>
      </c>
      <c r="Z224" s="9">
        <v>2438</v>
      </c>
      <c r="AA224" s="9">
        <v>2438</v>
      </c>
      <c r="AB224" s="9">
        <v>2438</v>
      </c>
      <c r="AC224" s="9">
        <v>0</v>
      </c>
      <c r="AD224" s="9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42494.5</v>
      </c>
      <c r="AM224" s="6">
        <v>42494.5</v>
      </c>
      <c r="AN224" s="6">
        <v>25437.5</v>
      </c>
      <c r="AO224" s="6">
        <v>25437.5</v>
      </c>
      <c r="AP224" s="6">
        <v>25437.5</v>
      </c>
      <c r="AQ224" s="6">
        <v>22551.5</v>
      </c>
      <c r="AR224" s="6">
        <v>22551.5</v>
      </c>
      <c r="AS224" s="6">
        <v>22551.5</v>
      </c>
      <c r="AT224" s="6">
        <v>22551.5</v>
      </c>
      <c r="AU224" s="6">
        <v>22551.5</v>
      </c>
      <c r="AV224" s="6">
        <v>0</v>
      </c>
      <c r="AW224" s="6">
        <v>0</v>
      </c>
      <c r="AX224" s="50"/>
      <c r="AY224" s="52"/>
      <c r="AZ224" s="52"/>
      <c r="BA224" s="52"/>
      <c r="BB224" s="52"/>
      <c r="BC224" s="52"/>
      <c r="BD224" s="52"/>
      <c r="BE224" s="52"/>
      <c r="BF224" s="52"/>
      <c r="BG224" s="52"/>
      <c r="BH224" s="52"/>
      <c r="BI224" s="52"/>
      <c r="BJ224" s="52"/>
      <c r="BK224" s="52"/>
      <c r="BL224" s="52"/>
      <c r="BM224" s="52"/>
      <c r="BN224" s="52"/>
      <c r="BO224" s="52"/>
      <c r="BP224" s="52"/>
      <c r="BQ224" s="52"/>
      <c r="BR224" s="52"/>
      <c r="BS224" s="52"/>
      <c r="BT224" s="52"/>
      <c r="BU224" s="52"/>
      <c r="BV224" s="52"/>
      <c r="BW224" s="52"/>
      <c r="BX224" s="52"/>
      <c r="BY224" s="52"/>
      <c r="BZ224" s="52"/>
      <c r="CA224" s="52"/>
      <c r="CB224" s="52"/>
      <c r="CC224" s="52"/>
      <c r="CD224" s="52"/>
      <c r="CE224" s="52"/>
      <c r="CF224" s="52"/>
      <c r="CG224" s="52"/>
      <c r="CH224" s="52"/>
      <c r="CI224" s="76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1"/>
      <c r="CW224" s="51"/>
      <c r="CX224" s="51"/>
      <c r="CY224" s="51"/>
      <c r="CZ224" s="51"/>
      <c r="DA224" s="51"/>
      <c r="DB224" s="51"/>
      <c r="DC224" s="51"/>
      <c r="DD224" s="51"/>
      <c r="DE224" s="51"/>
      <c r="DF224" s="51"/>
      <c r="DG224" s="51"/>
      <c r="DH224" s="51"/>
      <c r="DI224" s="51"/>
      <c r="DJ224" s="51"/>
      <c r="DK224" s="51"/>
      <c r="DL224" s="51"/>
      <c r="DM224" s="51"/>
      <c r="DN224" s="51"/>
      <c r="DO224" s="51"/>
    </row>
    <row r="225" spans="1:119" hidden="1" x14ac:dyDescent="0.3">
      <c r="A225" t="s">
        <v>7</v>
      </c>
      <c r="B225" s="4" t="s">
        <v>432</v>
      </c>
      <c r="C225" s="4" t="s">
        <v>460</v>
      </c>
      <c r="D225" s="4" t="s">
        <v>467</v>
      </c>
      <c r="E225" s="4" t="s">
        <v>468</v>
      </c>
      <c r="F225" s="12">
        <v>165.06</v>
      </c>
      <c r="G225" s="34">
        <f t="shared" si="19"/>
        <v>921364.92</v>
      </c>
      <c r="H225" s="28">
        <f t="shared" si="20"/>
        <v>5582</v>
      </c>
      <c r="I225" s="28">
        <f t="shared" si="21"/>
        <v>466</v>
      </c>
      <c r="J225" s="26">
        <f t="shared" si="22"/>
        <v>302059.8</v>
      </c>
      <c r="K225" s="24">
        <f t="shared" si="23"/>
        <v>1830</v>
      </c>
      <c r="L225" s="31">
        <f t="shared" si="24"/>
        <v>366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1149</v>
      </c>
      <c r="T225" s="9">
        <v>1149</v>
      </c>
      <c r="U225" s="9">
        <v>688</v>
      </c>
      <c r="V225" s="9">
        <v>688</v>
      </c>
      <c r="W225" s="9">
        <v>688</v>
      </c>
      <c r="X225" s="9">
        <v>610</v>
      </c>
      <c r="Y225" s="9">
        <v>610</v>
      </c>
      <c r="Z225" s="9">
        <v>610</v>
      </c>
      <c r="AA225" s="9">
        <v>610</v>
      </c>
      <c r="AB225" s="9">
        <v>610</v>
      </c>
      <c r="AC225" s="9">
        <v>0</v>
      </c>
      <c r="AD225" s="9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189653.94</v>
      </c>
      <c r="AM225" s="6">
        <v>189653.94</v>
      </c>
      <c r="AN225" s="6">
        <v>113561.28</v>
      </c>
      <c r="AO225" s="6">
        <v>113561.28</v>
      </c>
      <c r="AP225" s="6">
        <v>113561.28</v>
      </c>
      <c r="AQ225" s="6">
        <v>100686.6</v>
      </c>
      <c r="AR225" s="6">
        <v>100686.6</v>
      </c>
      <c r="AS225" s="6">
        <v>100686.6</v>
      </c>
      <c r="AT225" s="6">
        <v>100686.6</v>
      </c>
      <c r="AU225" s="6">
        <v>100686.6</v>
      </c>
      <c r="AV225" s="6">
        <v>0</v>
      </c>
      <c r="AW225" s="6">
        <v>0</v>
      </c>
      <c r="AX225" s="50"/>
      <c r="AY225" s="52"/>
      <c r="AZ225" s="52"/>
      <c r="BA225" s="52"/>
      <c r="BB225" s="52"/>
      <c r="BC225" s="52"/>
      <c r="BD225" s="52"/>
      <c r="BE225" s="52"/>
      <c r="BF225" s="52"/>
      <c r="BG225" s="52"/>
      <c r="BH225" s="52"/>
      <c r="BI225" s="52"/>
      <c r="BJ225" s="52"/>
      <c r="BK225" s="52"/>
      <c r="BL225" s="52"/>
      <c r="BM225" s="52"/>
      <c r="BN225" s="52"/>
      <c r="BO225" s="52"/>
      <c r="BP225" s="52"/>
      <c r="BQ225" s="52"/>
      <c r="BR225" s="52"/>
      <c r="BS225" s="52"/>
      <c r="BT225" s="52"/>
      <c r="BU225" s="52"/>
      <c r="BV225" s="52"/>
      <c r="BW225" s="52"/>
      <c r="BX225" s="52"/>
      <c r="BY225" s="52"/>
      <c r="BZ225" s="52"/>
      <c r="CA225" s="52"/>
      <c r="CB225" s="52"/>
      <c r="CC225" s="52"/>
      <c r="CD225" s="52"/>
      <c r="CE225" s="52"/>
      <c r="CF225" s="52"/>
      <c r="CG225" s="52"/>
      <c r="CH225" s="52"/>
      <c r="CI225" s="76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2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  <c r="DF225" s="51"/>
      <c r="DG225" s="51"/>
      <c r="DH225" s="51"/>
      <c r="DI225" s="51"/>
      <c r="DJ225" s="51"/>
      <c r="DK225" s="51"/>
      <c r="DL225" s="51"/>
      <c r="DM225" s="51"/>
      <c r="DN225" s="51"/>
      <c r="DO225" s="51"/>
    </row>
    <row r="226" spans="1:119" hidden="1" x14ac:dyDescent="0.3">
      <c r="A226" t="s">
        <v>7</v>
      </c>
      <c r="B226" s="4" t="s">
        <v>432</v>
      </c>
      <c r="C226" s="4" t="s">
        <v>460</v>
      </c>
      <c r="D226" s="4" t="s">
        <v>469</v>
      </c>
      <c r="E226" s="4" t="s">
        <v>470</v>
      </c>
      <c r="F226" s="12">
        <v>9.84</v>
      </c>
      <c r="G226" s="34">
        <f t="shared" si="19"/>
        <v>54926.879999999997</v>
      </c>
      <c r="H226" s="28">
        <f t="shared" si="20"/>
        <v>5582</v>
      </c>
      <c r="I226" s="28">
        <f t="shared" si="21"/>
        <v>466</v>
      </c>
      <c r="J226" s="26">
        <f t="shared" si="22"/>
        <v>18007.2</v>
      </c>
      <c r="K226" s="24">
        <f t="shared" si="23"/>
        <v>1830</v>
      </c>
      <c r="L226" s="31">
        <f t="shared" si="24"/>
        <v>366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1149</v>
      </c>
      <c r="T226" s="9">
        <v>1149</v>
      </c>
      <c r="U226" s="9">
        <v>688</v>
      </c>
      <c r="V226" s="9">
        <v>688</v>
      </c>
      <c r="W226" s="9">
        <v>688</v>
      </c>
      <c r="X226" s="9">
        <v>610</v>
      </c>
      <c r="Y226" s="9">
        <v>610</v>
      </c>
      <c r="Z226" s="9">
        <v>610</v>
      </c>
      <c r="AA226" s="9">
        <v>610</v>
      </c>
      <c r="AB226" s="9">
        <v>610</v>
      </c>
      <c r="AC226" s="9">
        <v>0</v>
      </c>
      <c r="AD226" s="9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11306.16</v>
      </c>
      <c r="AM226" s="6">
        <v>11306.16</v>
      </c>
      <c r="AN226" s="6">
        <v>6769.92</v>
      </c>
      <c r="AO226" s="6">
        <v>6769.92</v>
      </c>
      <c r="AP226" s="6">
        <v>6769.92</v>
      </c>
      <c r="AQ226" s="6">
        <v>6002.4</v>
      </c>
      <c r="AR226" s="6">
        <v>6002.4</v>
      </c>
      <c r="AS226" s="6">
        <v>6002.4</v>
      </c>
      <c r="AT226" s="6">
        <v>6002.4</v>
      </c>
      <c r="AU226" s="6">
        <v>6002.4</v>
      </c>
      <c r="AV226" s="6">
        <v>0</v>
      </c>
      <c r="AW226" s="6">
        <v>0</v>
      </c>
      <c r="AX226" s="50"/>
      <c r="AY226" s="52"/>
      <c r="AZ226" s="52"/>
      <c r="BA226" s="52"/>
      <c r="BB226" s="52"/>
      <c r="BC226" s="52"/>
      <c r="BD226" s="52"/>
      <c r="BE226" s="52"/>
      <c r="BF226" s="52"/>
      <c r="BG226" s="52"/>
      <c r="BH226" s="52"/>
      <c r="BI226" s="52"/>
      <c r="BJ226" s="52"/>
      <c r="BK226" s="52"/>
      <c r="BL226" s="52"/>
      <c r="BM226" s="52"/>
      <c r="BN226" s="52"/>
      <c r="BO226" s="52"/>
      <c r="BP226" s="52"/>
      <c r="BQ226" s="52"/>
      <c r="BR226" s="52"/>
      <c r="BS226" s="52"/>
      <c r="BT226" s="52"/>
      <c r="BU226" s="52"/>
      <c r="BV226" s="52"/>
      <c r="BW226" s="52"/>
      <c r="BX226" s="52"/>
      <c r="BY226" s="52"/>
      <c r="BZ226" s="52"/>
      <c r="CA226" s="52"/>
      <c r="CB226" s="52"/>
      <c r="CC226" s="52"/>
      <c r="CD226" s="52"/>
      <c r="CE226" s="52"/>
      <c r="CF226" s="52"/>
      <c r="CG226" s="52"/>
      <c r="CH226" s="52"/>
      <c r="CI226" s="76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1"/>
      <c r="CW226" s="51"/>
      <c r="CX226" s="51"/>
      <c r="CY226" s="51"/>
      <c r="CZ226" s="51"/>
      <c r="DA226" s="51"/>
      <c r="DB226" s="51"/>
      <c r="DC226" s="51"/>
      <c r="DD226" s="51"/>
      <c r="DE226" s="51"/>
      <c r="DF226" s="51"/>
      <c r="DG226" s="51"/>
      <c r="DH226" s="51"/>
      <c r="DI226" s="51"/>
      <c r="DJ226" s="51"/>
      <c r="DK226" s="51"/>
      <c r="DL226" s="51"/>
      <c r="DM226" s="51"/>
      <c r="DN226" s="51"/>
      <c r="DO226" s="51"/>
    </row>
    <row r="227" spans="1:119" hidden="1" x14ac:dyDescent="0.3">
      <c r="A227" t="s">
        <v>7</v>
      </c>
      <c r="B227" s="4" t="s">
        <v>432</v>
      </c>
      <c r="C227" s="4" t="s">
        <v>471</v>
      </c>
      <c r="D227" s="4" t="s">
        <v>472</v>
      </c>
      <c r="E227" s="4" t="s">
        <v>473</v>
      </c>
      <c r="F227" s="12">
        <v>0.14000000000000001</v>
      </c>
      <c r="G227" s="34">
        <f t="shared" si="19"/>
        <v>0</v>
      </c>
      <c r="H227" s="28">
        <f t="shared" si="20"/>
        <v>0</v>
      </c>
      <c r="I227" s="28">
        <f t="shared" si="21"/>
        <v>0</v>
      </c>
      <c r="J227" s="26">
        <f t="shared" si="22"/>
        <v>0</v>
      </c>
      <c r="K227" s="24">
        <f t="shared" si="23"/>
        <v>0</v>
      </c>
      <c r="L227" s="31">
        <f t="shared" si="24"/>
        <v>0</v>
      </c>
      <c r="M227" s="9">
        <v>4800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F227" s="6">
        <v>691.19999999999993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4"/>
      <c r="AY227" s="4"/>
      <c r="CI227" s="74" t="e">
        <v>#N/A</v>
      </c>
    </row>
    <row r="228" spans="1:119" hidden="1" x14ac:dyDescent="0.3">
      <c r="A228" t="s">
        <v>7</v>
      </c>
      <c r="B228" s="4" t="s">
        <v>432</v>
      </c>
      <c r="C228" s="4" t="s">
        <v>474</v>
      </c>
      <c r="D228" s="4" t="s">
        <v>475</v>
      </c>
      <c r="E228" s="4" t="s">
        <v>476</v>
      </c>
      <c r="F228" s="12">
        <v>48.89</v>
      </c>
      <c r="G228" s="34">
        <f t="shared" si="19"/>
        <v>0</v>
      </c>
      <c r="H228" s="28">
        <f t="shared" si="20"/>
        <v>0</v>
      </c>
      <c r="I228" s="28">
        <f t="shared" si="21"/>
        <v>0</v>
      </c>
      <c r="J228" s="26">
        <f t="shared" si="22"/>
        <v>0</v>
      </c>
      <c r="K228" s="24">
        <f t="shared" si="23"/>
        <v>0</v>
      </c>
      <c r="L228" s="31">
        <f t="shared" si="24"/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4"/>
      <c r="AY228" s="4"/>
      <c r="CI228" s="74" t="e">
        <v>#N/A</v>
      </c>
    </row>
    <row r="229" spans="1:119" hidden="1" x14ac:dyDescent="0.3">
      <c r="A229" t="s">
        <v>7</v>
      </c>
      <c r="B229" s="4" t="s">
        <v>432</v>
      </c>
      <c r="C229" s="4" t="s">
        <v>474</v>
      </c>
      <c r="D229" s="4" t="s">
        <v>477</v>
      </c>
      <c r="E229" s="4" t="s">
        <v>478</v>
      </c>
      <c r="F229" s="12">
        <v>10.82</v>
      </c>
      <c r="G229" s="34">
        <f t="shared" si="19"/>
        <v>0</v>
      </c>
      <c r="H229" s="28">
        <f t="shared" si="20"/>
        <v>0</v>
      </c>
      <c r="I229" s="28">
        <f t="shared" si="21"/>
        <v>0</v>
      </c>
      <c r="J229" s="26">
        <f t="shared" si="22"/>
        <v>0</v>
      </c>
      <c r="K229" s="24">
        <f t="shared" si="23"/>
        <v>0</v>
      </c>
      <c r="L229" s="31">
        <f t="shared" si="24"/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4"/>
      <c r="AY229" s="4"/>
      <c r="CI229" s="74" t="e">
        <v>#N/A</v>
      </c>
    </row>
    <row r="230" spans="1:119" hidden="1" x14ac:dyDescent="0.3">
      <c r="A230" t="s">
        <v>7</v>
      </c>
      <c r="B230" s="4" t="s">
        <v>432</v>
      </c>
      <c r="C230" s="4" t="s">
        <v>474</v>
      </c>
      <c r="D230" s="4" t="s">
        <v>479</v>
      </c>
      <c r="E230" s="4" t="s">
        <v>480</v>
      </c>
      <c r="F230" s="12">
        <v>10.11</v>
      </c>
      <c r="G230" s="34">
        <f t="shared" si="19"/>
        <v>144765.09</v>
      </c>
      <c r="H230" s="28">
        <f t="shared" si="20"/>
        <v>14319</v>
      </c>
      <c r="I230" s="28">
        <f t="shared" si="21"/>
        <v>1194</v>
      </c>
      <c r="J230" s="26">
        <f t="shared" si="22"/>
        <v>74065.86</v>
      </c>
      <c r="K230" s="24">
        <f t="shared" si="23"/>
        <v>7326</v>
      </c>
      <c r="L230" s="31">
        <f t="shared" si="24"/>
        <v>1466</v>
      </c>
      <c r="M230" s="9">
        <v>0</v>
      </c>
      <c r="N230" s="9">
        <v>0</v>
      </c>
      <c r="O230" s="9">
        <v>0</v>
      </c>
      <c r="P230" s="9">
        <v>1332</v>
      </c>
      <c r="Q230" s="9">
        <v>1332</v>
      </c>
      <c r="R230" s="9">
        <v>1665</v>
      </c>
      <c r="S230" s="9">
        <v>1332</v>
      </c>
      <c r="T230" s="9">
        <v>1665</v>
      </c>
      <c r="U230" s="9">
        <v>1332</v>
      </c>
      <c r="V230" s="9">
        <v>1332</v>
      </c>
      <c r="W230" s="9">
        <v>1665</v>
      </c>
      <c r="X230" s="9">
        <v>1332</v>
      </c>
      <c r="Y230" s="9">
        <v>1332</v>
      </c>
      <c r="Z230" s="9">
        <v>1665</v>
      </c>
      <c r="AA230" s="9">
        <v>1332</v>
      </c>
      <c r="AB230" s="9">
        <v>1332</v>
      </c>
      <c r="AC230" s="9">
        <v>1665</v>
      </c>
      <c r="AD230" s="9">
        <v>1332</v>
      </c>
      <c r="AF230" s="6">
        <v>0</v>
      </c>
      <c r="AG230" s="6">
        <v>0</v>
      </c>
      <c r="AH230" s="6">
        <v>0</v>
      </c>
      <c r="AI230" s="6">
        <v>13466.519999999999</v>
      </c>
      <c r="AJ230" s="6">
        <v>13466.519999999999</v>
      </c>
      <c r="AK230" s="6">
        <v>16833.149999999998</v>
      </c>
      <c r="AL230" s="6">
        <v>13466.519999999999</v>
      </c>
      <c r="AM230" s="6">
        <v>16833.149999999998</v>
      </c>
      <c r="AN230" s="6">
        <v>13466.519999999999</v>
      </c>
      <c r="AO230" s="6">
        <v>13466.519999999999</v>
      </c>
      <c r="AP230" s="6">
        <v>16833.149999999998</v>
      </c>
      <c r="AQ230" s="6">
        <v>13466.519999999999</v>
      </c>
      <c r="AR230" s="6">
        <v>13466.519999999999</v>
      </c>
      <c r="AS230" s="6">
        <v>16833.149999999998</v>
      </c>
      <c r="AT230" s="6">
        <v>13466.519999999999</v>
      </c>
      <c r="AU230" s="6">
        <v>13466.519999999999</v>
      </c>
      <c r="AV230" s="6">
        <v>16833.149999999998</v>
      </c>
      <c r="AW230" s="6">
        <v>13466.519999999999</v>
      </c>
      <c r="AX230" s="50"/>
      <c r="AY230" s="52"/>
      <c r="AZ230" s="52"/>
      <c r="BA230" s="52"/>
      <c r="BB230" s="52"/>
      <c r="BC230" s="52"/>
      <c r="BD230" s="52"/>
      <c r="BE230" s="52"/>
      <c r="BF230" s="52"/>
      <c r="BG230" s="52"/>
      <c r="BH230" s="52"/>
      <c r="BI230" s="52"/>
      <c r="BJ230" s="52"/>
      <c r="BK230" s="52"/>
      <c r="BL230" s="52"/>
      <c r="BM230" s="52"/>
      <c r="BN230" s="52"/>
      <c r="BO230" s="52"/>
      <c r="BP230" s="52"/>
      <c r="BQ230" s="52"/>
      <c r="BR230" s="52"/>
      <c r="BS230" s="52"/>
      <c r="BT230" s="52"/>
      <c r="BU230" s="52"/>
      <c r="BV230" s="52"/>
      <c r="BW230" s="52"/>
      <c r="BX230" s="52"/>
      <c r="BY230" s="52"/>
      <c r="BZ230" s="52"/>
      <c r="CA230" s="52"/>
      <c r="CB230" s="52"/>
      <c r="CC230" s="52"/>
      <c r="CD230" s="52"/>
      <c r="CE230" s="52"/>
      <c r="CF230" s="52"/>
      <c r="CG230" s="52"/>
      <c r="CH230" s="52"/>
      <c r="CI230" s="76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1"/>
      <c r="CW230" s="51"/>
      <c r="CX230" s="51"/>
      <c r="CY230" s="51"/>
      <c r="CZ230" s="51"/>
      <c r="DA230" s="51"/>
      <c r="DB230" s="51"/>
      <c r="DC230" s="51"/>
      <c r="DD230" s="51"/>
      <c r="DE230" s="51"/>
      <c r="DF230" s="51"/>
      <c r="DG230" s="51"/>
      <c r="DH230" s="51"/>
      <c r="DI230" s="51"/>
      <c r="DJ230" s="51"/>
      <c r="DK230" s="51"/>
      <c r="DL230" s="51"/>
      <c r="DM230" s="51"/>
      <c r="DN230" s="51"/>
      <c r="DO230" s="51"/>
    </row>
    <row r="231" spans="1:119" hidden="1" x14ac:dyDescent="0.3">
      <c r="A231" t="s">
        <v>7</v>
      </c>
      <c r="B231" s="4" t="s">
        <v>432</v>
      </c>
      <c r="C231" s="4" t="s">
        <v>474</v>
      </c>
      <c r="D231" s="4" t="s">
        <v>481</v>
      </c>
      <c r="E231" s="4" t="s">
        <v>482</v>
      </c>
      <c r="F231" s="12">
        <v>23.68</v>
      </c>
      <c r="G231" s="34">
        <f t="shared" si="19"/>
        <v>0</v>
      </c>
      <c r="H231" s="28">
        <f t="shared" si="20"/>
        <v>0</v>
      </c>
      <c r="I231" s="28">
        <f t="shared" si="21"/>
        <v>0</v>
      </c>
      <c r="J231" s="26">
        <f t="shared" si="22"/>
        <v>0</v>
      </c>
      <c r="K231" s="24">
        <f t="shared" si="23"/>
        <v>0</v>
      </c>
      <c r="L231" s="31">
        <f t="shared" si="24"/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4"/>
      <c r="AY231" s="4"/>
      <c r="CI231" s="74" t="e">
        <v>#N/A</v>
      </c>
    </row>
    <row r="232" spans="1:119" hidden="1" x14ac:dyDescent="0.3">
      <c r="A232" t="s">
        <v>7</v>
      </c>
      <c r="B232" s="4" t="s">
        <v>432</v>
      </c>
      <c r="C232" s="4" t="s">
        <v>474</v>
      </c>
      <c r="D232" s="4" t="s">
        <v>483</v>
      </c>
      <c r="E232" s="4" t="s">
        <v>484</v>
      </c>
      <c r="F232" s="12">
        <v>11.86</v>
      </c>
      <c r="G232" s="34">
        <f t="shared" si="19"/>
        <v>278899.76</v>
      </c>
      <c r="H232" s="28">
        <f t="shared" si="20"/>
        <v>23516</v>
      </c>
      <c r="I232" s="28">
        <f t="shared" si="21"/>
        <v>1960</v>
      </c>
      <c r="J232" s="26">
        <f t="shared" si="22"/>
        <v>133591.03999999998</v>
      </c>
      <c r="K232" s="24">
        <f t="shared" si="23"/>
        <v>11264</v>
      </c>
      <c r="L232" s="31">
        <f t="shared" si="24"/>
        <v>2253</v>
      </c>
      <c r="M232" s="9">
        <v>0</v>
      </c>
      <c r="N232" s="9">
        <v>1280</v>
      </c>
      <c r="O232" s="9">
        <v>1280</v>
      </c>
      <c r="P232" s="9">
        <v>3548</v>
      </c>
      <c r="Q232" s="9">
        <v>2048</v>
      </c>
      <c r="R232" s="9">
        <v>0</v>
      </c>
      <c r="S232" s="9">
        <v>2048</v>
      </c>
      <c r="T232" s="9">
        <v>2560</v>
      </c>
      <c r="U232" s="9">
        <v>2048</v>
      </c>
      <c r="V232" s="9">
        <v>2048</v>
      </c>
      <c r="W232" s="9">
        <v>2560</v>
      </c>
      <c r="X232" s="9">
        <v>2048</v>
      </c>
      <c r="Y232" s="9">
        <v>2048</v>
      </c>
      <c r="Z232" s="9">
        <v>2560</v>
      </c>
      <c r="AA232" s="9">
        <v>2048</v>
      </c>
      <c r="AB232" s="9">
        <v>2048</v>
      </c>
      <c r="AC232" s="9">
        <v>2560</v>
      </c>
      <c r="AD232" s="9">
        <v>2048</v>
      </c>
      <c r="AF232" s="6">
        <v>0</v>
      </c>
      <c r="AG232" s="6">
        <v>15142.4</v>
      </c>
      <c r="AH232" s="6">
        <v>15180.8</v>
      </c>
      <c r="AI232" s="6">
        <v>42079.28</v>
      </c>
      <c r="AJ232" s="6">
        <v>24289.279999999999</v>
      </c>
      <c r="AK232" s="6">
        <v>0</v>
      </c>
      <c r="AL232" s="6">
        <v>24289.279999999999</v>
      </c>
      <c r="AM232" s="6">
        <v>30361.599999999999</v>
      </c>
      <c r="AN232" s="6">
        <v>24289.279999999999</v>
      </c>
      <c r="AO232" s="6">
        <v>24289.279999999999</v>
      </c>
      <c r="AP232" s="6">
        <v>30361.599999999999</v>
      </c>
      <c r="AQ232" s="6">
        <v>24289.279999999999</v>
      </c>
      <c r="AR232" s="6">
        <v>24289.279999999999</v>
      </c>
      <c r="AS232" s="6">
        <v>30361.599999999999</v>
      </c>
      <c r="AT232" s="6">
        <v>24289.279999999999</v>
      </c>
      <c r="AU232" s="6">
        <v>24289.279999999999</v>
      </c>
      <c r="AV232" s="6">
        <v>30361.599999999999</v>
      </c>
      <c r="AW232" s="6">
        <v>24289.279999999999</v>
      </c>
      <c r="AX232" s="50"/>
      <c r="AY232" s="52"/>
      <c r="AZ232" s="52"/>
      <c r="BA232" s="52"/>
      <c r="BB232" s="52"/>
      <c r="BC232" s="52"/>
      <c r="BD232" s="52"/>
      <c r="BE232" s="52"/>
      <c r="BF232" s="52"/>
      <c r="BG232" s="52"/>
      <c r="BH232" s="52"/>
      <c r="BI232" s="52"/>
      <c r="BJ232" s="52"/>
      <c r="BK232" s="52"/>
      <c r="BL232" s="52"/>
      <c r="BM232" s="52"/>
      <c r="BN232" s="52"/>
      <c r="BO232" s="52"/>
      <c r="BP232" s="52"/>
      <c r="BQ232" s="52"/>
      <c r="BR232" s="52"/>
      <c r="BS232" s="52"/>
      <c r="BT232" s="52"/>
      <c r="BU232" s="52"/>
      <c r="BV232" s="52"/>
      <c r="BW232" s="52"/>
      <c r="BX232" s="52"/>
      <c r="BY232" s="52"/>
      <c r="BZ232" s="52"/>
      <c r="CA232" s="52"/>
      <c r="CB232" s="52"/>
      <c r="CC232" s="52"/>
      <c r="CD232" s="52"/>
      <c r="CE232" s="52"/>
      <c r="CF232" s="52"/>
      <c r="CG232" s="52"/>
      <c r="CH232" s="52"/>
      <c r="CI232" s="76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1"/>
      <c r="CW232" s="51"/>
      <c r="CX232" s="51"/>
      <c r="CY232" s="51"/>
      <c r="CZ232" s="51"/>
      <c r="DA232" s="51"/>
      <c r="DB232" s="51"/>
      <c r="DC232" s="51"/>
      <c r="DD232" s="51"/>
      <c r="DE232" s="51"/>
      <c r="DF232" s="51"/>
      <c r="DG232" s="51"/>
      <c r="DH232" s="51"/>
      <c r="DI232" s="51"/>
      <c r="DJ232" s="51"/>
      <c r="DK232" s="51"/>
      <c r="DL232" s="51"/>
      <c r="DM232" s="51"/>
      <c r="DN232" s="51"/>
      <c r="DO232" s="51"/>
    </row>
    <row r="233" spans="1:119" hidden="1" x14ac:dyDescent="0.3">
      <c r="A233" t="s">
        <v>7</v>
      </c>
      <c r="B233" s="4" t="s">
        <v>432</v>
      </c>
      <c r="C233" s="4" t="s">
        <v>474</v>
      </c>
      <c r="D233" s="4" t="s">
        <v>485</v>
      </c>
      <c r="E233" s="4" t="s">
        <v>486</v>
      </c>
      <c r="F233" s="12">
        <v>14.93</v>
      </c>
      <c r="G233" s="34">
        <f t="shared" si="19"/>
        <v>1255344.26</v>
      </c>
      <c r="H233" s="28">
        <f t="shared" si="20"/>
        <v>84082</v>
      </c>
      <c r="I233" s="28">
        <f t="shared" si="21"/>
        <v>7007</v>
      </c>
      <c r="J233" s="26">
        <f t="shared" si="22"/>
        <v>588600.31999999995</v>
      </c>
      <c r="K233" s="24">
        <f t="shared" si="23"/>
        <v>39424</v>
      </c>
      <c r="L233" s="31">
        <f t="shared" si="24"/>
        <v>7885</v>
      </c>
      <c r="M233" s="9">
        <v>5304</v>
      </c>
      <c r="N233" s="9">
        <v>6630</v>
      </c>
      <c r="O233" s="9">
        <v>4590</v>
      </c>
      <c r="P233" s="9">
        <v>6630</v>
      </c>
      <c r="Q233" s="9">
        <v>7168</v>
      </c>
      <c r="R233" s="9">
        <v>5304</v>
      </c>
      <c r="S233" s="9">
        <v>7168</v>
      </c>
      <c r="T233" s="9">
        <v>8960</v>
      </c>
      <c r="U233" s="9">
        <v>7168</v>
      </c>
      <c r="V233" s="9">
        <v>7168</v>
      </c>
      <c r="W233" s="9">
        <v>8960</v>
      </c>
      <c r="X233" s="9">
        <v>7168</v>
      </c>
      <c r="Y233" s="9">
        <v>7168</v>
      </c>
      <c r="Z233" s="9">
        <v>8960</v>
      </c>
      <c r="AA233" s="9">
        <v>7168</v>
      </c>
      <c r="AB233" s="9">
        <v>7168</v>
      </c>
      <c r="AC233" s="9">
        <v>8960</v>
      </c>
      <c r="AD233" s="9">
        <v>7168</v>
      </c>
      <c r="AF233" s="6">
        <v>79188.72</v>
      </c>
      <c r="AG233" s="6">
        <v>98985.9</v>
      </c>
      <c r="AH233" s="6">
        <v>68528.7</v>
      </c>
      <c r="AI233" s="6">
        <v>98985.9</v>
      </c>
      <c r="AJ233" s="6">
        <v>107018.23999999999</v>
      </c>
      <c r="AK233" s="6">
        <v>79188.72</v>
      </c>
      <c r="AL233" s="6">
        <v>107018.23999999999</v>
      </c>
      <c r="AM233" s="6">
        <v>133772.79999999999</v>
      </c>
      <c r="AN233" s="6">
        <v>107018.23999999999</v>
      </c>
      <c r="AO233" s="6">
        <v>107018.23999999999</v>
      </c>
      <c r="AP233" s="6">
        <v>133772.79999999999</v>
      </c>
      <c r="AQ233" s="6">
        <v>107018.23999999999</v>
      </c>
      <c r="AR233" s="6">
        <v>107018.23999999999</v>
      </c>
      <c r="AS233" s="6">
        <v>133772.79999999999</v>
      </c>
      <c r="AT233" s="6">
        <v>107018.23999999999</v>
      </c>
      <c r="AU233" s="6">
        <v>107018.23999999999</v>
      </c>
      <c r="AV233" s="6">
        <v>133772.79999999999</v>
      </c>
      <c r="AW233" s="6">
        <v>107018.23999999999</v>
      </c>
      <c r="AX233" s="50"/>
      <c r="AY233" s="52"/>
      <c r="AZ233" s="52"/>
      <c r="BA233" s="52"/>
      <c r="BB233" s="52"/>
      <c r="BC233" s="52"/>
      <c r="BD233" s="52"/>
      <c r="BE233" s="52"/>
      <c r="BF233" s="52"/>
      <c r="BG233" s="52"/>
      <c r="BH233" s="52"/>
      <c r="BI233" s="52"/>
      <c r="BJ233" s="52"/>
      <c r="BK233" s="52"/>
      <c r="BL233" s="52"/>
      <c r="BM233" s="52"/>
      <c r="BN233" s="52"/>
      <c r="BO233" s="52"/>
      <c r="BP233" s="52"/>
      <c r="BQ233" s="52"/>
      <c r="BR233" s="52"/>
      <c r="BS233" s="52"/>
      <c r="BT233" s="52"/>
      <c r="BU233" s="52"/>
      <c r="BV233" s="52"/>
      <c r="BW233" s="52"/>
      <c r="BX233" s="52"/>
      <c r="BY233" s="52"/>
      <c r="BZ233" s="52"/>
      <c r="CA233" s="52"/>
      <c r="CB233" s="52"/>
      <c r="CC233" s="52"/>
      <c r="CD233" s="52"/>
      <c r="CE233" s="52"/>
      <c r="CF233" s="52"/>
      <c r="CG233" s="52"/>
      <c r="CH233" s="52"/>
      <c r="CI233" s="76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1"/>
      <c r="CW233" s="51"/>
      <c r="CX233" s="51"/>
      <c r="CY233" s="51"/>
      <c r="CZ233" s="51"/>
      <c r="DA233" s="51"/>
      <c r="DB233" s="51"/>
      <c r="DC233" s="51"/>
      <c r="DD233" s="51"/>
      <c r="DE233" s="51"/>
      <c r="DF233" s="51"/>
      <c r="DG233" s="51"/>
      <c r="DH233" s="51"/>
      <c r="DI233" s="51"/>
      <c r="DJ233" s="51"/>
      <c r="DK233" s="51"/>
      <c r="DL233" s="51"/>
      <c r="DM233" s="51"/>
      <c r="DN233" s="51"/>
      <c r="DO233" s="51"/>
    </row>
    <row r="234" spans="1:119" hidden="1" x14ac:dyDescent="0.3">
      <c r="A234" t="s">
        <v>7</v>
      </c>
      <c r="B234" s="4" t="s">
        <v>432</v>
      </c>
      <c r="C234" s="4" t="s">
        <v>487</v>
      </c>
      <c r="D234" s="4" t="s">
        <v>488</v>
      </c>
      <c r="E234" s="4" t="s">
        <v>489</v>
      </c>
      <c r="F234" s="12">
        <v>2.5</v>
      </c>
      <c r="G234" s="34">
        <f t="shared" si="19"/>
        <v>271187.5</v>
      </c>
      <c r="H234" s="28">
        <f t="shared" si="20"/>
        <v>108475</v>
      </c>
      <c r="I234" s="28">
        <f t="shared" si="21"/>
        <v>9040</v>
      </c>
      <c r="J234" s="26">
        <f t="shared" si="22"/>
        <v>62500</v>
      </c>
      <c r="K234" s="24">
        <f t="shared" si="23"/>
        <v>25000</v>
      </c>
      <c r="L234" s="31">
        <f t="shared" si="24"/>
        <v>5000</v>
      </c>
      <c r="M234" s="9">
        <v>13068</v>
      </c>
      <c r="N234" s="9">
        <v>0</v>
      </c>
      <c r="O234" s="9">
        <v>0</v>
      </c>
      <c r="P234" s="9">
        <v>14268</v>
      </c>
      <c r="Q234" s="9">
        <v>19756</v>
      </c>
      <c r="R234" s="9">
        <v>24695</v>
      </c>
      <c r="S234" s="9">
        <v>19756</v>
      </c>
      <c r="T234" s="9">
        <v>5000</v>
      </c>
      <c r="U234" s="9">
        <v>5000</v>
      </c>
      <c r="V234" s="9">
        <v>5000</v>
      </c>
      <c r="W234" s="9">
        <v>5000</v>
      </c>
      <c r="X234" s="9">
        <v>5000</v>
      </c>
      <c r="Y234" s="9">
        <v>5000</v>
      </c>
      <c r="Z234" s="9">
        <v>5000</v>
      </c>
      <c r="AA234" s="9">
        <v>5000</v>
      </c>
      <c r="AB234" s="9">
        <v>5000</v>
      </c>
      <c r="AC234" s="9">
        <v>5000</v>
      </c>
      <c r="AD234" s="9">
        <v>5000</v>
      </c>
      <c r="AF234" s="6">
        <v>30056.399999999994</v>
      </c>
      <c r="AG234" s="6">
        <v>0</v>
      </c>
      <c r="AH234" s="6">
        <v>0</v>
      </c>
      <c r="AI234" s="6">
        <v>35670</v>
      </c>
      <c r="AJ234" s="6">
        <v>49390</v>
      </c>
      <c r="AK234" s="6">
        <v>61737.5</v>
      </c>
      <c r="AL234" s="6">
        <v>49390</v>
      </c>
      <c r="AM234" s="6">
        <v>12500</v>
      </c>
      <c r="AN234" s="6">
        <v>12500</v>
      </c>
      <c r="AO234" s="6">
        <v>12500</v>
      </c>
      <c r="AP234" s="6">
        <v>12500</v>
      </c>
      <c r="AQ234" s="6">
        <v>12500</v>
      </c>
      <c r="AR234" s="6">
        <v>12500</v>
      </c>
      <c r="AS234" s="6">
        <v>12500</v>
      </c>
      <c r="AT234" s="6">
        <v>12500</v>
      </c>
      <c r="AU234" s="6">
        <v>12500</v>
      </c>
      <c r="AV234" s="6">
        <v>12500</v>
      </c>
      <c r="AW234" s="6">
        <v>12500</v>
      </c>
      <c r="AX234" s="50"/>
      <c r="AY234" s="52"/>
      <c r="AZ234" s="52"/>
      <c r="BA234" s="52"/>
      <c r="BB234" s="52"/>
      <c r="BC234" s="52"/>
      <c r="BD234" s="52"/>
      <c r="BE234" s="52"/>
      <c r="BF234" s="52"/>
      <c r="BG234" s="52"/>
      <c r="BH234" s="52"/>
      <c r="BI234" s="52"/>
      <c r="BJ234" s="52"/>
      <c r="BK234" s="52"/>
      <c r="BL234" s="52"/>
      <c r="BM234" s="52"/>
      <c r="BN234" s="52"/>
      <c r="BO234" s="52"/>
      <c r="BP234" s="52"/>
      <c r="BQ234" s="52"/>
      <c r="BR234" s="52"/>
      <c r="BS234" s="52"/>
      <c r="BT234" s="52"/>
      <c r="BU234" s="52"/>
      <c r="BV234" s="52"/>
      <c r="BW234" s="52"/>
      <c r="BX234" s="52"/>
      <c r="BY234" s="52"/>
      <c r="BZ234" s="52"/>
      <c r="CA234" s="52"/>
      <c r="CB234" s="52"/>
      <c r="CC234" s="52"/>
      <c r="CD234" s="52"/>
      <c r="CE234" s="52"/>
      <c r="CF234" s="52"/>
      <c r="CG234" s="52"/>
      <c r="CH234" s="52"/>
      <c r="CI234" s="76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2"/>
      <c r="CV234" s="51"/>
      <c r="CW234" s="51"/>
      <c r="CX234" s="51"/>
      <c r="CY234" s="51"/>
      <c r="CZ234" s="51"/>
      <c r="DA234" s="51"/>
      <c r="DB234" s="51"/>
      <c r="DC234" s="51"/>
      <c r="DD234" s="51"/>
      <c r="DE234" s="51"/>
      <c r="DF234" s="51"/>
      <c r="DG234" s="51"/>
      <c r="DH234" s="51"/>
      <c r="DI234" s="51"/>
      <c r="DJ234" s="51"/>
      <c r="DK234" s="51"/>
      <c r="DL234" s="51"/>
      <c r="DM234" s="51"/>
      <c r="DN234" s="51"/>
      <c r="DO234" s="51"/>
    </row>
    <row r="235" spans="1:119" hidden="1" x14ac:dyDescent="0.3">
      <c r="A235" t="s">
        <v>7</v>
      </c>
      <c r="B235" s="4" t="s">
        <v>432</v>
      </c>
      <c r="C235" s="4" t="s">
        <v>487</v>
      </c>
      <c r="D235" s="4" t="s">
        <v>490</v>
      </c>
      <c r="E235" s="4" t="s">
        <v>491</v>
      </c>
      <c r="F235" s="12">
        <v>2.13</v>
      </c>
      <c r="G235" s="34">
        <f t="shared" si="19"/>
        <v>0</v>
      </c>
      <c r="H235" s="28">
        <f t="shared" si="20"/>
        <v>0</v>
      </c>
      <c r="I235" s="28">
        <f t="shared" si="21"/>
        <v>0</v>
      </c>
      <c r="J235" s="26">
        <f t="shared" si="22"/>
        <v>0</v>
      </c>
      <c r="K235" s="24">
        <f t="shared" si="23"/>
        <v>0</v>
      </c>
      <c r="L235" s="31">
        <f t="shared" si="24"/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4"/>
      <c r="AY235" s="4"/>
      <c r="CI235" s="74" t="e">
        <v>#N/A</v>
      </c>
    </row>
    <row r="236" spans="1:119" hidden="1" x14ac:dyDescent="0.3">
      <c r="A236" t="s">
        <v>7</v>
      </c>
      <c r="B236" s="4" t="s">
        <v>432</v>
      </c>
      <c r="C236" s="4" t="s">
        <v>492</v>
      </c>
      <c r="D236" s="4" t="s">
        <v>493</v>
      </c>
      <c r="E236" s="4" t="s">
        <v>494</v>
      </c>
      <c r="F236" s="12">
        <v>126.74</v>
      </c>
      <c r="G236" s="34">
        <f t="shared" si="19"/>
        <v>0</v>
      </c>
      <c r="H236" s="28">
        <f t="shared" si="20"/>
        <v>0</v>
      </c>
      <c r="I236" s="28">
        <f t="shared" si="21"/>
        <v>0</v>
      </c>
      <c r="J236" s="26">
        <f t="shared" si="22"/>
        <v>0</v>
      </c>
      <c r="K236" s="24">
        <f t="shared" si="23"/>
        <v>0</v>
      </c>
      <c r="L236" s="31">
        <f t="shared" si="24"/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4"/>
      <c r="AY236" s="4"/>
      <c r="CI236" s="74" t="e">
        <v>#N/A</v>
      </c>
    </row>
    <row r="237" spans="1:119" hidden="1" x14ac:dyDescent="0.3">
      <c r="A237" t="s">
        <v>7</v>
      </c>
      <c r="B237" s="4" t="s">
        <v>432</v>
      </c>
      <c r="C237" s="4" t="s">
        <v>492</v>
      </c>
      <c r="D237" s="4" t="s">
        <v>495</v>
      </c>
      <c r="E237" s="4" t="s">
        <v>496</v>
      </c>
      <c r="F237" s="12">
        <v>285.94</v>
      </c>
      <c r="G237" s="34">
        <f t="shared" si="19"/>
        <v>0</v>
      </c>
      <c r="H237" s="28">
        <f t="shared" si="20"/>
        <v>0</v>
      </c>
      <c r="I237" s="28">
        <f t="shared" si="21"/>
        <v>0</v>
      </c>
      <c r="J237" s="26">
        <f t="shared" si="22"/>
        <v>0</v>
      </c>
      <c r="K237" s="24">
        <f t="shared" si="23"/>
        <v>0</v>
      </c>
      <c r="L237" s="31">
        <f t="shared" si="24"/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4"/>
      <c r="AY237" s="4"/>
      <c r="CI237" s="74" t="e">
        <v>#N/A</v>
      </c>
    </row>
    <row r="238" spans="1:119" hidden="1" x14ac:dyDescent="0.3">
      <c r="A238" t="s">
        <v>7</v>
      </c>
      <c r="B238" s="4" t="s">
        <v>432</v>
      </c>
      <c r="C238" s="4" t="s">
        <v>497</v>
      </c>
      <c r="D238" s="4" t="s">
        <v>498</v>
      </c>
      <c r="E238" s="4" t="s">
        <v>499</v>
      </c>
      <c r="F238" s="12">
        <v>0.36</v>
      </c>
      <c r="G238" s="34">
        <f t="shared" si="19"/>
        <v>113735.51999999999</v>
      </c>
      <c r="H238" s="28">
        <f t="shared" si="20"/>
        <v>315932</v>
      </c>
      <c r="I238" s="28">
        <f t="shared" si="21"/>
        <v>26328</v>
      </c>
      <c r="J238" s="26">
        <f t="shared" si="22"/>
        <v>65846.880000000005</v>
      </c>
      <c r="K238" s="24">
        <f t="shared" si="23"/>
        <v>182908</v>
      </c>
      <c r="L238" s="31">
        <f t="shared" si="24"/>
        <v>36582</v>
      </c>
      <c r="M238" s="9">
        <v>8000</v>
      </c>
      <c r="N238" s="9">
        <v>0</v>
      </c>
      <c r="O238" s="9">
        <v>0</v>
      </c>
      <c r="P238" s="9">
        <v>0</v>
      </c>
      <c r="Q238" s="9">
        <v>33256</v>
      </c>
      <c r="R238" s="9">
        <v>33256</v>
      </c>
      <c r="S238" s="9">
        <v>33256</v>
      </c>
      <c r="T238" s="9">
        <v>41570</v>
      </c>
      <c r="U238" s="9">
        <v>33256</v>
      </c>
      <c r="V238" s="9">
        <v>33256</v>
      </c>
      <c r="W238" s="9">
        <v>41570</v>
      </c>
      <c r="X238" s="9">
        <v>33256</v>
      </c>
      <c r="Y238" s="9">
        <v>33256</v>
      </c>
      <c r="Z238" s="9">
        <v>41570</v>
      </c>
      <c r="AA238" s="9">
        <v>33256</v>
      </c>
      <c r="AB238" s="9">
        <v>33256</v>
      </c>
      <c r="AC238" s="9">
        <v>41570</v>
      </c>
      <c r="AD238" s="9">
        <v>33256</v>
      </c>
      <c r="AF238" s="6">
        <v>2560</v>
      </c>
      <c r="AG238" s="6">
        <v>0</v>
      </c>
      <c r="AH238" s="6">
        <v>0</v>
      </c>
      <c r="AI238" s="6">
        <v>0</v>
      </c>
      <c r="AJ238" s="6">
        <v>11972.16</v>
      </c>
      <c r="AK238" s="6">
        <v>11972.16</v>
      </c>
      <c r="AL238" s="6">
        <v>11972.16</v>
      </c>
      <c r="AM238" s="6">
        <v>14965.199999999999</v>
      </c>
      <c r="AN238" s="6">
        <v>11972.16</v>
      </c>
      <c r="AO238" s="6">
        <v>11972.16</v>
      </c>
      <c r="AP238" s="6">
        <v>14965.199999999999</v>
      </c>
      <c r="AQ238" s="6">
        <v>11972.16</v>
      </c>
      <c r="AR238" s="6">
        <v>11972.16</v>
      </c>
      <c r="AS238" s="6">
        <v>14965.199999999999</v>
      </c>
      <c r="AT238" s="6">
        <v>11972.16</v>
      </c>
      <c r="AU238" s="6">
        <v>11972.16</v>
      </c>
      <c r="AV238" s="6">
        <v>14965.199999999999</v>
      </c>
      <c r="AW238" s="6">
        <v>11972.16</v>
      </c>
      <c r="AX238" s="50"/>
      <c r="AY238" s="52"/>
      <c r="AZ238" s="52"/>
      <c r="BA238" s="52"/>
      <c r="BB238" s="52"/>
      <c r="BC238" s="52"/>
      <c r="BD238" s="52"/>
      <c r="BE238" s="52"/>
      <c r="BF238" s="52"/>
      <c r="BG238" s="52"/>
      <c r="BH238" s="52"/>
      <c r="BI238" s="52"/>
      <c r="BJ238" s="52"/>
      <c r="BK238" s="52"/>
      <c r="BL238" s="52"/>
      <c r="BM238" s="52"/>
      <c r="BN238" s="52"/>
      <c r="BO238" s="52"/>
      <c r="BP238" s="52"/>
      <c r="BQ238" s="52"/>
      <c r="BR238" s="52"/>
      <c r="BS238" s="52"/>
      <c r="BT238" s="52"/>
      <c r="BU238" s="52"/>
      <c r="BV238" s="52"/>
      <c r="BW238" s="52"/>
      <c r="BX238" s="52"/>
      <c r="BY238" s="52"/>
      <c r="BZ238" s="52"/>
      <c r="CA238" s="52"/>
      <c r="CB238" s="52"/>
      <c r="CC238" s="52"/>
      <c r="CD238" s="52"/>
      <c r="CE238" s="52"/>
      <c r="CF238" s="52"/>
      <c r="CG238" s="52"/>
      <c r="CH238" s="52"/>
      <c r="CI238" s="76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1"/>
      <c r="CW238" s="51"/>
      <c r="CX238" s="51"/>
      <c r="CY238" s="51"/>
      <c r="CZ238" s="51"/>
      <c r="DA238" s="51"/>
      <c r="DB238" s="51"/>
      <c r="DC238" s="51"/>
      <c r="DD238" s="51"/>
      <c r="DE238" s="51"/>
      <c r="DF238" s="51"/>
      <c r="DG238" s="51"/>
      <c r="DH238" s="51"/>
      <c r="DI238" s="51"/>
      <c r="DJ238" s="51"/>
      <c r="DK238" s="51"/>
      <c r="DL238" s="51"/>
      <c r="DM238" s="51"/>
      <c r="DN238" s="51"/>
      <c r="DO238" s="51"/>
    </row>
    <row r="239" spans="1:119" hidden="1" x14ac:dyDescent="0.3">
      <c r="A239" t="s">
        <v>7</v>
      </c>
      <c r="B239" s="4" t="s">
        <v>432</v>
      </c>
      <c r="C239" s="4" t="s">
        <v>497</v>
      </c>
      <c r="D239" s="4" t="s">
        <v>500</v>
      </c>
      <c r="E239" s="4" t="s">
        <v>501</v>
      </c>
      <c r="F239" s="12">
        <v>0.64</v>
      </c>
      <c r="G239" s="34">
        <f t="shared" si="19"/>
        <v>5760</v>
      </c>
      <c r="H239" s="28">
        <f t="shared" si="20"/>
        <v>9000</v>
      </c>
      <c r="I239" s="28">
        <f t="shared" si="21"/>
        <v>750</v>
      </c>
      <c r="J239" s="26">
        <f t="shared" si="22"/>
        <v>3200</v>
      </c>
      <c r="K239" s="24">
        <f t="shared" si="23"/>
        <v>5000</v>
      </c>
      <c r="L239" s="31">
        <f t="shared" si="24"/>
        <v>1000</v>
      </c>
      <c r="M239" s="9">
        <v>0</v>
      </c>
      <c r="N239" s="9">
        <v>0</v>
      </c>
      <c r="O239" s="9">
        <v>0</v>
      </c>
      <c r="P239" s="9">
        <v>0</v>
      </c>
      <c r="Q239" s="9">
        <v>1000</v>
      </c>
      <c r="R239" s="9">
        <v>1000</v>
      </c>
      <c r="S239" s="9">
        <v>1000</v>
      </c>
      <c r="T239" s="9">
        <v>1000</v>
      </c>
      <c r="U239" s="9">
        <v>1000</v>
      </c>
      <c r="V239" s="9">
        <v>1000</v>
      </c>
      <c r="W239" s="9">
        <v>1000</v>
      </c>
      <c r="X239" s="9">
        <v>1000</v>
      </c>
      <c r="Y239" s="9">
        <v>1000</v>
      </c>
      <c r="Z239" s="9">
        <v>1000</v>
      </c>
      <c r="AA239" s="9">
        <v>1000</v>
      </c>
      <c r="AB239" s="9">
        <v>1000</v>
      </c>
      <c r="AC239" s="9">
        <v>1000</v>
      </c>
      <c r="AD239" s="9">
        <v>1000</v>
      </c>
      <c r="AF239" s="6">
        <v>0</v>
      </c>
      <c r="AG239" s="6">
        <v>0</v>
      </c>
      <c r="AH239" s="6">
        <v>0</v>
      </c>
      <c r="AI239" s="6">
        <v>0</v>
      </c>
      <c r="AJ239" s="6">
        <v>640</v>
      </c>
      <c r="AK239" s="6">
        <v>640</v>
      </c>
      <c r="AL239" s="6">
        <v>640</v>
      </c>
      <c r="AM239" s="6">
        <v>640</v>
      </c>
      <c r="AN239" s="6">
        <v>640</v>
      </c>
      <c r="AO239" s="6">
        <v>640</v>
      </c>
      <c r="AP239" s="6">
        <v>640</v>
      </c>
      <c r="AQ239" s="6">
        <v>640</v>
      </c>
      <c r="AR239" s="6">
        <v>640</v>
      </c>
      <c r="AS239" s="6">
        <v>640</v>
      </c>
      <c r="AT239" s="6">
        <v>640</v>
      </c>
      <c r="AU239" s="6">
        <v>640</v>
      </c>
      <c r="AV239" s="6">
        <v>640</v>
      </c>
      <c r="AW239" s="6">
        <v>640</v>
      </c>
      <c r="AX239" s="50"/>
      <c r="AY239" s="52"/>
      <c r="AZ239" s="52"/>
      <c r="BA239" s="52"/>
      <c r="BB239" s="52"/>
      <c r="BC239" s="52"/>
      <c r="BD239" s="52"/>
      <c r="BE239" s="52"/>
      <c r="BF239" s="52"/>
      <c r="BG239" s="52"/>
      <c r="BH239" s="52"/>
      <c r="BI239" s="52"/>
      <c r="BJ239" s="52"/>
      <c r="BK239" s="52"/>
      <c r="BL239" s="52"/>
      <c r="BM239" s="52"/>
      <c r="BN239" s="52"/>
      <c r="BO239" s="52"/>
      <c r="BP239" s="52"/>
      <c r="BQ239" s="52"/>
      <c r="BR239" s="52"/>
      <c r="BS239" s="52"/>
      <c r="BT239" s="52"/>
      <c r="BU239" s="52"/>
      <c r="BV239" s="52"/>
      <c r="BW239" s="52"/>
      <c r="BX239" s="52"/>
      <c r="BY239" s="52"/>
      <c r="BZ239" s="52"/>
      <c r="CA239" s="52"/>
      <c r="CB239" s="52"/>
      <c r="CC239" s="52"/>
      <c r="CD239" s="52"/>
      <c r="CE239" s="52"/>
      <c r="CF239" s="52"/>
      <c r="CG239" s="52"/>
      <c r="CH239" s="52"/>
      <c r="CI239" s="76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1"/>
      <c r="CW239" s="51"/>
      <c r="CX239" s="51"/>
      <c r="CY239" s="51"/>
      <c r="CZ239" s="51"/>
      <c r="DA239" s="51"/>
      <c r="DB239" s="51"/>
      <c r="DC239" s="51"/>
      <c r="DD239" s="51"/>
      <c r="DE239" s="51"/>
      <c r="DF239" s="51"/>
      <c r="DG239" s="51"/>
      <c r="DH239" s="51"/>
      <c r="DI239" s="51"/>
      <c r="DJ239" s="51"/>
      <c r="DK239" s="51"/>
      <c r="DL239" s="51"/>
      <c r="DM239" s="51"/>
      <c r="DN239" s="51"/>
      <c r="DO239" s="51"/>
    </row>
    <row r="240" spans="1:119" hidden="1" x14ac:dyDescent="0.3">
      <c r="A240" t="s">
        <v>7</v>
      </c>
      <c r="B240" s="4" t="s">
        <v>432</v>
      </c>
      <c r="C240" s="4" t="s">
        <v>497</v>
      </c>
      <c r="D240" s="4" t="s">
        <v>502</v>
      </c>
      <c r="E240" s="4" t="s">
        <v>503</v>
      </c>
      <c r="F240" s="12">
        <v>0.59</v>
      </c>
      <c r="G240" s="34">
        <f t="shared" si="19"/>
        <v>5310</v>
      </c>
      <c r="H240" s="28">
        <f t="shared" si="20"/>
        <v>9000</v>
      </c>
      <c r="I240" s="28">
        <f t="shared" si="21"/>
        <v>750</v>
      </c>
      <c r="J240" s="26">
        <f t="shared" si="22"/>
        <v>2950</v>
      </c>
      <c r="K240" s="24">
        <f t="shared" si="23"/>
        <v>5000</v>
      </c>
      <c r="L240" s="31">
        <f t="shared" si="24"/>
        <v>1000</v>
      </c>
      <c r="M240" s="9">
        <v>6552</v>
      </c>
      <c r="N240" s="9">
        <v>0</v>
      </c>
      <c r="O240" s="9">
        <v>0</v>
      </c>
      <c r="P240" s="9">
        <v>0</v>
      </c>
      <c r="Q240" s="9">
        <v>1000</v>
      </c>
      <c r="R240" s="9">
        <v>1000</v>
      </c>
      <c r="S240" s="9">
        <v>1000</v>
      </c>
      <c r="T240" s="9">
        <v>1000</v>
      </c>
      <c r="U240" s="9">
        <v>1000</v>
      </c>
      <c r="V240" s="9">
        <v>1000</v>
      </c>
      <c r="W240" s="9">
        <v>1000</v>
      </c>
      <c r="X240" s="9">
        <v>1000</v>
      </c>
      <c r="Y240" s="9">
        <v>1000</v>
      </c>
      <c r="Z240" s="9">
        <v>1000</v>
      </c>
      <c r="AA240" s="9">
        <v>1000</v>
      </c>
      <c r="AB240" s="9">
        <v>1000</v>
      </c>
      <c r="AC240" s="9">
        <v>1000</v>
      </c>
      <c r="AD240" s="9">
        <v>1000</v>
      </c>
      <c r="AF240" s="6">
        <v>3865.6800000000003</v>
      </c>
      <c r="AG240" s="6">
        <v>0</v>
      </c>
      <c r="AH240" s="6">
        <v>0</v>
      </c>
      <c r="AI240" s="6">
        <v>0</v>
      </c>
      <c r="AJ240" s="6">
        <v>590</v>
      </c>
      <c r="AK240" s="6">
        <v>590</v>
      </c>
      <c r="AL240" s="6">
        <v>590</v>
      </c>
      <c r="AM240" s="6">
        <v>590</v>
      </c>
      <c r="AN240" s="6">
        <v>590</v>
      </c>
      <c r="AO240" s="6">
        <v>590</v>
      </c>
      <c r="AP240" s="6">
        <v>590</v>
      </c>
      <c r="AQ240" s="6">
        <v>590</v>
      </c>
      <c r="AR240" s="6">
        <v>590</v>
      </c>
      <c r="AS240" s="6">
        <v>590</v>
      </c>
      <c r="AT240" s="6">
        <v>590</v>
      </c>
      <c r="AU240" s="6">
        <v>590</v>
      </c>
      <c r="AV240" s="6">
        <v>590</v>
      </c>
      <c r="AW240" s="6">
        <v>590</v>
      </c>
      <c r="AX240" s="50"/>
      <c r="AY240" s="52"/>
      <c r="AZ240" s="52"/>
      <c r="BA240" s="52"/>
      <c r="BB240" s="52"/>
      <c r="BC240" s="52"/>
      <c r="BD240" s="52"/>
      <c r="BE240" s="52"/>
      <c r="BF240" s="52"/>
      <c r="BG240" s="52"/>
      <c r="BH240" s="52"/>
      <c r="BI240" s="52"/>
      <c r="BJ240" s="52"/>
      <c r="BK240" s="52"/>
      <c r="BL240" s="52"/>
      <c r="BM240" s="52"/>
      <c r="BN240" s="52"/>
      <c r="BO240" s="52"/>
      <c r="BP240" s="52"/>
      <c r="BQ240" s="52"/>
      <c r="BR240" s="52"/>
      <c r="BS240" s="52"/>
      <c r="BT240" s="52"/>
      <c r="BU240" s="52"/>
      <c r="BV240" s="52"/>
      <c r="BW240" s="52"/>
      <c r="BX240" s="52"/>
      <c r="BY240" s="52"/>
      <c r="BZ240" s="52"/>
      <c r="CA240" s="52"/>
      <c r="CB240" s="52"/>
      <c r="CC240" s="52"/>
      <c r="CD240" s="52"/>
      <c r="CE240" s="52"/>
      <c r="CF240" s="52"/>
      <c r="CG240" s="52"/>
      <c r="CH240" s="52"/>
      <c r="CI240" s="76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2"/>
      <c r="CV240" s="51"/>
      <c r="CW240" s="51"/>
      <c r="CX240" s="51"/>
      <c r="CY240" s="51"/>
      <c r="CZ240" s="51"/>
      <c r="DA240" s="51"/>
      <c r="DB240" s="51"/>
      <c r="DC240" s="51"/>
      <c r="DD240" s="51"/>
      <c r="DE240" s="51"/>
      <c r="DF240" s="51"/>
      <c r="DG240" s="51"/>
      <c r="DH240" s="51"/>
      <c r="DI240" s="51"/>
      <c r="DJ240" s="51"/>
      <c r="DK240" s="51"/>
      <c r="DL240" s="51"/>
      <c r="DM240" s="51"/>
      <c r="DN240" s="51"/>
      <c r="DO240" s="51"/>
    </row>
    <row r="241" spans="1:119" hidden="1" x14ac:dyDescent="0.3">
      <c r="A241" t="s">
        <v>7</v>
      </c>
      <c r="B241" s="4" t="s">
        <v>432</v>
      </c>
      <c r="C241" s="4" t="s">
        <v>497</v>
      </c>
      <c r="D241" s="4" t="s">
        <v>504</v>
      </c>
      <c r="E241" s="4" t="s">
        <v>505</v>
      </c>
      <c r="F241" s="12">
        <v>1.33</v>
      </c>
      <c r="G241" s="34">
        <f t="shared" si="19"/>
        <v>13300</v>
      </c>
      <c r="H241" s="28">
        <f t="shared" si="20"/>
        <v>10000</v>
      </c>
      <c r="I241" s="28">
        <f t="shared" si="21"/>
        <v>834</v>
      </c>
      <c r="J241" s="26">
        <f t="shared" si="22"/>
        <v>6650</v>
      </c>
      <c r="K241" s="24">
        <f t="shared" si="23"/>
        <v>5000</v>
      </c>
      <c r="L241" s="31">
        <f t="shared" si="24"/>
        <v>1000</v>
      </c>
      <c r="M241" s="9">
        <v>0</v>
      </c>
      <c r="N241" s="9">
        <v>0</v>
      </c>
      <c r="O241" s="9">
        <v>0</v>
      </c>
      <c r="P241" s="9">
        <v>1000</v>
      </c>
      <c r="Q241" s="9">
        <v>1000</v>
      </c>
      <c r="R241" s="9">
        <v>1000</v>
      </c>
      <c r="S241" s="9">
        <v>1000</v>
      </c>
      <c r="T241" s="9">
        <v>1000</v>
      </c>
      <c r="U241" s="9">
        <v>1000</v>
      </c>
      <c r="V241" s="9">
        <v>1000</v>
      </c>
      <c r="W241" s="9">
        <v>1000</v>
      </c>
      <c r="X241" s="9">
        <v>1000</v>
      </c>
      <c r="Y241" s="9">
        <v>1000</v>
      </c>
      <c r="Z241" s="9">
        <v>1000</v>
      </c>
      <c r="AA241" s="9">
        <v>1000</v>
      </c>
      <c r="AB241" s="9">
        <v>1000</v>
      </c>
      <c r="AC241" s="9">
        <v>1000</v>
      </c>
      <c r="AD241" s="9">
        <v>1000</v>
      </c>
      <c r="AF241" s="6">
        <v>0</v>
      </c>
      <c r="AG241" s="6">
        <v>0</v>
      </c>
      <c r="AH241" s="6">
        <v>0</v>
      </c>
      <c r="AI241" s="6">
        <v>1330</v>
      </c>
      <c r="AJ241" s="6">
        <v>1330</v>
      </c>
      <c r="AK241" s="6">
        <v>1330</v>
      </c>
      <c r="AL241" s="6">
        <v>1330</v>
      </c>
      <c r="AM241" s="6">
        <v>1330</v>
      </c>
      <c r="AN241" s="6">
        <v>1330</v>
      </c>
      <c r="AO241" s="6">
        <v>1330</v>
      </c>
      <c r="AP241" s="6">
        <v>1330</v>
      </c>
      <c r="AQ241" s="6">
        <v>1330</v>
      </c>
      <c r="AR241" s="6">
        <v>1330</v>
      </c>
      <c r="AS241" s="6">
        <v>1330</v>
      </c>
      <c r="AT241" s="6">
        <v>1330</v>
      </c>
      <c r="AU241" s="6">
        <v>1330</v>
      </c>
      <c r="AV241" s="6">
        <v>1330</v>
      </c>
      <c r="AW241" s="6">
        <v>1330</v>
      </c>
      <c r="AX241" s="50"/>
      <c r="AY241" s="52"/>
      <c r="AZ241" s="52"/>
      <c r="BA241" s="52"/>
      <c r="BB241" s="52"/>
      <c r="BC241" s="52"/>
      <c r="BD241" s="52"/>
      <c r="BE241" s="52"/>
      <c r="BF241" s="52"/>
      <c r="BG241" s="52"/>
      <c r="BH241" s="52"/>
      <c r="BI241" s="52"/>
      <c r="BJ241" s="52"/>
      <c r="BK241" s="52"/>
      <c r="BL241" s="52"/>
      <c r="BM241" s="52"/>
      <c r="BN241" s="52"/>
      <c r="BO241" s="52"/>
      <c r="BP241" s="52"/>
      <c r="BQ241" s="52"/>
      <c r="BR241" s="52"/>
      <c r="BS241" s="52"/>
      <c r="BT241" s="52"/>
      <c r="BU241" s="52"/>
      <c r="BV241" s="52"/>
      <c r="BW241" s="52"/>
      <c r="BX241" s="52"/>
      <c r="BY241" s="52"/>
      <c r="BZ241" s="52"/>
      <c r="CA241" s="52"/>
      <c r="CB241" s="52"/>
      <c r="CC241" s="52"/>
      <c r="CD241" s="52"/>
      <c r="CE241" s="52"/>
      <c r="CF241" s="52"/>
      <c r="CG241" s="52"/>
      <c r="CH241" s="52"/>
      <c r="CI241" s="76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2"/>
      <c r="CV241" s="51"/>
      <c r="CW241" s="51"/>
      <c r="CX241" s="51"/>
      <c r="CY241" s="51"/>
      <c r="CZ241" s="51"/>
      <c r="DA241" s="51"/>
      <c r="DB241" s="51"/>
      <c r="DC241" s="51"/>
      <c r="DD241" s="51"/>
      <c r="DE241" s="51"/>
      <c r="DF241" s="51"/>
      <c r="DG241" s="51"/>
      <c r="DH241" s="51"/>
      <c r="DI241" s="51"/>
      <c r="DJ241" s="51"/>
      <c r="DK241" s="51"/>
      <c r="DL241" s="51"/>
      <c r="DM241" s="51"/>
      <c r="DN241" s="51"/>
      <c r="DO241" s="51"/>
    </row>
    <row r="242" spans="1:119" hidden="1" x14ac:dyDescent="0.3">
      <c r="A242" t="s">
        <v>7</v>
      </c>
      <c r="B242" s="4" t="s">
        <v>432</v>
      </c>
      <c r="C242" s="4" t="s">
        <v>497</v>
      </c>
      <c r="D242" s="4" t="s">
        <v>506</v>
      </c>
      <c r="E242" s="4" t="s">
        <v>505</v>
      </c>
      <c r="F242" s="12">
        <v>1.66</v>
      </c>
      <c r="G242" s="34">
        <f t="shared" si="19"/>
        <v>27356.799999999999</v>
      </c>
      <c r="H242" s="28">
        <f t="shared" si="20"/>
        <v>16480</v>
      </c>
      <c r="I242" s="28">
        <f t="shared" si="21"/>
        <v>1374</v>
      </c>
      <c r="J242" s="26">
        <f t="shared" si="22"/>
        <v>8300</v>
      </c>
      <c r="K242" s="24">
        <f t="shared" si="23"/>
        <v>5000</v>
      </c>
      <c r="L242" s="31">
        <f t="shared" si="24"/>
        <v>1000</v>
      </c>
      <c r="M242" s="9">
        <v>0</v>
      </c>
      <c r="N242" s="9">
        <v>4320</v>
      </c>
      <c r="O242" s="9">
        <v>2160</v>
      </c>
      <c r="P242" s="9">
        <v>1000</v>
      </c>
      <c r="Q242" s="9">
        <v>1000</v>
      </c>
      <c r="R242" s="9">
        <v>1000</v>
      </c>
      <c r="S242" s="9">
        <v>1000</v>
      </c>
      <c r="T242" s="9">
        <v>1000</v>
      </c>
      <c r="U242" s="9">
        <v>1000</v>
      </c>
      <c r="V242" s="9">
        <v>1000</v>
      </c>
      <c r="W242" s="9">
        <v>1000</v>
      </c>
      <c r="X242" s="9">
        <v>1000</v>
      </c>
      <c r="Y242" s="9">
        <v>1000</v>
      </c>
      <c r="Z242" s="9">
        <v>1000</v>
      </c>
      <c r="AA242" s="9">
        <v>1000</v>
      </c>
      <c r="AB242" s="9">
        <v>1000</v>
      </c>
      <c r="AC242" s="9">
        <v>1000</v>
      </c>
      <c r="AD242" s="9">
        <v>1000</v>
      </c>
      <c r="AF242" s="6">
        <v>0</v>
      </c>
      <c r="AG242" s="6">
        <v>7171.2</v>
      </c>
      <c r="AH242" s="6">
        <v>3585.6</v>
      </c>
      <c r="AI242" s="6">
        <v>1660</v>
      </c>
      <c r="AJ242" s="6">
        <v>1660</v>
      </c>
      <c r="AK242" s="6">
        <v>1660</v>
      </c>
      <c r="AL242" s="6">
        <v>1660</v>
      </c>
      <c r="AM242" s="6">
        <v>1660</v>
      </c>
      <c r="AN242" s="6">
        <v>1660</v>
      </c>
      <c r="AO242" s="6">
        <v>1660</v>
      </c>
      <c r="AP242" s="6">
        <v>1660</v>
      </c>
      <c r="AQ242" s="6">
        <v>1660</v>
      </c>
      <c r="AR242" s="6">
        <v>1660</v>
      </c>
      <c r="AS242" s="6">
        <v>1660</v>
      </c>
      <c r="AT242" s="6">
        <v>1660</v>
      </c>
      <c r="AU242" s="6">
        <v>1660</v>
      </c>
      <c r="AV242" s="6">
        <v>1660</v>
      </c>
      <c r="AW242" s="6">
        <v>1660</v>
      </c>
      <c r="AX242" s="50"/>
      <c r="AY242" s="52"/>
      <c r="AZ242" s="52"/>
      <c r="BA242" s="52"/>
      <c r="BB242" s="52"/>
      <c r="BC242" s="52"/>
      <c r="BD242" s="52"/>
      <c r="BE242" s="52"/>
      <c r="BF242" s="52"/>
      <c r="BG242" s="52"/>
      <c r="BH242" s="52"/>
      <c r="BI242" s="52"/>
      <c r="BJ242" s="52"/>
      <c r="BK242" s="52"/>
      <c r="BL242" s="52"/>
      <c r="BM242" s="52"/>
      <c r="BN242" s="52"/>
      <c r="BO242" s="52"/>
      <c r="BP242" s="52"/>
      <c r="BQ242" s="52"/>
      <c r="BR242" s="52"/>
      <c r="BS242" s="52"/>
      <c r="BT242" s="52"/>
      <c r="BU242" s="52"/>
      <c r="BV242" s="52"/>
      <c r="BW242" s="52"/>
      <c r="BX242" s="52"/>
      <c r="BY242" s="52"/>
      <c r="BZ242" s="52"/>
      <c r="CA242" s="52"/>
      <c r="CB242" s="52"/>
      <c r="CC242" s="52"/>
      <c r="CD242" s="52"/>
      <c r="CE242" s="52"/>
      <c r="CF242" s="52"/>
      <c r="CG242" s="52"/>
      <c r="CH242" s="52"/>
      <c r="CI242" s="76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1"/>
      <c r="CW242" s="51"/>
      <c r="CX242" s="51"/>
      <c r="CY242" s="51"/>
      <c r="CZ242" s="51"/>
      <c r="DA242" s="51"/>
      <c r="DB242" s="51"/>
      <c r="DC242" s="51"/>
      <c r="DD242" s="51"/>
      <c r="DE242" s="51"/>
      <c r="DF242" s="51"/>
      <c r="DG242" s="51"/>
      <c r="DH242" s="51"/>
      <c r="DI242" s="51"/>
      <c r="DJ242" s="51"/>
      <c r="DK242" s="51"/>
      <c r="DL242" s="51"/>
      <c r="DM242" s="51"/>
      <c r="DN242" s="51"/>
      <c r="DO242" s="51"/>
    </row>
    <row r="243" spans="1:119" hidden="1" x14ac:dyDescent="0.3">
      <c r="A243" t="s">
        <v>7</v>
      </c>
      <c r="B243" s="4" t="s">
        <v>432</v>
      </c>
      <c r="C243" s="4" t="s">
        <v>497</v>
      </c>
      <c r="D243" s="4" t="s">
        <v>507</v>
      </c>
      <c r="E243" s="4" t="s">
        <v>508</v>
      </c>
      <c r="F243" s="12">
        <v>9</v>
      </c>
      <c r="G243" s="34">
        <f t="shared" si="19"/>
        <v>132840</v>
      </c>
      <c r="H243" s="28">
        <f t="shared" si="20"/>
        <v>14760</v>
      </c>
      <c r="I243" s="28">
        <f t="shared" si="21"/>
        <v>1230</v>
      </c>
      <c r="J243" s="26">
        <f t="shared" si="22"/>
        <v>45000</v>
      </c>
      <c r="K243" s="24">
        <f t="shared" si="23"/>
        <v>5000</v>
      </c>
      <c r="L243" s="31">
        <f t="shared" si="24"/>
        <v>1000</v>
      </c>
      <c r="M243" s="9">
        <v>3128</v>
      </c>
      <c r="N243" s="9">
        <v>2856</v>
      </c>
      <c r="O243" s="9">
        <v>1904</v>
      </c>
      <c r="P243" s="9">
        <v>1000</v>
      </c>
      <c r="Q243" s="9">
        <v>1000</v>
      </c>
      <c r="R243" s="9">
        <v>1000</v>
      </c>
      <c r="S243" s="9">
        <v>1000</v>
      </c>
      <c r="T243" s="9">
        <v>1000</v>
      </c>
      <c r="U243" s="9">
        <v>1000</v>
      </c>
      <c r="V243" s="9">
        <v>1000</v>
      </c>
      <c r="W243" s="9">
        <v>1000</v>
      </c>
      <c r="X243" s="9">
        <v>1000</v>
      </c>
      <c r="Y243" s="9">
        <v>1000</v>
      </c>
      <c r="Z243" s="9">
        <v>1000</v>
      </c>
      <c r="AA243" s="9">
        <v>1000</v>
      </c>
      <c r="AB243" s="9">
        <v>1000</v>
      </c>
      <c r="AC243" s="9">
        <v>1000</v>
      </c>
      <c r="AD243" s="9">
        <v>1000</v>
      </c>
      <c r="AF243" s="6">
        <v>28152</v>
      </c>
      <c r="AG243" s="6">
        <v>25704</v>
      </c>
      <c r="AH243" s="6">
        <v>17136</v>
      </c>
      <c r="AI243" s="6">
        <v>9000</v>
      </c>
      <c r="AJ243" s="6">
        <v>9000</v>
      </c>
      <c r="AK243" s="6">
        <v>9000</v>
      </c>
      <c r="AL243" s="6">
        <v>9000</v>
      </c>
      <c r="AM243" s="6">
        <v>9000</v>
      </c>
      <c r="AN243" s="6">
        <v>9000</v>
      </c>
      <c r="AO243" s="6">
        <v>9000</v>
      </c>
      <c r="AP243" s="6">
        <v>9000</v>
      </c>
      <c r="AQ243" s="6">
        <v>9000</v>
      </c>
      <c r="AR243" s="6">
        <v>9000</v>
      </c>
      <c r="AS243" s="6">
        <v>9000</v>
      </c>
      <c r="AT243" s="6">
        <v>9000</v>
      </c>
      <c r="AU243" s="6">
        <v>9000</v>
      </c>
      <c r="AV243" s="6">
        <v>9000</v>
      </c>
      <c r="AW243" s="6">
        <v>9000</v>
      </c>
      <c r="AX243" s="50"/>
      <c r="AY243" s="52"/>
      <c r="AZ243" s="52"/>
      <c r="BA243" s="52"/>
      <c r="BB243" s="52"/>
      <c r="BC243" s="52"/>
      <c r="BD243" s="52"/>
      <c r="BE243" s="52"/>
      <c r="BF243" s="52"/>
      <c r="BG243" s="52"/>
      <c r="BH243" s="52"/>
      <c r="BI243" s="52"/>
      <c r="BJ243" s="52"/>
      <c r="BK243" s="52"/>
      <c r="BL243" s="52"/>
      <c r="BM243" s="52"/>
      <c r="BN243" s="52"/>
      <c r="BO243" s="52"/>
      <c r="BP243" s="52"/>
      <c r="BQ243" s="52"/>
      <c r="BR243" s="52"/>
      <c r="BS243" s="52"/>
      <c r="BT243" s="52"/>
      <c r="BU243" s="52"/>
      <c r="BV243" s="52"/>
      <c r="BW243" s="52"/>
      <c r="BX243" s="52"/>
      <c r="BY243" s="52"/>
      <c r="BZ243" s="52"/>
      <c r="CA243" s="52"/>
      <c r="CB243" s="52"/>
      <c r="CC243" s="52"/>
      <c r="CD243" s="52"/>
      <c r="CE243" s="52"/>
      <c r="CF243" s="52"/>
      <c r="CG243" s="52"/>
      <c r="CH243" s="52"/>
      <c r="CI243" s="76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2"/>
      <c r="CV243" s="51"/>
      <c r="CW243" s="51"/>
      <c r="CX243" s="51"/>
      <c r="CY243" s="51"/>
      <c r="CZ243" s="51"/>
      <c r="DA243" s="51"/>
      <c r="DB243" s="51"/>
      <c r="DC243" s="51"/>
      <c r="DD243" s="51"/>
      <c r="DE243" s="51"/>
      <c r="DF243" s="51"/>
      <c r="DG243" s="51"/>
      <c r="DH243" s="51"/>
      <c r="DI243" s="51"/>
      <c r="DJ243" s="51"/>
      <c r="DK243" s="51"/>
      <c r="DL243" s="51"/>
      <c r="DM243" s="51"/>
      <c r="DN243" s="51"/>
      <c r="DO243" s="51"/>
    </row>
    <row r="244" spans="1:119" hidden="1" x14ac:dyDescent="0.3">
      <c r="A244" t="s">
        <v>7</v>
      </c>
      <c r="B244" s="4" t="s">
        <v>432</v>
      </c>
      <c r="C244" s="4" t="s">
        <v>497</v>
      </c>
      <c r="D244" s="4" t="s">
        <v>509</v>
      </c>
      <c r="E244" s="4" t="s">
        <v>510</v>
      </c>
      <c r="F244" s="12">
        <v>9.1999999999999993</v>
      </c>
      <c r="G244" s="34">
        <f t="shared" si="19"/>
        <v>126591.99999999999</v>
      </c>
      <c r="H244" s="28">
        <f t="shared" si="20"/>
        <v>13760</v>
      </c>
      <c r="I244" s="28">
        <f t="shared" si="21"/>
        <v>1147</v>
      </c>
      <c r="J244" s="26">
        <f t="shared" si="22"/>
        <v>46000</v>
      </c>
      <c r="K244" s="24">
        <f t="shared" si="23"/>
        <v>5000</v>
      </c>
      <c r="L244" s="31">
        <f t="shared" si="24"/>
        <v>1000</v>
      </c>
      <c r="M244" s="9">
        <v>0</v>
      </c>
      <c r="N244" s="9">
        <v>2176</v>
      </c>
      <c r="O244" s="9">
        <v>1088</v>
      </c>
      <c r="P244" s="9">
        <v>1496</v>
      </c>
      <c r="Q244" s="9">
        <v>1000</v>
      </c>
      <c r="R244" s="9">
        <v>1000</v>
      </c>
      <c r="S244" s="9">
        <v>1000</v>
      </c>
      <c r="T244" s="9">
        <v>1000</v>
      </c>
      <c r="U244" s="9">
        <v>1000</v>
      </c>
      <c r="V244" s="9">
        <v>1000</v>
      </c>
      <c r="W244" s="9">
        <v>1000</v>
      </c>
      <c r="X244" s="9">
        <v>1000</v>
      </c>
      <c r="Y244" s="9">
        <v>1000</v>
      </c>
      <c r="Z244" s="9">
        <v>1000</v>
      </c>
      <c r="AA244" s="9">
        <v>1000</v>
      </c>
      <c r="AB244" s="9">
        <v>1000</v>
      </c>
      <c r="AC244" s="9">
        <v>1000</v>
      </c>
      <c r="AD244" s="9">
        <v>1000</v>
      </c>
      <c r="AF244" s="6">
        <v>0</v>
      </c>
      <c r="AG244" s="6">
        <v>20019.199999999997</v>
      </c>
      <c r="AH244" s="6">
        <v>10009.599999999999</v>
      </c>
      <c r="AI244" s="6">
        <v>13763.199999999999</v>
      </c>
      <c r="AJ244" s="6">
        <v>9200</v>
      </c>
      <c r="AK244" s="6">
        <v>9200</v>
      </c>
      <c r="AL244" s="6">
        <v>9200</v>
      </c>
      <c r="AM244" s="6">
        <v>9200</v>
      </c>
      <c r="AN244" s="6">
        <v>9200</v>
      </c>
      <c r="AO244" s="6">
        <v>9200</v>
      </c>
      <c r="AP244" s="6">
        <v>9200</v>
      </c>
      <c r="AQ244" s="6">
        <v>9200</v>
      </c>
      <c r="AR244" s="6">
        <v>9200</v>
      </c>
      <c r="AS244" s="6">
        <v>9200</v>
      </c>
      <c r="AT244" s="6">
        <v>9200</v>
      </c>
      <c r="AU244" s="6">
        <v>9200</v>
      </c>
      <c r="AV244" s="6">
        <v>9200</v>
      </c>
      <c r="AW244" s="6">
        <v>9200</v>
      </c>
      <c r="AX244" s="50"/>
      <c r="AY244" s="52"/>
      <c r="AZ244" s="52"/>
      <c r="BA244" s="52"/>
      <c r="BB244" s="52"/>
      <c r="BC244" s="52"/>
      <c r="BD244" s="52"/>
      <c r="BE244" s="52"/>
      <c r="BF244" s="52"/>
      <c r="BG244" s="52"/>
      <c r="BH244" s="52"/>
      <c r="BI244" s="52"/>
      <c r="BJ244" s="52"/>
      <c r="BK244" s="52"/>
      <c r="BL244" s="52"/>
      <c r="BM244" s="52"/>
      <c r="BN244" s="52"/>
      <c r="BO244" s="52"/>
      <c r="BP244" s="52"/>
      <c r="BQ244" s="52"/>
      <c r="BR244" s="52"/>
      <c r="BS244" s="52"/>
      <c r="BT244" s="52"/>
      <c r="BU244" s="52"/>
      <c r="BV244" s="52"/>
      <c r="BW244" s="52"/>
      <c r="BX244" s="52"/>
      <c r="BY244" s="52"/>
      <c r="BZ244" s="52"/>
      <c r="CA244" s="52"/>
      <c r="CB244" s="52"/>
      <c r="CC244" s="52"/>
      <c r="CD244" s="52"/>
      <c r="CE244" s="52"/>
      <c r="CF244" s="52"/>
      <c r="CG244" s="52"/>
      <c r="CH244" s="52"/>
      <c r="CI244" s="76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51"/>
      <c r="CW244" s="51"/>
      <c r="CX244" s="51"/>
      <c r="CY244" s="51"/>
      <c r="CZ244" s="51"/>
      <c r="DA244" s="51"/>
      <c r="DB244" s="51"/>
      <c r="DC244" s="51"/>
      <c r="DD244" s="51"/>
      <c r="DE244" s="51"/>
      <c r="DF244" s="51"/>
      <c r="DG244" s="51"/>
      <c r="DH244" s="51"/>
      <c r="DI244" s="51"/>
      <c r="DJ244" s="51"/>
      <c r="DK244" s="51"/>
      <c r="DL244" s="51"/>
      <c r="DM244" s="51"/>
      <c r="DN244" s="51"/>
      <c r="DO244" s="51"/>
    </row>
    <row r="245" spans="1:119" hidden="1" x14ac:dyDescent="0.3">
      <c r="A245" t="s">
        <v>7</v>
      </c>
      <c r="B245" s="4" t="s">
        <v>432</v>
      </c>
      <c r="C245" s="4" t="s">
        <v>497</v>
      </c>
      <c r="D245" s="4" t="s">
        <v>511</v>
      </c>
      <c r="E245" s="4" t="s">
        <v>512</v>
      </c>
      <c r="F245" s="12">
        <v>0.49</v>
      </c>
      <c r="G245" s="34">
        <f t="shared" si="19"/>
        <v>0</v>
      </c>
      <c r="H245" s="28">
        <f t="shared" si="20"/>
        <v>0</v>
      </c>
      <c r="I245" s="28">
        <f t="shared" si="21"/>
        <v>0</v>
      </c>
      <c r="J245" s="26">
        <f t="shared" si="22"/>
        <v>0</v>
      </c>
      <c r="K245" s="24">
        <f t="shared" si="23"/>
        <v>0</v>
      </c>
      <c r="L245" s="31">
        <f t="shared" si="24"/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4"/>
      <c r="AY245" s="4"/>
      <c r="CI245" s="74" t="e">
        <v>#N/A</v>
      </c>
    </row>
    <row r="246" spans="1:119" hidden="1" x14ac:dyDescent="0.3">
      <c r="A246" t="s">
        <v>7</v>
      </c>
      <c r="B246" s="4" t="s">
        <v>432</v>
      </c>
      <c r="C246" s="4" t="s">
        <v>497</v>
      </c>
      <c r="D246" s="4" t="s">
        <v>513</v>
      </c>
      <c r="E246" s="4" t="s">
        <v>514</v>
      </c>
      <c r="F246" s="12">
        <v>3.06</v>
      </c>
      <c r="G246" s="34">
        <f t="shared" si="19"/>
        <v>30600</v>
      </c>
      <c r="H246" s="28">
        <f t="shared" si="20"/>
        <v>10000</v>
      </c>
      <c r="I246" s="28">
        <f t="shared" si="21"/>
        <v>834</v>
      </c>
      <c r="J246" s="26">
        <f t="shared" si="22"/>
        <v>15300</v>
      </c>
      <c r="K246" s="24">
        <f t="shared" si="23"/>
        <v>5000</v>
      </c>
      <c r="L246" s="31">
        <f t="shared" si="24"/>
        <v>1000</v>
      </c>
      <c r="M246" s="9">
        <v>4800</v>
      </c>
      <c r="N246" s="9">
        <v>0</v>
      </c>
      <c r="O246" s="9">
        <v>0</v>
      </c>
      <c r="P246" s="9">
        <v>1000</v>
      </c>
      <c r="Q246" s="9">
        <v>1000</v>
      </c>
      <c r="R246" s="9">
        <v>1000</v>
      </c>
      <c r="S246" s="9">
        <v>1000</v>
      </c>
      <c r="T246" s="9">
        <v>1000</v>
      </c>
      <c r="U246" s="9">
        <v>1000</v>
      </c>
      <c r="V246" s="9">
        <v>1000</v>
      </c>
      <c r="W246" s="9">
        <v>1000</v>
      </c>
      <c r="X246" s="9">
        <v>1000</v>
      </c>
      <c r="Y246" s="9">
        <v>1000</v>
      </c>
      <c r="Z246" s="9">
        <v>1000</v>
      </c>
      <c r="AA246" s="9">
        <v>1000</v>
      </c>
      <c r="AB246" s="9">
        <v>1000</v>
      </c>
      <c r="AC246" s="9">
        <v>1000</v>
      </c>
      <c r="AD246" s="9">
        <v>1000</v>
      </c>
      <c r="AF246" s="6">
        <v>14688</v>
      </c>
      <c r="AG246" s="6">
        <v>0</v>
      </c>
      <c r="AH246" s="6">
        <v>0</v>
      </c>
      <c r="AI246" s="6">
        <v>3060</v>
      </c>
      <c r="AJ246" s="6">
        <v>3060</v>
      </c>
      <c r="AK246" s="6">
        <v>3060</v>
      </c>
      <c r="AL246" s="6">
        <v>3060</v>
      </c>
      <c r="AM246" s="6">
        <v>3060</v>
      </c>
      <c r="AN246" s="6">
        <v>3060</v>
      </c>
      <c r="AO246" s="6">
        <v>3060</v>
      </c>
      <c r="AP246" s="6">
        <v>3060</v>
      </c>
      <c r="AQ246" s="6">
        <v>3060</v>
      </c>
      <c r="AR246" s="6">
        <v>3060</v>
      </c>
      <c r="AS246" s="6">
        <v>3060</v>
      </c>
      <c r="AT246" s="6">
        <v>3060</v>
      </c>
      <c r="AU246" s="6">
        <v>3060</v>
      </c>
      <c r="AV246" s="6">
        <v>3060</v>
      </c>
      <c r="AW246" s="6">
        <v>3060</v>
      </c>
      <c r="AX246" s="50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76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51"/>
      <c r="CW246" s="51"/>
      <c r="CX246" s="51"/>
      <c r="CY246" s="51"/>
      <c r="CZ246" s="51"/>
      <c r="DA246" s="51"/>
      <c r="DB246" s="51"/>
      <c r="DC246" s="51"/>
      <c r="DD246" s="51"/>
      <c r="DE246" s="51"/>
      <c r="DF246" s="51"/>
      <c r="DG246" s="51"/>
      <c r="DH246" s="51"/>
      <c r="DI246" s="51"/>
      <c r="DJ246" s="51"/>
      <c r="DK246" s="51"/>
      <c r="DL246" s="51"/>
      <c r="DM246" s="51"/>
      <c r="DN246" s="51"/>
      <c r="DO246" s="51"/>
    </row>
    <row r="247" spans="1:119" hidden="1" x14ac:dyDescent="0.3">
      <c r="A247" t="s">
        <v>7</v>
      </c>
      <c r="B247" s="4" t="s">
        <v>432</v>
      </c>
      <c r="C247" s="4" t="s">
        <v>497</v>
      </c>
      <c r="D247" s="4" t="s">
        <v>515</v>
      </c>
      <c r="E247" s="4" t="s">
        <v>516</v>
      </c>
      <c r="F247" s="12">
        <v>69.94</v>
      </c>
      <c r="G247" s="34">
        <f t="shared" si="19"/>
        <v>1055814.24</v>
      </c>
      <c r="H247" s="28">
        <f t="shared" si="20"/>
        <v>15096</v>
      </c>
      <c r="I247" s="28">
        <f t="shared" si="21"/>
        <v>1258</v>
      </c>
      <c r="J247" s="26">
        <f t="shared" si="22"/>
        <v>349700</v>
      </c>
      <c r="K247" s="24">
        <f t="shared" si="23"/>
        <v>5000</v>
      </c>
      <c r="L247" s="31">
        <f t="shared" si="24"/>
        <v>1000</v>
      </c>
      <c r="M247" s="9">
        <v>768</v>
      </c>
      <c r="N247" s="9">
        <v>2304</v>
      </c>
      <c r="O247" s="9">
        <v>2304</v>
      </c>
      <c r="P247" s="9">
        <v>1488</v>
      </c>
      <c r="Q247" s="9">
        <v>1000</v>
      </c>
      <c r="R247" s="9">
        <v>1000</v>
      </c>
      <c r="S247" s="9">
        <v>1000</v>
      </c>
      <c r="T247" s="9">
        <v>1000</v>
      </c>
      <c r="U247" s="9">
        <v>1000</v>
      </c>
      <c r="V247" s="9">
        <v>1000</v>
      </c>
      <c r="W247" s="9">
        <v>1000</v>
      </c>
      <c r="X247" s="9">
        <v>1000</v>
      </c>
      <c r="Y247" s="9">
        <v>1000</v>
      </c>
      <c r="Z247" s="9">
        <v>1000</v>
      </c>
      <c r="AA247" s="9">
        <v>1000</v>
      </c>
      <c r="AB247" s="9">
        <v>1000</v>
      </c>
      <c r="AC247" s="9">
        <v>1000</v>
      </c>
      <c r="AD247" s="9">
        <v>1000</v>
      </c>
      <c r="AF247" s="6">
        <v>53713.919999999998</v>
      </c>
      <c r="AG247" s="6">
        <v>161141.76000000001</v>
      </c>
      <c r="AH247" s="6">
        <v>161141.76000000001</v>
      </c>
      <c r="AI247" s="6">
        <v>104070.72</v>
      </c>
      <c r="AJ247" s="6">
        <v>69940</v>
      </c>
      <c r="AK247" s="6">
        <v>69940</v>
      </c>
      <c r="AL247" s="6">
        <v>69940</v>
      </c>
      <c r="AM247" s="6">
        <v>69940</v>
      </c>
      <c r="AN247" s="6">
        <v>69940</v>
      </c>
      <c r="AO247" s="6">
        <v>69940</v>
      </c>
      <c r="AP247" s="6">
        <v>69940</v>
      </c>
      <c r="AQ247" s="6">
        <v>69940</v>
      </c>
      <c r="AR247" s="6">
        <v>69940</v>
      </c>
      <c r="AS247" s="6">
        <v>69940</v>
      </c>
      <c r="AT247" s="6">
        <v>69940</v>
      </c>
      <c r="AU247" s="6">
        <v>69940</v>
      </c>
      <c r="AV247" s="6">
        <v>69940</v>
      </c>
      <c r="AW247" s="6">
        <v>69940</v>
      </c>
      <c r="AX247" s="50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76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1"/>
      <c r="CW247" s="51"/>
      <c r="CX247" s="51"/>
      <c r="CY247" s="51"/>
      <c r="CZ247" s="51"/>
      <c r="DA247" s="51"/>
      <c r="DB247" s="51"/>
      <c r="DC247" s="51"/>
      <c r="DD247" s="51"/>
      <c r="DE247" s="51"/>
      <c r="DF247" s="51"/>
      <c r="DG247" s="51"/>
      <c r="DH247" s="51"/>
      <c r="DI247" s="51"/>
      <c r="DJ247" s="51"/>
      <c r="DK247" s="51"/>
      <c r="DL247" s="51"/>
      <c r="DM247" s="51"/>
      <c r="DN247" s="51"/>
      <c r="DO247" s="51"/>
    </row>
    <row r="248" spans="1:119" hidden="1" x14ac:dyDescent="0.3">
      <c r="A248" t="s">
        <v>7</v>
      </c>
      <c r="B248" s="4" t="s">
        <v>432</v>
      </c>
      <c r="C248" s="4" t="s">
        <v>497</v>
      </c>
      <c r="D248" s="4" t="s">
        <v>517</v>
      </c>
      <c r="E248" s="4" t="s">
        <v>518</v>
      </c>
      <c r="F248" s="12">
        <v>16.739999999999998</v>
      </c>
      <c r="G248" s="34">
        <f t="shared" si="19"/>
        <v>0</v>
      </c>
      <c r="H248" s="28">
        <f t="shared" si="20"/>
        <v>0</v>
      </c>
      <c r="I248" s="28">
        <f t="shared" si="21"/>
        <v>0</v>
      </c>
      <c r="J248" s="26">
        <f t="shared" si="22"/>
        <v>0</v>
      </c>
      <c r="K248" s="24">
        <f t="shared" si="23"/>
        <v>0</v>
      </c>
      <c r="L248" s="31">
        <f t="shared" si="24"/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4"/>
      <c r="AY248" s="4"/>
      <c r="CI248" s="74" t="e">
        <v>#N/A</v>
      </c>
    </row>
    <row r="249" spans="1:119" hidden="1" x14ac:dyDescent="0.3">
      <c r="A249" t="s">
        <v>7</v>
      </c>
      <c r="B249" s="4" t="s">
        <v>432</v>
      </c>
      <c r="C249" s="4" t="s">
        <v>497</v>
      </c>
      <c r="D249" s="4" t="s">
        <v>519</v>
      </c>
      <c r="E249" s="4" t="s">
        <v>520</v>
      </c>
      <c r="F249" s="12">
        <v>16.809999999999999</v>
      </c>
      <c r="G249" s="34">
        <f t="shared" si="19"/>
        <v>286845.83999999997</v>
      </c>
      <c r="H249" s="28">
        <f t="shared" si="20"/>
        <v>17064</v>
      </c>
      <c r="I249" s="28">
        <f t="shared" si="21"/>
        <v>1422</v>
      </c>
      <c r="J249" s="26">
        <f t="shared" si="22"/>
        <v>84050</v>
      </c>
      <c r="K249" s="24">
        <f t="shared" si="23"/>
        <v>5000</v>
      </c>
      <c r="L249" s="31">
        <f t="shared" si="24"/>
        <v>1000</v>
      </c>
      <c r="M249" s="9">
        <v>972</v>
      </c>
      <c r="N249" s="9">
        <v>3708</v>
      </c>
      <c r="O249" s="9">
        <v>2124</v>
      </c>
      <c r="P249" s="9">
        <v>2232</v>
      </c>
      <c r="Q249" s="9">
        <v>1000</v>
      </c>
      <c r="R249" s="9">
        <v>1000</v>
      </c>
      <c r="S249" s="9">
        <v>1000</v>
      </c>
      <c r="T249" s="9">
        <v>1000</v>
      </c>
      <c r="U249" s="9">
        <v>1000</v>
      </c>
      <c r="V249" s="9">
        <v>1000</v>
      </c>
      <c r="W249" s="9">
        <v>1000</v>
      </c>
      <c r="X249" s="9">
        <v>1000</v>
      </c>
      <c r="Y249" s="9">
        <v>1000</v>
      </c>
      <c r="Z249" s="9">
        <v>1000</v>
      </c>
      <c r="AA249" s="9">
        <v>1000</v>
      </c>
      <c r="AB249" s="9">
        <v>1000</v>
      </c>
      <c r="AC249" s="9">
        <v>1000</v>
      </c>
      <c r="AD249" s="9">
        <v>1000</v>
      </c>
      <c r="AF249" s="6">
        <v>16339.319999999998</v>
      </c>
      <c r="AG249" s="6">
        <v>62331.479999999989</v>
      </c>
      <c r="AH249" s="6">
        <v>35704.44</v>
      </c>
      <c r="AI249" s="6">
        <v>37519.919999999998</v>
      </c>
      <c r="AJ249" s="6">
        <v>16810</v>
      </c>
      <c r="AK249" s="6">
        <v>16810</v>
      </c>
      <c r="AL249" s="6">
        <v>16810</v>
      </c>
      <c r="AM249" s="6">
        <v>16810</v>
      </c>
      <c r="AN249" s="6">
        <v>16810</v>
      </c>
      <c r="AO249" s="6">
        <v>16810</v>
      </c>
      <c r="AP249" s="6">
        <v>16810</v>
      </c>
      <c r="AQ249" s="6">
        <v>16810</v>
      </c>
      <c r="AR249" s="6">
        <v>16810</v>
      </c>
      <c r="AS249" s="6">
        <v>16810</v>
      </c>
      <c r="AT249" s="6">
        <v>16810</v>
      </c>
      <c r="AU249" s="6">
        <v>16810</v>
      </c>
      <c r="AV249" s="6">
        <v>16810</v>
      </c>
      <c r="AW249" s="6">
        <v>16810</v>
      </c>
      <c r="AX249" s="50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76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1"/>
      <c r="CW249" s="51"/>
      <c r="CX249" s="51"/>
      <c r="CY249" s="51"/>
      <c r="CZ249" s="51"/>
      <c r="DA249" s="51"/>
      <c r="DB249" s="51"/>
      <c r="DC249" s="51"/>
      <c r="DD249" s="51"/>
      <c r="DE249" s="51"/>
      <c r="DF249" s="51"/>
      <c r="DG249" s="51"/>
      <c r="DH249" s="51"/>
      <c r="DI249" s="51"/>
      <c r="DJ249" s="51"/>
      <c r="DK249" s="51"/>
      <c r="DL249" s="51"/>
      <c r="DM249" s="51"/>
      <c r="DN249" s="51"/>
      <c r="DO249" s="51"/>
    </row>
    <row r="250" spans="1:119" hidden="1" x14ac:dyDescent="0.3">
      <c r="A250" t="s">
        <v>7</v>
      </c>
      <c r="B250" s="4" t="s">
        <v>432</v>
      </c>
      <c r="C250" s="4" t="s">
        <v>497</v>
      </c>
      <c r="D250" s="4" t="s">
        <v>521</v>
      </c>
      <c r="E250" s="4" t="s">
        <v>522</v>
      </c>
      <c r="F250" s="12">
        <v>96.83</v>
      </c>
      <c r="G250" s="34">
        <f t="shared" si="19"/>
        <v>1787481.8</v>
      </c>
      <c r="H250" s="28">
        <f t="shared" si="20"/>
        <v>18460</v>
      </c>
      <c r="I250" s="28">
        <f t="shared" si="21"/>
        <v>1539</v>
      </c>
      <c r="J250" s="26">
        <f t="shared" si="22"/>
        <v>484150</v>
      </c>
      <c r="K250" s="24">
        <f t="shared" si="23"/>
        <v>5000</v>
      </c>
      <c r="L250" s="31">
        <f t="shared" si="24"/>
        <v>1000</v>
      </c>
      <c r="M250" s="9">
        <v>2772</v>
      </c>
      <c r="N250" s="9">
        <v>4680</v>
      </c>
      <c r="O250" s="9">
        <v>3780</v>
      </c>
      <c r="P250" s="9">
        <v>1000</v>
      </c>
      <c r="Q250" s="9">
        <v>1000</v>
      </c>
      <c r="R250" s="9">
        <v>1000</v>
      </c>
      <c r="S250" s="9">
        <v>1000</v>
      </c>
      <c r="T250" s="9">
        <v>1000</v>
      </c>
      <c r="U250" s="9">
        <v>1000</v>
      </c>
      <c r="V250" s="9">
        <v>1000</v>
      </c>
      <c r="W250" s="9">
        <v>1000</v>
      </c>
      <c r="X250" s="9">
        <v>1000</v>
      </c>
      <c r="Y250" s="9">
        <v>1000</v>
      </c>
      <c r="Z250" s="9">
        <v>1000</v>
      </c>
      <c r="AA250" s="9">
        <v>1000</v>
      </c>
      <c r="AB250" s="9">
        <v>1000</v>
      </c>
      <c r="AC250" s="9">
        <v>1000</v>
      </c>
      <c r="AD250" s="9">
        <v>1000</v>
      </c>
      <c r="AF250" s="6">
        <v>268412.76</v>
      </c>
      <c r="AG250" s="6">
        <v>453164.4</v>
      </c>
      <c r="AH250" s="6">
        <v>366017.4</v>
      </c>
      <c r="AI250" s="6">
        <v>96830</v>
      </c>
      <c r="AJ250" s="6">
        <v>96830</v>
      </c>
      <c r="AK250" s="6">
        <v>96830</v>
      </c>
      <c r="AL250" s="6">
        <v>96830</v>
      </c>
      <c r="AM250" s="6">
        <v>96830</v>
      </c>
      <c r="AN250" s="6">
        <v>96830</v>
      </c>
      <c r="AO250" s="6">
        <v>96830</v>
      </c>
      <c r="AP250" s="6">
        <v>96830</v>
      </c>
      <c r="AQ250" s="6">
        <v>96830</v>
      </c>
      <c r="AR250" s="6">
        <v>96830</v>
      </c>
      <c r="AS250" s="6">
        <v>96830</v>
      </c>
      <c r="AT250" s="6">
        <v>96830</v>
      </c>
      <c r="AU250" s="6">
        <v>96830</v>
      </c>
      <c r="AV250" s="6">
        <v>96830</v>
      </c>
      <c r="AW250" s="6">
        <v>96830</v>
      </c>
      <c r="AX250" s="50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76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51"/>
      <c r="CW250" s="51"/>
      <c r="CX250" s="51"/>
      <c r="CY250" s="51"/>
      <c r="CZ250" s="51"/>
      <c r="DA250" s="51"/>
      <c r="DB250" s="51"/>
      <c r="DC250" s="51"/>
      <c r="DD250" s="51"/>
      <c r="DE250" s="51"/>
      <c r="DF250" s="51"/>
      <c r="DG250" s="51"/>
      <c r="DH250" s="51"/>
      <c r="DI250" s="51"/>
      <c r="DJ250" s="51"/>
      <c r="DK250" s="51"/>
      <c r="DL250" s="51"/>
      <c r="DM250" s="51"/>
      <c r="DN250" s="51"/>
      <c r="DO250" s="51"/>
    </row>
    <row r="251" spans="1:119" hidden="1" x14ac:dyDescent="0.3">
      <c r="A251" t="s">
        <v>7</v>
      </c>
      <c r="B251" s="4" t="s">
        <v>432</v>
      </c>
      <c r="C251" s="4" t="s">
        <v>497</v>
      </c>
      <c r="D251" s="4" t="s">
        <v>523</v>
      </c>
      <c r="E251" s="4" t="s">
        <v>524</v>
      </c>
      <c r="F251" s="12">
        <v>0.89</v>
      </c>
      <c r="G251" s="34">
        <f t="shared" si="19"/>
        <v>0</v>
      </c>
      <c r="H251" s="28">
        <f t="shared" si="20"/>
        <v>0</v>
      </c>
      <c r="I251" s="28">
        <f t="shared" si="21"/>
        <v>0</v>
      </c>
      <c r="J251" s="26">
        <f t="shared" si="22"/>
        <v>0</v>
      </c>
      <c r="K251" s="24">
        <f t="shared" si="23"/>
        <v>0</v>
      </c>
      <c r="L251" s="31">
        <f t="shared" si="24"/>
        <v>0</v>
      </c>
      <c r="M251" s="9">
        <v>2000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F251" s="6">
        <v>1780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4"/>
      <c r="AY251" s="4"/>
      <c r="CI251" s="74" t="e">
        <v>#N/A</v>
      </c>
    </row>
    <row r="252" spans="1:119" hidden="1" x14ac:dyDescent="0.3">
      <c r="A252" t="s">
        <v>7</v>
      </c>
      <c r="B252" s="4" t="s">
        <v>432</v>
      </c>
      <c r="C252" s="4" t="s">
        <v>497</v>
      </c>
      <c r="D252" s="4" t="s">
        <v>525</v>
      </c>
      <c r="E252" s="4" t="s">
        <v>526</v>
      </c>
      <c r="F252" s="12">
        <v>0.89</v>
      </c>
      <c r="G252" s="34">
        <f t="shared" si="19"/>
        <v>0</v>
      </c>
      <c r="H252" s="28">
        <f t="shared" si="20"/>
        <v>0</v>
      </c>
      <c r="I252" s="28">
        <f t="shared" si="21"/>
        <v>0</v>
      </c>
      <c r="J252" s="26">
        <f t="shared" si="22"/>
        <v>0</v>
      </c>
      <c r="K252" s="24">
        <f t="shared" si="23"/>
        <v>0</v>
      </c>
      <c r="L252" s="31">
        <f t="shared" si="24"/>
        <v>0</v>
      </c>
      <c r="M252" s="9">
        <v>2400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F252" s="6">
        <v>2136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4"/>
      <c r="AY252" s="4"/>
      <c r="CI252" s="74" t="e">
        <v>#N/A</v>
      </c>
    </row>
    <row r="253" spans="1:119" hidden="1" x14ac:dyDescent="0.3">
      <c r="A253" t="s">
        <v>7</v>
      </c>
      <c r="B253" s="4" t="s">
        <v>432</v>
      </c>
      <c r="C253" s="4" t="s">
        <v>497</v>
      </c>
      <c r="D253" s="4" t="s">
        <v>527</v>
      </c>
      <c r="E253" s="4" t="s">
        <v>528</v>
      </c>
      <c r="F253" s="12">
        <v>13.25</v>
      </c>
      <c r="G253" s="34">
        <f t="shared" si="19"/>
        <v>0</v>
      </c>
      <c r="H253" s="28">
        <f t="shared" si="20"/>
        <v>0</v>
      </c>
      <c r="I253" s="28">
        <f t="shared" si="21"/>
        <v>0</v>
      </c>
      <c r="J253" s="26">
        <f t="shared" si="22"/>
        <v>0</v>
      </c>
      <c r="K253" s="24">
        <f t="shared" si="23"/>
        <v>0</v>
      </c>
      <c r="L253" s="31">
        <f t="shared" si="24"/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4"/>
      <c r="AY253" s="4"/>
      <c r="CI253" s="74" t="e">
        <v>#N/A</v>
      </c>
    </row>
    <row r="254" spans="1:119" hidden="1" x14ac:dyDescent="0.3">
      <c r="A254" t="s">
        <v>7</v>
      </c>
      <c r="B254" s="4" t="s">
        <v>432</v>
      </c>
      <c r="C254" s="4" t="s">
        <v>497</v>
      </c>
      <c r="D254" s="4" t="s">
        <v>529</v>
      </c>
      <c r="E254" s="4" t="s">
        <v>530</v>
      </c>
      <c r="F254" s="12">
        <v>13.25</v>
      </c>
      <c r="G254" s="34">
        <f t="shared" si="19"/>
        <v>282278</v>
      </c>
      <c r="H254" s="28">
        <f t="shared" si="20"/>
        <v>21304</v>
      </c>
      <c r="I254" s="28">
        <f t="shared" si="21"/>
        <v>1776</v>
      </c>
      <c r="J254" s="26">
        <f t="shared" si="22"/>
        <v>99375</v>
      </c>
      <c r="K254" s="24">
        <f t="shared" si="23"/>
        <v>7500</v>
      </c>
      <c r="L254" s="31">
        <f t="shared" si="24"/>
        <v>1500</v>
      </c>
      <c r="M254" s="9">
        <v>9600</v>
      </c>
      <c r="N254" s="9">
        <v>6304</v>
      </c>
      <c r="O254" s="9">
        <v>0</v>
      </c>
      <c r="P254" s="9">
        <v>1500</v>
      </c>
      <c r="Q254" s="9">
        <v>1500</v>
      </c>
      <c r="R254" s="9">
        <v>1500</v>
      </c>
      <c r="S254" s="9">
        <v>1500</v>
      </c>
      <c r="T254" s="9">
        <v>1500</v>
      </c>
      <c r="U254" s="9">
        <v>1500</v>
      </c>
      <c r="V254" s="9">
        <v>1500</v>
      </c>
      <c r="W254" s="9">
        <v>1500</v>
      </c>
      <c r="X254" s="9">
        <v>1500</v>
      </c>
      <c r="Y254" s="9">
        <v>1500</v>
      </c>
      <c r="Z254" s="9">
        <v>1500</v>
      </c>
      <c r="AA254" s="9">
        <v>1500</v>
      </c>
      <c r="AB254" s="9">
        <v>1500</v>
      </c>
      <c r="AC254" s="9">
        <v>1500</v>
      </c>
      <c r="AD254" s="9">
        <v>1500</v>
      </c>
      <c r="AF254" s="6">
        <v>127200</v>
      </c>
      <c r="AG254" s="6">
        <v>83528</v>
      </c>
      <c r="AH254" s="6">
        <v>0</v>
      </c>
      <c r="AI254" s="6">
        <v>19875</v>
      </c>
      <c r="AJ254" s="6">
        <v>19875</v>
      </c>
      <c r="AK254" s="6">
        <v>19875</v>
      </c>
      <c r="AL254" s="6">
        <v>19875</v>
      </c>
      <c r="AM254" s="6">
        <v>19875</v>
      </c>
      <c r="AN254" s="6">
        <v>19875</v>
      </c>
      <c r="AO254" s="6">
        <v>19875</v>
      </c>
      <c r="AP254" s="6">
        <v>19875</v>
      </c>
      <c r="AQ254" s="6">
        <v>19875</v>
      </c>
      <c r="AR254" s="6">
        <v>19875</v>
      </c>
      <c r="AS254" s="6">
        <v>19875</v>
      </c>
      <c r="AT254" s="6">
        <v>19875</v>
      </c>
      <c r="AU254" s="6">
        <v>19875</v>
      </c>
      <c r="AV254" s="6">
        <v>19875</v>
      </c>
      <c r="AW254" s="6">
        <v>19875</v>
      </c>
      <c r="AX254" s="50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76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1"/>
      <c r="CW254" s="51"/>
      <c r="CX254" s="51"/>
      <c r="CY254" s="51"/>
      <c r="CZ254" s="51"/>
      <c r="DA254" s="51"/>
      <c r="DB254" s="51"/>
      <c r="DC254" s="51"/>
      <c r="DD254" s="51"/>
      <c r="DE254" s="51"/>
      <c r="DF254" s="51"/>
      <c r="DG254" s="51"/>
      <c r="DH254" s="51"/>
      <c r="DI254" s="51"/>
      <c r="DJ254" s="51"/>
      <c r="DK254" s="51"/>
      <c r="DL254" s="51"/>
      <c r="DM254" s="51"/>
      <c r="DN254" s="51"/>
      <c r="DO254" s="51"/>
    </row>
    <row r="255" spans="1:119" hidden="1" x14ac:dyDescent="0.3">
      <c r="A255" t="s">
        <v>7</v>
      </c>
      <c r="B255" s="4" t="s">
        <v>432</v>
      </c>
      <c r="C255" s="4" t="s">
        <v>531</v>
      </c>
      <c r="D255" s="4" t="s">
        <v>532</v>
      </c>
      <c r="E255" s="4" t="s">
        <v>533</v>
      </c>
      <c r="F255" s="12">
        <v>138.25</v>
      </c>
      <c r="G255" s="34">
        <f t="shared" si="19"/>
        <v>0</v>
      </c>
      <c r="H255" s="28">
        <f t="shared" si="20"/>
        <v>0</v>
      </c>
      <c r="I255" s="28">
        <f t="shared" si="21"/>
        <v>0</v>
      </c>
      <c r="J255" s="26">
        <f t="shared" si="22"/>
        <v>0</v>
      </c>
      <c r="K255" s="24">
        <f t="shared" si="23"/>
        <v>0</v>
      </c>
      <c r="L255" s="31">
        <f t="shared" si="24"/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4"/>
      <c r="AY255" s="4"/>
      <c r="CI255" s="74" t="e">
        <v>#N/A</v>
      </c>
    </row>
    <row r="256" spans="1:119" hidden="1" x14ac:dyDescent="0.3">
      <c r="A256" t="s">
        <v>7</v>
      </c>
      <c r="B256" s="4" t="s">
        <v>432</v>
      </c>
      <c r="C256" s="4" t="s">
        <v>531</v>
      </c>
      <c r="D256" s="4" t="s">
        <v>534</v>
      </c>
      <c r="E256" s="4" t="s">
        <v>535</v>
      </c>
      <c r="F256" s="12">
        <v>1.23</v>
      </c>
      <c r="G256" s="34">
        <f t="shared" si="19"/>
        <v>8805.57</v>
      </c>
      <c r="H256" s="28">
        <f t="shared" si="20"/>
        <v>7159</v>
      </c>
      <c r="I256" s="28">
        <f t="shared" si="21"/>
        <v>597</v>
      </c>
      <c r="J256" s="26">
        <f t="shared" si="22"/>
        <v>3328.38</v>
      </c>
      <c r="K256" s="24">
        <f t="shared" si="23"/>
        <v>2706</v>
      </c>
      <c r="L256" s="31">
        <f t="shared" si="24"/>
        <v>542</v>
      </c>
      <c r="M256" s="9">
        <v>0</v>
      </c>
      <c r="N256" s="9">
        <v>0</v>
      </c>
      <c r="O256" s="9">
        <v>0</v>
      </c>
      <c r="P256" s="9">
        <v>932</v>
      </c>
      <c r="Q256" s="9">
        <v>932</v>
      </c>
      <c r="R256" s="9">
        <v>1165</v>
      </c>
      <c r="S256" s="9">
        <v>932</v>
      </c>
      <c r="T256" s="9">
        <v>615</v>
      </c>
      <c r="U256" s="9">
        <v>492</v>
      </c>
      <c r="V256" s="9">
        <v>492</v>
      </c>
      <c r="W256" s="9">
        <v>615</v>
      </c>
      <c r="X256" s="9">
        <v>492</v>
      </c>
      <c r="Y256" s="9">
        <v>492</v>
      </c>
      <c r="Z256" s="9">
        <v>615</v>
      </c>
      <c r="AA256" s="9">
        <v>492</v>
      </c>
      <c r="AB256" s="9">
        <v>492</v>
      </c>
      <c r="AC256" s="9">
        <v>615</v>
      </c>
      <c r="AD256" s="9">
        <v>492</v>
      </c>
      <c r="AF256" s="6">
        <v>0</v>
      </c>
      <c r="AG256" s="6">
        <v>0</v>
      </c>
      <c r="AH256" s="6">
        <v>0</v>
      </c>
      <c r="AI256" s="6">
        <v>1146.3599999999999</v>
      </c>
      <c r="AJ256" s="6">
        <v>1146.3599999999999</v>
      </c>
      <c r="AK256" s="6">
        <v>1432.95</v>
      </c>
      <c r="AL256" s="6">
        <v>1146.3599999999999</v>
      </c>
      <c r="AM256" s="6">
        <v>756.45</v>
      </c>
      <c r="AN256" s="6">
        <v>605.16</v>
      </c>
      <c r="AO256" s="6">
        <v>605.16</v>
      </c>
      <c r="AP256" s="6">
        <v>756.45</v>
      </c>
      <c r="AQ256" s="6">
        <v>605.16</v>
      </c>
      <c r="AR256" s="6">
        <v>605.16</v>
      </c>
      <c r="AS256" s="6">
        <v>756.45</v>
      </c>
      <c r="AT256" s="6">
        <v>605.16</v>
      </c>
      <c r="AU256" s="6">
        <v>605.16</v>
      </c>
      <c r="AV256" s="6">
        <v>756.45</v>
      </c>
      <c r="AW256" s="6">
        <v>605.16</v>
      </c>
      <c r="AX256" s="50"/>
      <c r="AY256" s="52"/>
      <c r="AZ256" s="52"/>
      <c r="BA256" s="52"/>
      <c r="BB256" s="52"/>
      <c r="BC256" s="52"/>
      <c r="BD256" s="52"/>
      <c r="BE256" s="52"/>
      <c r="BF256" s="52"/>
      <c r="BG256" s="52"/>
      <c r="BH256" s="52"/>
      <c r="BI256" s="52"/>
      <c r="BJ256" s="52"/>
      <c r="BK256" s="52"/>
      <c r="BL256" s="52"/>
      <c r="BM256" s="52"/>
      <c r="BN256" s="52"/>
      <c r="BO256" s="52"/>
      <c r="BP256" s="52"/>
      <c r="BQ256" s="52"/>
      <c r="BR256" s="52"/>
      <c r="BS256" s="52"/>
      <c r="BT256" s="52"/>
      <c r="BU256" s="52"/>
      <c r="BV256" s="52"/>
      <c r="BW256" s="52"/>
      <c r="BX256" s="52"/>
      <c r="BY256" s="52"/>
      <c r="BZ256" s="52"/>
      <c r="CA256" s="52"/>
      <c r="CB256" s="52"/>
      <c r="CC256" s="52"/>
      <c r="CD256" s="52"/>
      <c r="CE256" s="52"/>
      <c r="CF256" s="52"/>
      <c r="CG256" s="52"/>
      <c r="CH256" s="52"/>
      <c r="CI256" s="76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2"/>
      <c r="CV256" s="51"/>
      <c r="CW256" s="51"/>
      <c r="CX256" s="51"/>
      <c r="CY256" s="51"/>
      <c r="CZ256" s="51"/>
      <c r="DA256" s="51"/>
      <c r="DB256" s="51"/>
      <c r="DC256" s="51"/>
      <c r="DD256" s="51"/>
      <c r="DE256" s="51"/>
      <c r="DF256" s="51"/>
      <c r="DG256" s="51"/>
      <c r="DH256" s="51"/>
      <c r="DI256" s="51"/>
      <c r="DJ256" s="51"/>
      <c r="DK256" s="51"/>
      <c r="DL256" s="51"/>
      <c r="DM256" s="51"/>
      <c r="DN256" s="51"/>
      <c r="DO256" s="51"/>
    </row>
    <row r="257" spans="1:119" hidden="1" x14ac:dyDescent="0.3">
      <c r="A257" t="s">
        <v>7</v>
      </c>
      <c r="B257" s="4" t="s">
        <v>432</v>
      </c>
      <c r="C257" s="4" t="s">
        <v>531</v>
      </c>
      <c r="D257" s="4" t="s">
        <v>536</v>
      </c>
      <c r="E257" s="4" t="s">
        <v>537</v>
      </c>
      <c r="F257" s="12">
        <v>59</v>
      </c>
      <c r="G257" s="34">
        <f t="shared" si="19"/>
        <v>0</v>
      </c>
      <c r="H257" s="28">
        <f t="shared" si="20"/>
        <v>0</v>
      </c>
      <c r="I257" s="28">
        <f t="shared" si="21"/>
        <v>0</v>
      </c>
      <c r="J257" s="26">
        <f t="shared" si="22"/>
        <v>0</v>
      </c>
      <c r="K257" s="24">
        <f t="shared" si="23"/>
        <v>0</v>
      </c>
      <c r="L257" s="31">
        <f t="shared" si="24"/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4"/>
      <c r="AY257" s="4"/>
      <c r="CI257" s="74" t="e">
        <v>#N/A</v>
      </c>
    </row>
    <row r="258" spans="1:119" hidden="1" x14ac:dyDescent="0.3">
      <c r="A258" t="s">
        <v>7</v>
      </c>
      <c r="B258" s="4" t="s">
        <v>432</v>
      </c>
      <c r="C258" s="4" t="s">
        <v>531</v>
      </c>
      <c r="D258" s="4" t="s">
        <v>538</v>
      </c>
      <c r="E258" s="4" t="s">
        <v>539</v>
      </c>
      <c r="F258" s="12">
        <v>311.38</v>
      </c>
      <c r="G258" s="34">
        <f t="shared" si="19"/>
        <v>0</v>
      </c>
      <c r="H258" s="28">
        <f t="shared" si="20"/>
        <v>0</v>
      </c>
      <c r="I258" s="28">
        <f t="shared" si="21"/>
        <v>0</v>
      </c>
      <c r="J258" s="26">
        <f t="shared" si="22"/>
        <v>0</v>
      </c>
      <c r="K258" s="24">
        <f t="shared" si="23"/>
        <v>0</v>
      </c>
      <c r="L258" s="31">
        <f t="shared" si="24"/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4"/>
      <c r="AY258" s="4"/>
      <c r="CI258" s="74" t="e">
        <v>#N/A</v>
      </c>
    </row>
    <row r="259" spans="1:119" hidden="1" x14ac:dyDescent="0.3">
      <c r="A259" t="s">
        <v>7</v>
      </c>
      <c r="B259" s="4" t="s">
        <v>432</v>
      </c>
      <c r="C259" s="4" t="s">
        <v>531</v>
      </c>
      <c r="D259" s="4" t="s">
        <v>540</v>
      </c>
      <c r="E259" s="4" t="s">
        <v>541</v>
      </c>
      <c r="F259" s="12">
        <v>60.92</v>
      </c>
      <c r="G259" s="34">
        <f t="shared" si="19"/>
        <v>0</v>
      </c>
      <c r="H259" s="28">
        <f t="shared" si="20"/>
        <v>0</v>
      </c>
      <c r="I259" s="28">
        <f t="shared" si="21"/>
        <v>0</v>
      </c>
      <c r="J259" s="26">
        <f t="shared" si="22"/>
        <v>0</v>
      </c>
      <c r="K259" s="24">
        <f t="shared" si="23"/>
        <v>0</v>
      </c>
      <c r="L259" s="31">
        <f t="shared" si="24"/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4"/>
      <c r="AY259" s="4"/>
      <c r="CI259" s="74" t="e">
        <v>#N/A</v>
      </c>
    </row>
    <row r="260" spans="1:119" hidden="1" x14ac:dyDescent="0.3">
      <c r="A260" t="s">
        <v>7</v>
      </c>
      <c r="B260" s="4" t="s">
        <v>432</v>
      </c>
      <c r="C260" s="4" t="s">
        <v>542</v>
      </c>
      <c r="D260" s="4" t="s">
        <v>543</v>
      </c>
      <c r="E260" s="4" t="s">
        <v>544</v>
      </c>
      <c r="F260" s="12">
        <v>2.17</v>
      </c>
      <c r="G260" s="34">
        <f t="shared" si="19"/>
        <v>715444.66</v>
      </c>
      <c r="H260" s="28">
        <f t="shared" si="20"/>
        <v>329698</v>
      </c>
      <c r="I260" s="28">
        <f t="shared" si="21"/>
        <v>27475</v>
      </c>
      <c r="J260" s="26">
        <f t="shared" si="22"/>
        <v>0</v>
      </c>
      <c r="K260" s="24">
        <f t="shared" si="23"/>
        <v>0</v>
      </c>
      <c r="L260" s="31">
        <f t="shared" si="24"/>
        <v>0</v>
      </c>
      <c r="M260" s="9">
        <v>42350</v>
      </c>
      <c r="N260" s="9">
        <v>73150</v>
      </c>
      <c r="O260" s="9">
        <v>61600</v>
      </c>
      <c r="P260" s="9">
        <v>72000</v>
      </c>
      <c r="Q260" s="9">
        <v>55748</v>
      </c>
      <c r="R260" s="9">
        <v>33600</v>
      </c>
      <c r="S260" s="9">
        <v>19200</v>
      </c>
      <c r="T260" s="9">
        <v>14400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F260" s="6">
        <v>91899.5</v>
      </c>
      <c r="AG260" s="6">
        <v>158735.5</v>
      </c>
      <c r="AH260" s="6">
        <v>133672</v>
      </c>
      <c r="AI260" s="6">
        <v>156240</v>
      </c>
      <c r="AJ260" s="6">
        <v>120973.15999999999</v>
      </c>
      <c r="AK260" s="6">
        <v>72912</v>
      </c>
      <c r="AL260" s="6">
        <v>41664</v>
      </c>
      <c r="AM260" s="6">
        <v>31248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50"/>
      <c r="AY260" s="52"/>
      <c r="AZ260" s="52"/>
      <c r="BA260" s="52"/>
      <c r="BB260" s="52"/>
      <c r="BC260" s="52"/>
      <c r="BD260" s="52"/>
      <c r="BE260" s="52"/>
      <c r="BF260" s="52"/>
      <c r="BG260" s="52"/>
      <c r="BH260" s="52"/>
      <c r="BI260" s="52"/>
      <c r="BJ260" s="52"/>
      <c r="BK260" s="52"/>
      <c r="BL260" s="52"/>
      <c r="BM260" s="52"/>
      <c r="BN260" s="52"/>
      <c r="BO260" s="52"/>
      <c r="BP260" s="52"/>
      <c r="BQ260" s="52"/>
      <c r="BR260" s="52"/>
      <c r="BS260" s="52"/>
      <c r="BT260" s="52"/>
      <c r="BU260" s="52"/>
      <c r="BV260" s="52"/>
      <c r="BW260" s="52"/>
      <c r="BX260" s="52"/>
      <c r="BY260" s="52"/>
      <c r="BZ260" s="52"/>
      <c r="CA260" s="52"/>
      <c r="CB260" s="52"/>
      <c r="CC260" s="52"/>
      <c r="CD260" s="52"/>
      <c r="CE260" s="52"/>
      <c r="CF260" s="52"/>
      <c r="CG260" s="52"/>
      <c r="CH260" s="52"/>
      <c r="CI260" s="76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1"/>
      <c r="CW260" s="51"/>
      <c r="CX260" s="51"/>
      <c r="CY260" s="51"/>
      <c r="CZ260" s="51"/>
      <c r="DA260" s="51"/>
      <c r="DB260" s="51"/>
      <c r="DC260" s="51"/>
      <c r="DD260" s="51"/>
      <c r="DE260" s="51"/>
      <c r="DF260" s="51"/>
      <c r="DG260" s="51"/>
      <c r="DH260" s="51"/>
      <c r="DI260" s="51"/>
      <c r="DJ260" s="51"/>
      <c r="DK260" s="51"/>
      <c r="DL260" s="51"/>
      <c r="DM260" s="51"/>
      <c r="DN260" s="51"/>
      <c r="DO260" s="51"/>
    </row>
    <row r="261" spans="1:119" hidden="1" x14ac:dyDescent="0.3">
      <c r="A261" t="s">
        <v>7</v>
      </c>
      <c r="B261" s="4" t="s">
        <v>432</v>
      </c>
      <c r="C261" s="4" t="s">
        <v>545</v>
      </c>
      <c r="D261" s="4" t="s">
        <v>546</v>
      </c>
      <c r="E261" s="4" t="s">
        <v>547</v>
      </c>
      <c r="F261" s="12">
        <v>347.43</v>
      </c>
      <c r="G261" s="34">
        <f t="shared" si="19"/>
        <v>0</v>
      </c>
      <c r="H261" s="28">
        <f t="shared" si="20"/>
        <v>0</v>
      </c>
      <c r="I261" s="28">
        <f t="shared" si="21"/>
        <v>0</v>
      </c>
      <c r="J261" s="26">
        <f t="shared" si="22"/>
        <v>0</v>
      </c>
      <c r="K261" s="24">
        <f t="shared" si="23"/>
        <v>0</v>
      </c>
      <c r="L261" s="31">
        <f t="shared" si="24"/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4"/>
      <c r="AY261" s="4"/>
      <c r="CI261" s="74" t="e">
        <v>#N/A</v>
      </c>
    </row>
    <row r="262" spans="1:119" hidden="1" x14ac:dyDescent="0.3">
      <c r="A262" t="s">
        <v>7</v>
      </c>
      <c r="B262" s="4" t="s">
        <v>432</v>
      </c>
      <c r="C262" s="4" t="s">
        <v>545</v>
      </c>
      <c r="D262" s="4" t="s">
        <v>548</v>
      </c>
      <c r="E262" s="4" t="s">
        <v>549</v>
      </c>
      <c r="F262" s="12">
        <v>298.49</v>
      </c>
      <c r="G262" s="34">
        <f t="shared" si="19"/>
        <v>409528.28</v>
      </c>
      <c r="H262" s="28">
        <f t="shared" si="20"/>
        <v>1372</v>
      </c>
      <c r="I262" s="28">
        <f t="shared" si="21"/>
        <v>115</v>
      </c>
      <c r="J262" s="26">
        <f t="shared" si="22"/>
        <v>0</v>
      </c>
      <c r="K262" s="24">
        <f t="shared" si="23"/>
        <v>0</v>
      </c>
      <c r="L262" s="31">
        <f t="shared" si="24"/>
        <v>0</v>
      </c>
      <c r="M262" s="9">
        <v>0</v>
      </c>
      <c r="N262" s="9">
        <v>0</v>
      </c>
      <c r="O262" s="9">
        <v>324</v>
      </c>
      <c r="P262" s="9">
        <v>324</v>
      </c>
      <c r="Q262" s="9">
        <v>324</v>
      </c>
      <c r="R262" s="9">
        <v>0</v>
      </c>
      <c r="S262" s="9">
        <v>0</v>
      </c>
      <c r="T262" s="9">
        <v>0</v>
      </c>
      <c r="U262" s="9">
        <v>200</v>
      </c>
      <c r="V262" s="9">
        <v>200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F262" s="6">
        <v>0</v>
      </c>
      <c r="AG262" s="6">
        <v>0</v>
      </c>
      <c r="AH262" s="6">
        <v>96710.760000000009</v>
      </c>
      <c r="AI262" s="6">
        <v>96710.760000000009</v>
      </c>
      <c r="AJ262" s="6">
        <v>96710.760000000009</v>
      </c>
      <c r="AK262" s="6">
        <v>0</v>
      </c>
      <c r="AL262" s="6">
        <v>0</v>
      </c>
      <c r="AM262" s="6">
        <v>0</v>
      </c>
      <c r="AN262" s="6">
        <v>59698</v>
      </c>
      <c r="AO262" s="6">
        <v>59698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50"/>
      <c r="AY262" s="52"/>
      <c r="AZ262" s="52"/>
      <c r="BA262" s="52"/>
      <c r="BB262" s="52"/>
      <c r="BC262" s="52"/>
      <c r="BD262" s="52"/>
      <c r="BE262" s="52"/>
      <c r="BF262" s="52"/>
      <c r="BG262" s="52"/>
      <c r="BH262" s="52"/>
      <c r="BI262" s="52"/>
      <c r="BJ262" s="52"/>
      <c r="BK262" s="52"/>
      <c r="BL262" s="52"/>
      <c r="BM262" s="52"/>
      <c r="BN262" s="52"/>
      <c r="BO262" s="52"/>
      <c r="BP262" s="52"/>
      <c r="BQ262" s="52"/>
      <c r="BR262" s="52"/>
      <c r="BS262" s="52"/>
      <c r="BT262" s="52"/>
      <c r="BU262" s="52"/>
      <c r="BV262" s="52"/>
      <c r="BW262" s="52"/>
      <c r="BX262" s="52"/>
      <c r="BY262" s="52"/>
      <c r="BZ262" s="52"/>
      <c r="CA262" s="52"/>
      <c r="CB262" s="52"/>
      <c r="CC262" s="52"/>
      <c r="CD262" s="52"/>
      <c r="CE262" s="52"/>
      <c r="CF262" s="52"/>
      <c r="CG262" s="52"/>
      <c r="CH262" s="52"/>
      <c r="CI262" s="76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1"/>
      <c r="CW262" s="51"/>
      <c r="CX262" s="51"/>
      <c r="CY262" s="51"/>
      <c r="CZ262" s="51"/>
      <c r="DA262" s="51"/>
      <c r="DB262" s="51"/>
      <c r="DC262" s="51"/>
      <c r="DD262" s="51"/>
      <c r="DE262" s="51"/>
      <c r="DF262" s="51"/>
      <c r="DG262" s="51"/>
      <c r="DH262" s="51"/>
      <c r="DI262" s="51"/>
      <c r="DJ262" s="51"/>
      <c r="DK262" s="51"/>
      <c r="DL262" s="51"/>
      <c r="DM262" s="51"/>
      <c r="DN262" s="51"/>
      <c r="DO262" s="51"/>
    </row>
    <row r="263" spans="1:119" hidden="1" x14ac:dyDescent="0.3">
      <c r="A263" t="s">
        <v>7</v>
      </c>
      <c r="B263" s="4" t="s">
        <v>432</v>
      </c>
      <c r="C263" s="4" t="s">
        <v>545</v>
      </c>
      <c r="D263" s="4" t="s">
        <v>550</v>
      </c>
      <c r="E263" s="4" t="s">
        <v>549</v>
      </c>
      <c r="F263" s="12">
        <v>298.87</v>
      </c>
      <c r="G263" s="34">
        <f t="shared" ref="G263:G296" si="25">F263*H263</f>
        <v>0</v>
      </c>
      <c r="H263" s="28">
        <f t="shared" ref="H263:H296" si="26">SUM(N263:Y263)</f>
        <v>0</v>
      </c>
      <c r="I263" s="28">
        <f t="shared" ref="I263:I296" si="27">ROUNDUP(H263/12,0)</f>
        <v>0</v>
      </c>
      <c r="J263" s="26">
        <f t="shared" ref="J263:J296" si="28">K263*F263</f>
        <v>0</v>
      </c>
      <c r="K263" s="24">
        <f t="shared" ref="K263:K296" si="29">SUM(Z263:AD263)</f>
        <v>0</v>
      </c>
      <c r="L263" s="31">
        <f t="shared" ref="L263:L296" si="30">ROUNDUP(K263/5,0)</f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4"/>
      <c r="AY263" s="4"/>
      <c r="CI263" s="74" t="e">
        <v>#N/A</v>
      </c>
    </row>
    <row r="264" spans="1:119" hidden="1" x14ac:dyDescent="0.3">
      <c r="A264" t="s">
        <v>7</v>
      </c>
      <c r="B264" s="4" t="s">
        <v>432</v>
      </c>
      <c r="C264" s="4" t="s">
        <v>545</v>
      </c>
      <c r="D264" s="4" t="s">
        <v>551</v>
      </c>
      <c r="E264" s="4" t="s">
        <v>552</v>
      </c>
      <c r="F264" s="12">
        <v>158.24</v>
      </c>
      <c r="G264" s="34">
        <f t="shared" si="25"/>
        <v>165835.52000000002</v>
      </c>
      <c r="H264" s="28">
        <f t="shared" si="26"/>
        <v>1048</v>
      </c>
      <c r="I264" s="28">
        <f t="shared" si="27"/>
        <v>88</v>
      </c>
      <c r="J264" s="26">
        <f t="shared" si="28"/>
        <v>0</v>
      </c>
      <c r="K264" s="24">
        <f t="shared" si="29"/>
        <v>0</v>
      </c>
      <c r="L264" s="31">
        <f t="shared" si="30"/>
        <v>0</v>
      </c>
      <c r="M264" s="9">
        <v>612</v>
      </c>
      <c r="N264" s="9">
        <v>0</v>
      </c>
      <c r="O264" s="9">
        <v>0</v>
      </c>
      <c r="P264" s="9">
        <v>407</v>
      </c>
      <c r="Q264" s="9">
        <v>249</v>
      </c>
      <c r="R264" s="9">
        <v>245</v>
      </c>
      <c r="S264" s="9">
        <v>147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F264" s="6">
        <v>96842.880000000005</v>
      </c>
      <c r="AG264" s="6">
        <v>0</v>
      </c>
      <c r="AH264" s="6">
        <v>0</v>
      </c>
      <c r="AI264" s="6">
        <v>64403.68</v>
      </c>
      <c r="AJ264" s="6">
        <v>39401.760000000002</v>
      </c>
      <c r="AK264" s="6">
        <v>38768.800000000003</v>
      </c>
      <c r="AL264" s="6">
        <v>23261.280000000002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50"/>
      <c r="AY264" s="52"/>
      <c r="AZ264" s="52"/>
      <c r="BA264" s="52"/>
      <c r="BB264" s="52"/>
      <c r="BC264" s="52"/>
      <c r="BD264" s="52"/>
      <c r="BE264" s="52"/>
      <c r="BF264" s="52"/>
      <c r="BG264" s="52"/>
      <c r="BH264" s="52"/>
      <c r="BI264" s="52"/>
      <c r="BJ264" s="52"/>
      <c r="BK264" s="52"/>
      <c r="BL264" s="52"/>
      <c r="BM264" s="52"/>
      <c r="BN264" s="52"/>
      <c r="BO264" s="52"/>
      <c r="BP264" s="52"/>
      <c r="BQ264" s="52"/>
      <c r="BR264" s="52"/>
      <c r="BS264" s="52"/>
      <c r="BT264" s="52"/>
      <c r="BU264" s="52"/>
      <c r="BV264" s="52"/>
      <c r="BW264" s="52"/>
      <c r="BX264" s="52"/>
      <c r="BY264" s="52"/>
      <c r="BZ264" s="52"/>
      <c r="CA264" s="52"/>
      <c r="CB264" s="52"/>
      <c r="CC264" s="52"/>
      <c r="CD264" s="52"/>
      <c r="CE264" s="52"/>
      <c r="CF264" s="52"/>
      <c r="CG264" s="52"/>
      <c r="CH264" s="52"/>
      <c r="CI264" s="76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51"/>
      <c r="CW264" s="51"/>
      <c r="CX264" s="51"/>
      <c r="CY264" s="51"/>
      <c r="CZ264" s="51"/>
      <c r="DA264" s="51"/>
      <c r="DB264" s="51"/>
      <c r="DC264" s="51"/>
      <c r="DD264" s="51"/>
      <c r="DE264" s="51"/>
      <c r="DF264" s="51"/>
      <c r="DG264" s="51"/>
      <c r="DH264" s="51"/>
      <c r="DI264" s="51"/>
      <c r="DJ264" s="51"/>
      <c r="DK264" s="51"/>
      <c r="DL264" s="51"/>
      <c r="DM264" s="51"/>
      <c r="DN264" s="51"/>
      <c r="DO264" s="51"/>
    </row>
    <row r="265" spans="1:119" hidden="1" x14ac:dyDescent="0.3">
      <c r="A265" t="s">
        <v>7</v>
      </c>
      <c r="B265" s="4" t="s">
        <v>432</v>
      </c>
      <c r="C265" s="4" t="s">
        <v>553</v>
      </c>
      <c r="D265" s="4" t="s">
        <v>554</v>
      </c>
      <c r="E265" s="4" t="s">
        <v>555</v>
      </c>
      <c r="F265" s="12">
        <v>6.55</v>
      </c>
      <c r="G265" s="34">
        <f t="shared" si="25"/>
        <v>98426.849999999991</v>
      </c>
      <c r="H265" s="28">
        <f t="shared" si="26"/>
        <v>15027</v>
      </c>
      <c r="I265" s="28">
        <f t="shared" si="27"/>
        <v>1253</v>
      </c>
      <c r="J265" s="26">
        <f t="shared" si="28"/>
        <v>34682.25</v>
      </c>
      <c r="K265" s="24">
        <f t="shared" si="29"/>
        <v>5295</v>
      </c>
      <c r="L265" s="31">
        <f t="shared" si="30"/>
        <v>1059</v>
      </c>
      <c r="M265" s="9">
        <v>4000</v>
      </c>
      <c r="N265" s="9">
        <v>0</v>
      </c>
      <c r="O265" s="9">
        <v>0</v>
      </c>
      <c r="P265" s="9">
        <v>0</v>
      </c>
      <c r="Q265" s="9">
        <v>2715</v>
      </c>
      <c r="R265" s="9">
        <v>1920</v>
      </c>
      <c r="S265" s="9">
        <v>1536</v>
      </c>
      <c r="T265" s="9">
        <v>3561</v>
      </c>
      <c r="U265" s="9">
        <v>1059</v>
      </c>
      <c r="V265" s="9">
        <v>1059</v>
      </c>
      <c r="W265" s="9">
        <v>1059</v>
      </c>
      <c r="X265" s="9">
        <v>1059</v>
      </c>
      <c r="Y265" s="9">
        <v>1059</v>
      </c>
      <c r="Z265" s="9">
        <v>1059</v>
      </c>
      <c r="AA265" s="9">
        <v>1059</v>
      </c>
      <c r="AB265" s="9">
        <v>1059</v>
      </c>
      <c r="AC265" s="9">
        <v>1059</v>
      </c>
      <c r="AD265" s="9">
        <v>1059</v>
      </c>
      <c r="AF265" s="6">
        <v>26200</v>
      </c>
      <c r="AG265" s="6">
        <v>0</v>
      </c>
      <c r="AH265" s="6">
        <v>0</v>
      </c>
      <c r="AI265" s="6">
        <v>0</v>
      </c>
      <c r="AJ265" s="6">
        <v>17783.25</v>
      </c>
      <c r="AK265" s="6">
        <v>12576</v>
      </c>
      <c r="AL265" s="6">
        <v>10060.799999999999</v>
      </c>
      <c r="AM265" s="6">
        <v>23324.55</v>
      </c>
      <c r="AN265" s="6">
        <v>6936.45</v>
      </c>
      <c r="AO265" s="6">
        <v>6936.45</v>
      </c>
      <c r="AP265" s="6">
        <v>6936.45</v>
      </c>
      <c r="AQ265" s="6">
        <v>6936.45</v>
      </c>
      <c r="AR265" s="6">
        <v>6936.45</v>
      </c>
      <c r="AS265" s="6">
        <v>6936.45</v>
      </c>
      <c r="AT265" s="6">
        <v>6936.45</v>
      </c>
      <c r="AU265" s="6">
        <v>6936.45</v>
      </c>
      <c r="AV265" s="6">
        <v>6936.45</v>
      </c>
      <c r="AW265" s="6">
        <v>6936.45</v>
      </c>
      <c r="AX265" s="50"/>
      <c r="AY265" s="52"/>
      <c r="AZ265" s="52"/>
      <c r="BA265" s="52"/>
      <c r="BB265" s="52"/>
      <c r="BC265" s="52"/>
      <c r="BD265" s="52"/>
      <c r="BE265" s="52"/>
      <c r="BF265" s="52"/>
      <c r="BG265" s="52"/>
      <c r="BH265" s="52"/>
      <c r="BI265" s="52"/>
      <c r="BJ265" s="52"/>
      <c r="BK265" s="52"/>
      <c r="BL265" s="52"/>
      <c r="BM265" s="52"/>
      <c r="BN265" s="52"/>
      <c r="BO265" s="52"/>
      <c r="BP265" s="52"/>
      <c r="BQ265" s="52"/>
      <c r="BR265" s="52"/>
      <c r="BS265" s="52"/>
      <c r="BT265" s="52"/>
      <c r="BU265" s="52"/>
      <c r="BV265" s="52"/>
      <c r="BW265" s="52"/>
      <c r="BX265" s="52"/>
      <c r="BY265" s="52"/>
      <c r="BZ265" s="52"/>
      <c r="CA265" s="52"/>
      <c r="CB265" s="52"/>
      <c r="CC265" s="52"/>
      <c r="CD265" s="52"/>
      <c r="CE265" s="52"/>
      <c r="CF265" s="52"/>
      <c r="CG265" s="52"/>
      <c r="CH265" s="52"/>
      <c r="CI265" s="76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1"/>
      <c r="CW265" s="51"/>
      <c r="CX265" s="51"/>
      <c r="CY265" s="51"/>
      <c r="CZ265" s="51"/>
      <c r="DA265" s="51"/>
      <c r="DB265" s="51"/>
      <c r="DC265" s="51"/>
      <c r="DD265" s="51"/>
      <c r="DE265" s="51"/>
      <c r="DF265" s="51"/>
      <c r="DG265" s="51"/>
      <c r="DH265" s="51"/>
      <c r="DI265" s="51"/>
      <c r="DJ265" s="51"/>
      <c r="DK265" s="51"/>
      <c r="DL265" s="51"/>
      <c r="DM265" s="51"/>
      <c r="DN265" s="51"/>
      <c r="DO265" s="51"/>
    </row>
    <row r="266" spans="1:119" hidden="1" x14ac:dyDescent="0.3">
      <c r="A266" t="s">
        <v>7</v>
      </c>
      <c r="B266" s="4" t="s">
        <v>432</v>
      </c>
      <c r="C266" s="4" t="s">
        <v>553</v>
      </c>
      <c r="D266" s="4" t="s">
        <v>556</v>
      </c>
      <c r="E266" s="4" t="s">
        <v>557</v>
      </c>
      <c r="F266" s="12">
        <v>6.55</v>
      </c>
      <c r="G266" s="34">
        <f t="shared" si="25"/>
        <v>124843</v>
      </c>
      <c r="H266" s="28">
        <f t="shared" si="26"/>
        <v>19060</v>
      </c>
      <c r="I266" s="28">
        <f t="shared" si="27"/>
        <v>1589</v>
      </c>
      <c r="J266" s="26">
        <f t="shared" si="28"/>
        <v>34682.25</v>
      </c>
      <c r="K266" s="24">
        <f t="shared" si="29"/>
        <v>5295</v>
      </c>
      <c r="L266" s="31">
        <f t="shared" si="30"/>
        <v>1059</v>
      </c>
      <c r="M266" s="9">
        <v>6400</v>
      </c>
      <c r="N266" s="9">
        <v>7200</v>
      </c>
      <c r="O266" s="9">
        <v>0</v>
      </c>
      <c r="P266" s="9">
        <v>0</v>
      </c>
      <c r="Q266" s="9">
        <v>0</v>
      </c>
      <c r="R266" s="9">
        <v>1468</v>
      </c>
      <c r="S266" s="9">
        <v>1536</v>
      </c>
      <c r="T266" s="9">
        <v>3561</v>
      </c>
      <c r="U266" s="9">
        <v>1059</v>
      </c>
      <c r="V266" s="9">
        <v>1059</v>
      </c>
      <c r="W266" s="9">
        <v>1059</v>
      </c>
      <c r="X266" s="9">
        <v>1059</v>
      </c>
      <c r="Y266" s="9">
        <v>1059</v>
      </c>
      <c r="Z266" s="9">
        <v>1059</v>
      </c>
      <c r="AA266" s="9">
        <v>1059</v>
      </c>
      <c r="AB266" s="9">
        <v>1059</v>
      </c>
      <c r="AC266" s="9">
        <v>1059</v>
      </c>
      <c r="AD266" s="9">
        <v>1059</v>
      </c>
      <c r="AF266" s="6">
        <v>41920</v>
      </c>
      <c r="AG266" s="6">
        <v>47160</v>
      </c>
      <c r="AH266" s="6">
        <v>0</v>
      </c>
      <c r="AI266" s="6">
        <v>0</v>
      </c>
      <c r="AJ266" s="6">
        <v>0</v>
      </c>
      <c r="AK266" s="6">
        <v>9615.4</v>
      </c>
      <c r="AL266" s="6">
        <v>10060.799999999999</v>
      </c>
      <c r="AM266" s="6">
        <v>23324.55</v>
      </c>
      <c r="AN266" s="6">
        <v>6936.45</v>
      </c>
      <c r="AO266" s="6">
        <v>6936.45</v>
      </c>
      <c r="AP266" s="6">
        <v>6936.45</v>
      </c>
      <c r="AQ266" s="6">
        <v>6936.45</v>
      </c>
      <c r="AR266" s="6">
        <v>6936.45</v>
      </c>
      <c r="AS266" s="6">
        <v>6936.45</v>
      </c>
      <c r="AT266" s="6">
        <v>6936.45</v>
      </c>
      <c r="AU266" s="6">
        <v>6936.45</v>
      </c>
      <c r="AV266" s="6">
        <v>6936.45</v>
      </c>
      <c r="AW266" s="6">
        <v>6936.45</v>
      </c>
      <c r="AX266" s="50"/>
      <c r="AY266" s="52"/>
      <c r="AZ266" s="52"/>
      <c r="BA266" s="52"/>
      <c r="BB266" s="52"/>
      <c r="BC266" s="52"/>
      <c r="BD266" s="52"/>
      <c r="BE266" s="52"/>
      <c r="BF266" s="52"/>
      <c r="BG266" s="52"/>
      <c r="BH266" s="52"/>
      <c r="BI266" s="52"/>
      <c r="BJ266" s="52"/>
      <c r="BK266" s="52"/>
      <c r="BL266" s="52"/>
      <c r="BM266" s="52"/>
      <c r="BN266" s="52"/>
      <c r="BO266" s="52"/>
      <c r="BP266" s="52"/>
      <c r="BQ266" s="52"/>
      <c r="BR266" s="52"/>
      <c r="BS266" s="52"/>
      <c r="BT266" s="52"/>
      <c r="BU266" s="52"/>
      <c r="BV266" s="52"/>
      <c r="BW266" s="52"/>
      <c r="BX266" s="52"/>
      <c r="BY266" s="52"/>
      <c r="BZ266" s="52"/>
      <c r="CA266" s="52"/>
      <c r="CB266" s="52"/>
      <c r="CC266" s="52"/>
      <c r="CD266" s="52"/>
      <c r="CE266" s="52"/>
      <c r="CF266" s="52"/>
      <c r="CG266" s="52"/>
      <c r="CH266" s="52"/>
      <c r="CI266" s="76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1"/>
      <c r="CW266" s="51"/>
      <c r="CX266" s="51"/>
      <c r="CY266" s="51"/>
      <c r="CZ266" s="51"/>
      <c r="DA266" s="51"/>
      <c r="DB266" s="51"/>
      <c r="DC266" s="51"/>
      <c r="DD266" s="51"/>
      <c r="DE266" s="51"/>
      <c r="DF266" s="51"/>
      <c r="DG266" s="51"/>
      <c r="DH266" s="51"/>
      <c r="DI266" s="51"/>
      <c r="DJ266" s="51"/>
      <c r="DK266" s="51"/>
      <c r="DL266" s="51"/>
      <c r="DM266" s="51"/>
      <c r="DN266" s="51"/>
      <c r="DO266" s="51"/>
    </row>
    <row r="267" spans="1:119" hidden="1" x14ac:dyDescent="0.3">
      <c r="A267" t="s">
        <v>7</v>
      </c>
      <c r="B267" s="4" t="s">
        <v>432</v>
      </c>
      <c r="C267" s="4" t="s">
        <v>553</v>
      </c>
      <c r="D267" s="4" t="s">
        <v>558</v>
      </c>
      <c r="E267" s="4" t="s">
        <v>559</v>
      </c>
      <c r="F267" s="12">
        <v>4.51</v>
      </c>
      <c r="G267" s="34">
        <f t="shared" si="25"/>
        <v>213038.87</v>
      </c>
      <c r="H267" s="28">
        <f t="shared" si="26"/>
        <v>47237</v>
      </c>
      <c r="I267" s="28">
        <f t="shared" si="27"/>
        <v>3937</v>
      </c>
      <c r="J267" s="26">
        <f t="shared" si="28"/>
        <v>63658.649999999994</v>
      </c>
      <c r="K267" s="24">
        <f t="shared" si="29"/>
        <v>14115</v>
      </c>
      <c r="L267" s="31">
        <f t="shared" si="30"/>
        <v>2823</v>
      </c>
      <c r="M267" s="9">
        <v>11016</v>
      </c>
      <c r="N267" s="9">
        <v>13770</v>
      </c>
      <c r="O267" s="9">
        <v>0</v>
      </c>
      <c r="P267" s="9">
        <v>0</v>
      </c>
      <c r="Q267" s="9">
        <v>543</v>
      </c>
      <c r="R267" s="9">
        <v>5120</v>
      </c>
      <c r="S267" s="9">
        <v>4196</v>
      </c>
      <c r="T267" s="9">
        <v>9493</v>
      </c>
      <c r="U267" s="9">
        <v>2823</v>
      </c>
      <c r="V267" s="9">
        <v>2823</v>
      </c>
      <c r="W267" s="9">
        <v>2823</v>
      </c>
      <c r="X267" s="9">
        <v>2823</v>
      </c>
      <c r="Y267" s="9">
        <v>2823</v>
      </c>
      <c r="Z267" s="9">
        <v>2823</v>
      </c>
      <c r="AA267" s="9">
        <v>2823</v>
      </c>
      <c r="AB267" s="9">
        <v>2823</v>
      </c>
      <c r="AC267" s="9">
        <v>2823</v>
      </c>
      <c r="AD267" s="9">
        <v>2823</v>
      </c>
      <c r="AF267" s="6">
        <v>49682.159999999996</v>
      </c>
      <c r="AG267" s="6">
        <v>62102.7</v>
      </c>
      <c r="AH267" s="6">
        <v>0</v>
      </c>
      <c r="AI267" s="6">
        <v>0</v>
      </c>
      <c r="AJ267" s="6">
        <v>2448.9299999999998</v>
      </c>
      <c r="AK267" s="6">
        <v>23091.199999999997</v>
      </c>
      <c r="AL267" s="6">
        <v>18923.96</v>
      </c>
      <c r="AM267" s="6">
        <v>42813.43</v>
      </c>
      <c r="AN267" s="6">
        <v>12731.73</v>
      </c>
      <c r="AO267" s="6">
        <v>12731.73</v>
      </c>
      <c r="AP267" s="6">
        <v>12731.73</v>
      </c>
      <c r="AQ267" s="6">
        <v>12731.73</v>
      </c>
      <c r="AR267" s="6">
        <v>12731.73</v>
      </c>
      <c r="AS267" s="6">
        <v>12731.73</v>
      </c>
      <c r="AT267" s="6">
        <v>12731.73</v>
      </c>
      <c r="AU267" s="6">
        <v>12731.73</v>
      </c>
      <c r="AV267" s="6">
        <v>12731.73</v>
      </c>
      <c r="AW267" s="6">
        <v>12731.73</v>
      </c>
      <c r="AX267" s="50"/>
      <c r="AY267" s="52"/>
      <c r="AZ267" s="52"/>
      <c r="BA267" s="52"/>
      <c r="BB267" s="52"/>
      <c r="BC267" s="52"/>
      <c r="BD267" s="52"/>
      <c r="BE267" s="52"/>
      <c r="BF267" s="52"/>
      <c r="BG267" s="52"/>
      <c r="BH267" s="52"/>
      <c r="BI267" s="52"/>
      <c r="BJ267" s="52"/>
      <c r="BK267" s="52"/>
      <c r="BL267" s="52"/>
      <c r="BM267" s="52"/>
      <c r="BN267" s="52"/>
      <c r="BO267" s="52"/>
      <c r="BP267" s="52"/>
      <c r="BQ267" s="52"/>
      <c r="BR267" s="52"/>
      <c r="BS267" s="52"/>
      <c r="BT267" s="52"/>
      <c r="BU267" s="52"/>
      <c r="BV267" s="52"/>
      <c r="BW267" s="52"/>
      <c r="BX267" s="52"/>
      <c r="BY267" s="52"/>
      <c r="BZ267" s="52"/>
      <c r="CA267" s="52"/>
      <c r="CB267" s="52"/>
      <c r="CC267" s="52"/>
      <c r="CD267" s="52"/>
      <c r="CE267" s="52"/>
      <c r="CF267" s="52"/>
      <c r="CG267" s="52"/>
      <c r="CH267" s="52"/>
      <c r="CI267" s="76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51"/>
      <c r="CW267" s="51"/>
      <c r="CX267" s="51"/>
      <c r="CY267" s="51"/>
      <c r="CZ267" s="51"/>
      <c r="DA267" s="51"/>
      <c r="DB267" s="51"/>
      <c r="DC267" s="51"/>
      <c r="DD267" s="51"/>
      <c r="DE267" s="51"/>
      <c r="DF267" s="51"/>
      <c r="DG267" s="51"/>
      <c r="DH267" s="51"/>
      <c r="DI267" s="51"/>
      <c r="DJ267" s="51"/>
      <c r="DK267" s="51"/>
      <c r="DL267" s="51"/>
      <c r="DM267" s="51"/>
      <c r="DN267" s="51"/>
      <c r="DO267" s="51"/>
    </row>
    <row r="268" spans="1:119" hidden="1" x14ac:dyDescent="0.3">
      <c r="A268" t="s">
        <v>7</v>
      </c>
      <c r="B268" s="4" t="s">
        <v>432</v>
      </c>
      <c r="C268" s="4" t="s">
        <v>553</v>
      </c>
      <c r="D268" s="4" t="s">
        <v>560</v>
      </c>
      <c r="E268" s="4" t="s">
        <v>561</v>
      </c>
      <c r="F268" s="12">
        <v>184.09</v>
      </c>
      <c r="G268" s="34">
        <f t="shared" si="25"/>
        <v>666405.80000000005</v>
      </c>
      <c r="H268" s="28">
        <f t="shared" si="26"/>
        <v>3620</v>
      </c>
      <c r="I268" s="28">
        <f t="shared" si="27"/>
        <v>302</v>
      </c>
      <c r="J268" s="26">
        <f t="shared" si="28"/>
        <v>0</v>
      </c>
      <c r="K268" s="24">
        <f t="shared" si="29"/>
        <v>0</v>
      </c>
      <c r="L268" s="31">
        <f t="shared" si="30"/>
        <v>0</v>
      </c>
      <c r="M268" s="9">
        <v>532</v>
      </c>
      <c r="N268" s="9">
        <v>1078</v>
      </c>
      <c r="O268" s="9">
        <v>812</v>
      </c>
      <c r="P268" s="9">
        <v>854</v>
      </c>
      <c r="Q268" s="9">
        <v>0</v>
      </c>
      <c r="R268" s="9">
        <v>119</v>
      </c>
      <c r="S268" s="9">
        <v>448</v>
      </c>
      <c r="T268" s="9">
        <v>309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F268" s="6">
        <v>97935.88</v>
      </c>
      <c r="AG268" s="6">
        <v>198449.02</v>
      </c>
      <c r="AH268" s="6">
        <v>149481.08000000002</v>
      </c>
      <c r="AI268" s="6">
        <v>157212.86000000002</v>
      </c>
      <c r="AJ268" s="6">
        <v>0</v>
      </c>
      <c r="AK268" s="6">
        <v>21906.71</v>
      </c>
      <c r="AL268" s="6">
        <v>82472.320000000007</v>
      </c>
      <c r="AM268" s="6">
        <v>56883.81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50"/>
      <c r="AY268" s="52"/>
      <c r="AZ268" s="52"/>
      <c r="BA268" s="52"/>
      <c r="BB268" s="52"/>
      <c r="BC268" s="52"/>
      <c r="BD268" s="52"/>
      <c r="BE268" s="52"/>
      <c r="BF268" s="52"/>
      <c r="BG268" s="52"/>
      <c r="BH268" s="52"/>
      <c r="BI268" s="52"/>
      <c r="BJ268" s="52"/>
      <c r="BK268" s="52"/>
      <c r="BL268" s="52"/>
      <c r="BM268" s="52"/>
      <c r="BN268" s="52"/>
      <c r="BO268" s="52"/>
      <c r="BP268" s="52"/>
      <c r="BQ268" s="52"/>
      <c r="BR268" s="52"/>
      <c r="BS268" s="52"/>
      <c r="BT268" s="52"/>
      <c r="BU268" s="52"/>
      <c r="BV268" s="52"/>
      <c r="BW268" s="52"/>
      <c r="BX268" s="52"/>
      <c r="BY268" s="52"/>
      <c r="BZ268" s="52"/>
      <c r="CA268" s="52"/>
      <c r="CB268" s="52"/>
      <c r="CC268" s="52"/>
      <c r="CD268" s="52"/>
      <c r="CE268" s="52"/>
      <c r="CF268" s="52"/>
      <c r="CG268" s="52"/>
      <c r="CH268" s="52"/>
      <c r="CI268" s="76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1"/>
      <c r="CW268" s="51"/>
      <c r="CX268" s="51"/>
      <c r="CY268" s="51"/>
      <c r="CZ268" s="51"/>
      <c r="DA268" s="51"/>
      <c r="DB268" s="51"/>
      <c r="DC268" s="51"/>
      <c r="DD268" s="51"/>
      <c r="DE268" s="51"/>
      <c r="DF268" s="51"/>
      <c r="DG268" s="51"/>
      <c r="DH268" s="51"/>
      <c r="DI268" s="51"/>
      <c r="DJ268" s="51"/>
      <c r="DK268" s="51"/>
      <c r="DL268" s="51"/>
      <c r="DM268" s="51"/>
      <c r="DN268" s="51"/>
      <c r="DO268" s="51"/>
    </row>
    <row r="269" spans="1:119" hidden="1" x14ac:dyDescent="0.3">
      <c r="A269" t="s">
        <v>7</v>
      </c>
      <c r="B269" s="4" t="s">
        <v>432</v>
      </c>
      <c r="C269" s="4" t="s">
        <v>553</v>
      </c>
      <c r="D269" s="4" t="s">
        <v>562</v>
      </c>
      <c r="E269" s="4" t="s">
        <v>563</v>
      </c>
      <c r="F269" s="12">
        <v>172.06</v>
      </c>
      <c r="G269" s="34">
        <f t="shared" si="25"/>
        <v>6762646.2400000002</v>
      </c>
      <c r="H269" s="28">
        <f t="shared" si="26"/>
        <v>39304</v>
      </c>
      <c r="I269" s="28">
        <f t="shared" si="27"/>
        <v>3276</v>
      </c>
      <c r="J269" s="26">
        <f t="shared" si="28"/>
        <v>1517569.2</v>
      </c>
      <c r="K269" s="24">
        <f t="shared" si="29"/>
        <v>8820</v>
      </c>
      <c r="L269" s="31">
        <f t="shared" si="30"/>
        <v>1764</v>
      </c>
      <c r="M269" s="9">
        <v>2152</v>
      </c>
      <c r="N269" s="9">
        <v>4856</v>
      </c>
      <c r="O269" s="9">
        <v>4288</v>
      </c>
      <c r="P269" s="9">
        <v>4288</v>
      </c>
      <c r="Q269" s="9">
        <v>5360</v>
      </c>
      <c r="R269" s="9">
        <v>3200</v>
      </c>
      <c r="S269" s="9">
        <v>2560</v>
      </c>
      <c r="T269" s="9">
        <v>5932</v>
      </c>
      <c r="U269" s="9">
        <v>1764</v>
      </c>
      <c r="V269" s="9">
        <v>1764</v>
      </c>
      <c r="W269" s="9">
        <v>1764</v>
      </c>
      <c r="X269" s="9">
        <v>1764</v>
      </c>
      <c r="Y269" s="9">
        <v>1764</v>
      </c>
      <c r="Z269" s="9">
        <v>1764</v>
      </c>
      <c r="AA269" s="9">
        <v>1764</v>
      </c>
      <c r="AB269" s="9">
        <v>1764</v>
      </c>
      <c r="AC269" s="9">
        <v>1764</v>
      </c>
      <c r="AD269" s="9">
        <v>1764</v>
      </c>
      <c r="AF269" s="6">
        <v>370273.12000000005</v>
      </c>
      <c r="AG269" s="6">
        <v>835523.3600000001</v>
      </c>
      <c r="AH269" s="6">
        <v>737793.28</v>
      </c>
      <c r="AI269" s="6">
        <v>737793.28</v>
      </c>
      <c r="AJ269" s="6">
        <v>922241.60000000009</v>
      </c>
      <c r="AK269" s="6">
        <v>550592</v>
      </c>
      <c r="AL269" s="6">
        <v>440473.59999999998</v>
      </c>
      <c r="AM269" s="6">
        <v>1020659.92</v>
      </c>
      <c r="AN269" s="6">
        <v>303513.84000000003</v>
      </c>
      <c r="AO269" s="6">
        <v>303513.84000000003</v>
      </c>
      <c r="AP269" s="6">
        <v>303513.84000000003</v>
      </c>
      <c r="AQ269" s="6">
        <v>303513.84000000003</v>
      </c>
      <c r="AR269" s="6">
        <v>303513.84000000003</v>
      </c>
      <c r="AS269" s="6">
        <v>303513.84000000003</v>
      </c>
      <c r="AT269" s="6">
        <v>303513.84000000003</v>
      </c>
      <c r="AU269" s="6">
        <v>303513.84000000003</v>
      </c>
      <c r="AV269" s="6">
        <v>303513.84000000003</v>
      </c>
      <c r="AW269" s="6">
        <v>303513.84000000003</v>
      </c>
      <c r="AX269" s="50"/>
      <c r="AY269" s="52"/>
      <c r="AZ269" s="52"/>
      <c r="BA269" s="52"/>
      <c r="BB269" s="52"/>
      <c r="BC269" s="52"/>
      <c r="BD269" s="52"/>
      <c r="BE269" s="52"/>
      <c r="BF269" s="52"/>
      <c r="BG269" s="52"/>
      <c r="BH269" s="52"/>
      <c r="BI269" s="52"/>
      <c r="BJ269" s="52"/>
      <c r="BK269" s="52"/>
      <c r="BL269" s="52"/>
      <c r="BM269" s="52"/>
      <c r="BN269" s="52"/>
      <c r="BO269" s="52"/>
      <c r="BP269" s="52"/>
      <c r="BQ269" s="52"/>
      <c r="BR269" s="52"/>
      <c r="BS269" s="52"/>
      <c r="BT269" s="52"/>
      <c r="BU269" s="52"/>
      <c r="BV269" s="52"/>
      <c r="BW269" s="52"/>
      <c r="BX269" s="52"/>
      <c r="BY269" s="52"/>
      <c r="BZ269" s="52"/>
      <c r="CA269" s="52"/>
      <c r="CB269" s="52"/>
      <c r="CC269" s="52"/>
      <c r="CD269" s="52"/>
      <c r="CE269" s="52"/>
      <c r="CF269" s="52"/>
      <c r="CG269" s="52"/>
      <c r="CH269" s="52"/>
      <c r="CI269" s="76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1"/>
      <c r="CW269" s="51"/>
      <c r="CX269" s="51"/>
      <c r="CY269" s="51"/>
      <c r="CZ269" s="51"/>
      <c r="DA269" s="51"/>
      <c r="DB269" s="51"/>
      <c r="DC269" s="51"/>
      <c r="DD269" s="51"/>
      <c r="DE269" s="51"/>
      <c r="DF269" s="51"/>
      <c r="DG269" s="51"/>
      <c r="DH269" s="51"/>
      <c r="DI269" s="51"/>
      <c r="DJ269" s="51"/>
      <c r="DK269" s="51"/>
      <c r="DL269" s="51"/>
      <c r="DM269" s="51"/>
      <c r="DN269" s="51"/>
      <c r="DO269" s="51"/>
    </row>
    <row r="270" spans="1:119" hidden="1" x14ac:dyDescent="0.3">
      <c r="A270" t="s">
        <v>7</v>
      </c>
      <c r="B270" s="4" t="s">
        <v>432</v>
      </c>
      <c r="C270" s="4" t="s">
        <v>553</v>
      </c>
      <c r="D270" s="4" t="s">
        <v>564</v>
      </c>
      <c r="E270" s="4" t="s">
        <v>565</v>
      </c>
      <c r="F270" s="12">
        <v>127.24</v>
      </c>
      <c r="G270" s="34">
        <f t="shared" si="25"/>
        <v>377902.8</v>
      </c>
      <c r="H270" s="28">
        <f t="shared" si="26"/>
        <v>2970</v>
      </c>
      <c r="I270" s="28">
        <f t="shared" si="27"/>
        <v>248</v>
      </c>
      <c r="J270" s="26">
        <f t="shared" si="28"/>
        <v>112607.4</v>
      </c>
      <c r="K270" s="24">
        <f t="shared" si="29"/>
        <v>885</v>
      </c>
      <c r="L270" s="31">
        <f t="shared" si="30"/>
        <v>177</v>
      </c>
      <c r="M270" s="9">
        <v>1122</v>
      </c>
      <c r="N270" s="9">
        <v>476</v>
      </c>
      <c r="O270" s="9">
        <v>0</v>
      </c>
      <c r="P270" s="9">
        <v>0</v>
      </c>
      <c r="Q270" s="9">
        <v>438</v>
      </c>
      <c r="R270" s="9">
        <v>320</v>
      </c>
      <c r="S270" s="9">
        <v>256</v>
      </c>
      <c r="T270" s="9">
        <v>595</v>
      </c>
      <c r="U270" s="9">
        <v>177</v>
      </c>
      <c r="V270" s="9">
        <v>177</v>
      </c>
      <c r="W270" s="9">
        <v>177</v>
      </c>
      <c r="X270" s="9">
        <v>177</v>
      </c>
      <c r="Y270" s="9">
        <v>177</v>
      </c>
      <c r="Z270" s="9">
        <v>177</v>
      </c>
      <c r="AA270" s="9">
        <v>177</v>
      </c>
      <c r="AB270" s="9">
        <v>177</v>
      </c>
      <c r="AC270" s="9">
        <v>177</v>
      </c>
      <c r="AD270" s="9">
        <v>177</v>
      </c>
      <c r="AF270" s="6">
        <v>142763.28</v>
      </c>
      <c r="AG270" s="6">
        <v>60566.239999999991</v>
      </c>
      <c r="AH270" s="6">
        <v>0</v>
      </c>
      <c r="AI270" s="6">
        <v>0</v>
      </c>
      <c r="AJ270" s="6">
        <v>55731.119999999995</v>
      </c>
      <c r="AK270" s="6">
        <v>40716.799999999996</v>
      </c>
      <c r="AL270" s="6">
        <v>32573.439999999999</v>
      </c>
      <c r="AM270" s="6">
        <v>75707.8</v>
      </c>
      <c r="AN270" s="6">
        <v>22521.48</v>
      </c>
      <c r="AO270" s="6">
        <v>22521.48</v>
      </c>
      <c r="AP270" s="6">
        <v>22521.48</v>
      </c>
      <c r="AQ270" s="6">
        <v>22521.48</v>
      </c>
      <c r="AR270" s="6">
        <v>22521.48</v>
      </c>
      <c r="AS270" s="6">
        <v>22521.48</v>
      </c>
      <c r="AT270" s="6">
        <v>22521.48</v>
      </c>
      <c r="AU270" s="6">
        <v>22521.48</v>
      </c>
      <c r="AV270" s="6">
        <v>22521.48</v>
      </c>
      <c r="AW270" s="6">
        <v>22521.48</v>
      </c>
      <c r="AX270" s="50"/>
      <c r="AY270" s="52"/>
      <c r="AZ270" s="52"/>
      <c r="BA270" s="52"/>
      <c r="BB270" s="52"/>
      <c r="BC270" s="52"/>
      <c r="BD270" s="52"/>
      <c r="BE270" s="52"/>
      <c r="BF270" s="52"/>
      <c r="BG270" s="52"/>
      <c r="BH270" s="52"/>
      <c r="BI270" s="52"/>
      <c r="BJ270" s="52"/>
      <c r="BK270" s="52"/>
      <c r="BL270" s="52"/>
      <c r="BM270" s="52"/>
      <c r="BN270" s="52"/>
      <c r="BO270" s="52"/>
      <c r="BP270" s="52"/>
      <c r="BQ270" s="52"/>
      <c r="BR270" s="52"/>
      <c r="BS270" s="52"/>
      <c r="BT270" s="52"/>
      <c r="BU270" s="52"/>
      <c r="BV270" s="52"/>
      <c r="BW270" s="52"/>
      <c r="BX270" s="52"/>
      <c r="BY270" s="52"/>
      <c r="BZ270" s="52"/>
      <c r="CA270" s="52"/>
      <c r="CB270" s="52"/>
      <c r="CC270" s="52"/>
      <c r="CD270" s="52"/>
      <c r="CE270" s="52"/>
      <c r="CF270" s="52"/>
      <c r="CG270" s="52"/>
      <c r="CH270" s="52"/>
      <c r="CI270" s="76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2"/>
      <c r="CV270" s="51"/>
      <c r="CW270" s="51"/>
      <c r="CX270" s="51"/>
      <c r="CY270" s="51"/>
      <c r="CZ270" s="51"/>
      <c r="DA270" s="51"/>
      <c r="DB270" s="51"/>
      <c r="DC270" s="51"/>
      <c r="DD270" s="51"/>
      <c r="DE270" s="51"/>
      <c r="DF270" s="51"/>
      <c r="DG270" s="51"/>
      <c r="DH270" s="51"/>
      <c r="DI270" s="51"/>
      <c r="DJ270" s="51"/>
      <c r="DK270" s="51"/>
      <c r="DL270" s="51"/>
      <c r="DM270" s="51"/>
      <c r="DN270" s="51"/>
      <c r="DO270" s="51"/>
    </row>
    <row r="271" spans="1:119" hidden="1" x14ac:dyDescent="0.3">
      <c r="A271" t="s">
        <v>7</v>
      </c>
      <c r="B271" s="4" t="s">
        <v>432</v>
      </c>
      <c r="C271" s="4" t="s">
        <v>553</v>
      </c>
      <c r="D271" s="4" t="s">
        <v>566</v>
      </c>
      <c r="E271" s="4" t="s">
        <v>567</v>
      </c>
      <c r="F271" s="12">
        <v>28.72</v>
      </c>
      <c r="G271" s="34">
        <f t="shared" si="25"/>
        <v>0</v>
      </c>
      <c r="H271" s="28">
        <f t="shared" si="26"/>
        <v>0</v>
      </c>
      <c r="I271" s="28">
        <f t="shared" si="27"/>
        <v>0</v>
      </c>
      <c r="J271" s="26">
        <f t="shared" si="28"/>
        <v>0</v>
      </c>
      <c r="K271" s="24">
        <f t="shared" si="29"/>
        <v>0</v>
      </c>
      <c r="L271" s="31">
        <f t="shared" si="30"/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4"/>
      <c r="AY271" s="4"/>
      <c r="CI271" s="74" t="e">
        <v>#N/A</v>
      </c>
    </row>
    <row r="272" spans="1:119" hidden="1" x14ac:dyDescent="0.3">
      <c r="A272" t="s">
        <v>7</v>
      </c>
      <c r="B272" s="4" t="s">
        <v>432</v>
      </c>
      <c r="C272" s="4" t="s">
        <v>553</v>
      </c>
      <c r="D272" s="4" t="s">
        <v>568</v>
      </c>
      <c r="E272" s="4" t="s">
        <v>569</v>
      </c>
      <c r="F272" s="12">
        <v>6.88</v>
      </c>
      <c r="G272" s="34">
        <f t="shared" si="25"/>
        <v>6549.76</v>
      </c>
      <c r="H272" s="28">
        <f t="shared" si="26"/>
        <v>952</v>
      </c>
      <c r="I272" s="28">
        <f t="shared" si="27"/>
        <v>80</v>
      </c>
      <c r="J272" s="26">
        <f t="shared" si="28"/>
        <v>0</v>
      </c>
      <c r="K272" s="24">
        <f t="shared" si="29"/>
        <v>0</v>
      </c>
      <c r="L272" s="31">
        <f t="shared" si="30"/>
        <v>0</v>
      </c>
      <c r="M272" s="9">
        <v>0</v>
      </c>
      <c r="N272" s="9">
        <v>952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F272" s="6">
        <v>0</v>
      </c>
      <c r="AG272" s="6">
        <v>6549.7599999999993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50"/>
      <c r="AY272" s="52"/>
      <c r="AZ272" s="52"/>
      <c r="BA272" s="52"/>
      <c r="BB272" s="52"/>
      <c r="BC272" s="52"/>
      <c r="BD272" s="52"/>
      <c r="BE272" s="52"/>
      <c r="BF272" s="52"/>
      <c r="BG272" s="52"/>
      <c r="BH272" s="52"/>
      <c r="BI272" s="52"/>
      <c r="BJ272" s="52"/>
      <c r="BK272" s="52"/>
      <c r="BL272" s="52"/>
      <c r="BM272" s="52"/>
      <c r="BN272" s="52"/>
      <c r="BO272" s="52"/>
      <c r="BP272" s="52"/>
      <c r="BQ272" s="52"/>
      <c r="BR272" s="52"/>
      <c r="BS272" s="52"/>
      <c r="BT272" s="52"/>
      <c r="BU272" s="52"/>
      <c r="BV272" s="52"/>
      <c r="BW272" s="52"/>
      <c r="BX272" s="52"/>
      <c r="BY272" s="52"/>
      <c r="BZ272" s="52"/>
      <c r="CA272" s="52"/>
      <c r="CB272" s="52"/>
      <c r="CC272" s="52"/>
      <c r="CD272" s="52"/>
      <c r="CE272" s="52"/>
      <c r="CF272" s="52"/>
      <c r="CG272" s="52"/>
      <c r="CH272" s="52"/>
      <c r="CI272" s="76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1"/>
      <c r="CW272" s="51"/>
      <c r="CX272" s="51"/>
      <c r="CY272" s="51"/>
      <c r="CZ272" s="51"/>
      <c r="DA272" s="51"/>
      <c r="DB272" s="51"/>
      <c r="DC272" s="51"/>
      <c r="DD272" s="51"/>
      <c r="DE272" s="51"/>
      <c r="DF272" s="51"/>
      <c r="DG272" s="51"/>
      <c r="DH272" s="51"/>
      <c r="DI272" s="51"/>
      <c r="DJ272" s="51"/>
      <c r="DK272" s="51"/>
      <c r="DL272" s="51"/>
      <c r="DM272" s="51"/>
      <c r="DN272" s="51"/>
      <c r="DO272" s="51"/>
    </row>
    <row r="273" spans="1:119" hidden="1" x14ac:dyDescent="0.3">
      <c r="A273" t="s">
        <v>7</v>
      </c>
      <c r="B273" s="4" t="s">
        <v>432</v>
      </c>
      <c r="C273" s="4" t="s">
        <v>553</v>
      </c>
      <c r="D273" s="4" t="s">
        <v>570</v>
      </c>
      <c r="E273" s="4" t="s">
        <v>571</v>
      </c>
      <c r="F273" s="12">
        <v>738.72</v>
      </c>
      <c r="G273" s="34">
        <f t="shared" si="25"/>
        <v>25966008</v>
      </c>
      <c r="H273" s="28">
        <f t="shared" si="26"/>
        <v>35150</v>
      </c>
      <c r="I273" s="28">
        <f t="shared" si="27"/>
        <v>2930</v>
      </c>
      <c r="J273" s="26">
        <f t="shared" si="28"/>
        <v>5215363.2</v>
      </c>
      <c r="K273" s="24">
        <f t="shared" si="29"/>
        <v>7060</v>
      </c>
      <c r="L273" s="31">
        <f t="shared" si="30"/>
        <v>1412</v>
      </c>
      <c r="M273" s="9">
        <v>2480</v>
      </c>
      <c r="N273" s="9">
        <v>4800</v>
      </c>
      <c r="O273" s="9">
        <v>4000</v>
      </c>
      <c r="P273" s="9">
        <v>4000</v>
      </c>
      <c r="Q273" s="9">
        <v>5934</v>
      </c>
      <c r="R273" s="9">
        <v>2560</v>
      </c>
      <c r="S273" s="9">
        <v>2048</v>
      </c>
      <c r="T273" s="9">
        <v>4748</v>
      </c>
      <c r="U273" s="9">
        <v>1412</v>
      </c>
      <c r="V273" s="9">
        <v>1412</v>
      </c>
      <c r="W273" s="9">
        <v>1412</v>
      </c>
      <c r="X273" s="9">
        <v>1412</v>
      </c>
      <c r="Y273" s="9">
        <v>1412</v>
      </c>
      <c r="Z273" s="9">
        <v>1412</v>
      </c>
      <c r="AA273" s="9">
        <v>1412</v>
      </c>
      <c r="AB273" s="9">
        <v>1412</v>
      </c>
      <c r="AC273" s="9">
        <v>1412</v>
      </c>
      <c r="AD273" s="9">
        <v>1412</v>
      </c>
      <c r="AF273" s="6">
        <v>1832025.5999999999</v>
      </c>
      <c r="AG273" s="6">
        <v>3545856</v>
      </c>
      <c r="AH273" s="6">
        <v>2954880</v>
      </c>
      <c r="AI273" s="6">
        <v>2954880</v>
      </c>
      <c r="AJ273" s="6">
        <v>4383564.4800000004</v>
      </c>
      <c r="AK273" s="6">
        <v>1891123.2000000002</v>
      </c>
      <c r="AL273" s="6">
        <v>1512898.5600000001</v>
      </c>
      <c r="AM273" s="6">
        <v>3507442.56</v>
      </c>
      <c r="AN273" s="6">
        <v>1043072.64</v>
      </c>
      <c r="AO273" s="6">
        <v>1043072.64</v>
      </c>
      <c r="AP273" s="6">
        <v>1043072.64</v>
      </c>
      <c r="AQ273" s="6">
        <v>1043072.64</v>
      </c>
      <c r="AR273" s="6">
        <v>1043072.64</v>
      </c>
      <c r="AS273" s="6">
        <v>1043072.64</v>
      </c>
      <c r="AT273" s="6">
        <v>1043072.64</v>
      </c>
      <c r="AU273" s="6">
        <v>1043072.64</v>
      </c>
      <c r="AV273" s="6">
        <v>1043072.64</v>
      </c>
      <c r="AW273" s="6">
        <v>1043072.64</v>
      </c>
      <c r="AX273" s="50"/>
      <c r="AY273" s="52"/>
      <c r="AZ273" s="52"/>
      <c r="BA273" s="52"/>
      <c r="BB273" s="52"/>
      <c r="BC273" s="52"/>
      <c r="BD273" s="52"/>
      <c r="BE273" s="52"/>
      <c r="BF273" s="52"/>
      <c r="BG273" s="52"/>
      <c r="BH273" s="52"/>
      <c r="BI273" s="52"/>
      <c r="BJ273" s="52"/>
      <c r="BK273" s="52"/>
      <c r="BL273" s="52"/>
      <c r="BM273" s="52"/>
      <c r="BN273" s="52"/>
      <c r="BO273" s="52"/>
      <c r="BP273" s="52"/>
      <c r="BQ273" s="52"/>
      <c r="BR273" s="52"/>
      <c r="BS273" s="52"/>
      <c r="BT273" s="52"/>
      <c r="BU273" s="52"/>
      <c r="BV273" s="52"/>
      <c r="BW273" s="52"/>
      <c r="BX273" s="52"/>
      <c r="BY273" s="52"/>
      <c r="BZ273" s="52"/>
      <c r="CA273" s="52"/>
      <c r="CB273" s="52"/>
      <c r="CC273" s="52"/>
      <c r="CD273" s="52"/>
      <c r="CE273" s="52"/>
      <c r="CF273" s="52"/>
      <c r="CG273" s="52"/>
      <c r="CH273" s="52"/>
      <c r="CI273" s="76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2"/>
      <c r="CV273" s="51"/>
      <c r="CW273" s="51"/>
      <c r="CX273" s="51"/>
      <c r="CY273" s="51"/>
      <c r="CZ273" s="51"/>
      <c r="DA273" s="51"/>
      <c r="DB273" s="51"/>
      <c r="DC273" s="51"/>
      <c r="DD273" s="51"/>
      <c r="DE273" s="51"/>
      <c r="DF273" s="51"/>
      <c r="DG273" s="51"/>
      <c r="DH273" s="51"/>
      <c r="DI273" s="51"/>
      <c r="DJ273" s="51"/>
      <c r="DK273" s="51"/>
      <c r="DL273" s="51"/>
      <c r="DM273" s="51"/>
      <c r="DN273" s="51"/>
      <c r="DO273" s="51"/>
    </row>
    <row r="274" spans="1:119" hidden="1" x14ac:dyDescent="0.3">
      <c r="A274" t="s">
        <v>7</v>
      </c>
      <c r="B274" s="4" t="s">
        <v>432</v>
      </c>
      <c r="C274" s="4" t="s">
        <v>572</v>
      </c>
      <c r="D274" s="4" t="s">
        <v>573</v>
      </c>
      <c r="E274" s="4" t="s">
        <v>574</v>
      </c>
      <c r="F274" s="12">
        <v>22.92</v>
      </c>
      <c r="G274" s="34">
        <f t="shared" si="25"/>
        <v>2750.4</v>
      </c>
      <c r="H274" s="28">
        <f t="shared" si="26"/>
        <v>120</v>
      </c>
      <c r="I274" s="28">
        <f t="shared" si="27"/>
        <v>10</v>
      </c>
      <c r="J274" s="26">
        <f t="shared" si="28"/>
        <v>0</v>
      </c>
      <c r="K274" s="24">
        <f t="shared" si="29"/>
        <v>0</v>
      </c>
      <c r="L274" s="31">
        <f t="shared" si="30"/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48</v>
      </c>
      <c r="S274" s="9">
        <v>72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1100.1600000000001</v>
      </c>
      <c r="AL274" s="6">
        <v>1650.2400000000002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50"/>
      <c r="AY274" s="52"/>
      <c r="AZ274" s="52"/>
      <c r="BA274" s="52"/>
      <c r="BB274" s="52"/>
      <c r="BC274" s="52"/>
      <c r="BD274" s="52"/>
      <c r="BE274" s="52"/>
      <c r="BF274" s="52"/>
      <c r="BG274" s="52"/>
      <c r="BH274" s="52"/>
      <c r="BI274" s="52"/>
      <c r="BJ274" s="52"/>
      <c r="BK274" s="52"/>
      <c r="BL274" s="52"/>
      <c r="BM274" s="52"/>
      <c r="BN274" s="52"/>
      <c r="BO274" s="52"/>
      <c r="BP274" s="52"/>
      <c r="BQ274" s="52"/>
      <c r="BR274" s="52"/>
      <c r="BS274" s="52"/>
      <c r="BT274" s="52"/>
      <c r="BU274" s="52"/>
      <c r="BV274" s="52"/>
      <c r="BW274" s="52"/>
      <c r="BX274" s="52"/>
      <c r="BY274" s="52"/>
      <c r="BZ274" s="52"/>
      <c r="CA274" s="52"/>
      <c r="CB274" s="52"/>
      <c r="CC274" s="52"/>
      <c r="CD274" s="52"/>
      <c r="CE274" s="52"/>
      <c r="CF274" s="52"/>
      <c r="CG274" s="52"/>
      <c r="CH274" s="52"/>
      <c r="CI274" s="76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2"/>
      <c r="CV274" s="51"/>
      <c r="CW274" s="51"/>
      <c r="CX274" s="51"/>
      <c r="CY274" s="51"/>
      <c r="CZ274" s="51"/>
      <c r="DA274" s="51"/>
      <c r="DB274" s="51"/>
      <c r="DC274" s="51"/>
      <c r="DD274" s="51"/>
      <c r="DE274" s="51"/>
      <c r="DF274" s="51"/>
      <c r="DG274" s="51"/>
      <c r="DH274" s="51"/>
      <c r="DI274" s="51"/>
      <c r="DJ274" s="51"/>
      <c r="DK274" s="51"/>
      <c r="DL274" s="51"/>
      <c r="DM274" s="51"/>
      <c r="DN274" s="51"/>
      <c r="DO274" s="51"/>
    </row>
    <row r="275" spans="1:119" hidden="1" x14ac:dyDescent="0.3">
      <c r="A275" t="s">
        <v>7</v>
      </c>
      <c r="B275" s="4" t="s">
        <v>432</v>
      </c>
      <c r="C275" s="4" t="s">
        <v>572</v>
      </c>
      <c r="D275" s="4" t="s">
        <v>575</v>
      </c>
      <c r="E275" s="4" t="s">
        <v>576</v>
      </c>
      <c r="F275" s="12">
        <v>10.72</v>
      </c>
      <c r="G275" s="34">
        <f t="shared" si="25"/>
        <v>0</v>
      </c>
      <c r="H275" s="28">
        <f t="shared" si="26"/>
        <v>0</v>
      </c>
      <c r="I275" s="28">
        <f t="shared" si="27"/>
        <v>0</v>
      </c>
      <c r="J275" s="26">
        <f t="shared" si="28"/>
        <v>0</v>
      </c>
      <c r="K275" s="24">
        <f t="shared" si="29"/>
        <v>0</v>
      </c>
      <c r="L275" s="31">
        <f t="shared" si="30"/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4"/>
      <c r="AY275" s="4"/>
      <c r="CI275" s="74" t="e">
        <v>#N/A</v>
      </c>
    </row>
    <row r="276" spans="1:119" hidden="1" x14ac:dyDescent="0.3">
      <c r="A276" t="s">
        <v>7</v>
      </c>
      <c r="B276" s="4" t="s">
        <v>432</v>
      </c>
      <c r="C276" s="4" t="s">
        <v>572</v>
      </c>
      <c r="D276" s="4" t="s">
        <v>577</v>
      </c>
      <c r="E276" s="4" t="s">
        <v>578</v>
      </c>
      <c r="F276" s="12">
        <v>28.31</v>
      </c>
      <c r="G276" s="34">
        <f t="shared" si="25"/>
        <v>42804.72</v>
      </c>
      <c r="H276" s="28">
        <f t="shared" si="26"/>
        <v>1512</v>
      </c>
      <c r="I276" s="28">
        <f t="shared" si="27"/>
        <v>126</v>
      </c>
      <c r="J276" s="26">
        <f t="shared" si="28"/>
        <v>0</v>
      </c>
      <c r="K276" s="24">
        <f t="shared" si="29"/>
        <v>0</v>
      </c>
      <c r="L276" s="31">
        <f t="shared" si="30"/>
        <v>0</v>
      </c>
      <c r="M276" s="9">
        <v>3528</v>
      </c>
      <c r="N276" s="9">
        <v>0</v>
      </c>
      <c r="O276" s="9">
        <v>756</v>
      </c>
      <c r="P276" s="9">
        <v>756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F276" s="6">
        <v>99877.68</v>
      </c>
      <c r="AG276" s="6">
        <v>0</v>
      </c>
      <c r="AH276" s="6">
        <v>21402.36</v>
      </c>
      <c r="AI276" s="6">
        <v>21402.36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50"/>
      <c r="AY276" s="52"/>
      <c r="AZ276" s="52"/>
      <c r="BA276" s="52"/>
      <c r="BB276" s="52"/>
      <c r="BC276" s="52"/>
      <c r="BD276" s="52"/>
      <c r="BE276" s="52"/>
      <c r="BF276" s="52"/>
      <c r="BG276" s="52"/>
      <c r="BH276" s="52"/>
      <c r="BI276" s="52"/>
      <c r="BJ276" s="52"/>
      <c r="BK276" s="52"/>
      <c r="BL276" s="52"/>
      <c r="BM276" s="52"/>
      <c r="BN276" s="52"/>
      <c r="BO276" s="52"/>
      <c r="BP276" s="52"/>
      <c r="BQ276" s="52"/>
      <c r="BR276" s="52"/>
      <c r="BS276" s="52"/>
      <c r="BT276" s="52"/>
      <c r="BU276" s="52"/>
      <c r="BV276" s="52"/>
      <c r="BW276" s="52"/>
      <c r="BX276" s="52"/>
      <c r="BY276" s="52"/>
      <c r="BZ276" s="52"/>
      <c r="CA276" s="52"/>
      <c r="CB276" s="52"/>
      <c r="CC276" s="52"/>
      <c r="CD276" s="52"/>
      <c r="CE276" s="52"/>
      <c r="CF276" s="52"/>
      <c r="CG276" s="52"/>
      <c r="CH276" s="52"/>
      <c r="CI276" s="76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2"/>
      <c r="CV276" s="51"/>
      <c r="CW276" s="51"/>
      <c r="CX276" s="51"/>
      <c r="CY276" s="51"/>
      <c r="CZ276" s="51"/>
      <c r="DA276" s="51"/>
      <c r="DB276" s="51"/>
      <c r="DC276" s="51"/>
      <c r="DD276" s="51"/>
      <c r="DE276" s="51"/>
      <c r="DF276" s="51"/>
      <c r="DG276" s="51"/>
      <c r="DH276" s="51"/>
      <c r="DI276" s="51"/>
      <c r="DJ276" s="51"/>
      <c r="DK276" s="51"/>
      <c r="DL276" s="51"/>
      <c r="DM276" s="51"/>
      <c r="DN276" s="51"/>
      <c r="DO276" s="51"/>
    </row>
    <row r="277" spans="1:119" hidden="1" x14ac:dyDescent="0.3">
      <c r="A277" t="s">
        <v>7</v>
      </c>
      <c r="B277" s="4" t="s">
        <v>432</v>
      </c>
      <c r="C277" s="4" t="s">
        <v>572</v>
      </c>
      <c r="D277" s="4" t="s">
        <v>579</v>
      </c>
      <c r="E277" s="4" t="s">
        <v>578</v>
      </c>
      <c r="F277" s="12">
        <v>21.34</v>
      </c>
      <c r="G277" s="34">
        <f t="shared" si="25"/>
        <v>78872.639999999999</v>
      </c>
      <c r="H277" s="28">
        <f t="shared" si="26"/>
        <v>3696</v>
      </c>
      <c r="I277" s="28">
        <f t="shared" si="27"/>
        <v>308</v>
      </c>
      <c r="J277" s="26">
        <f t="shared" si="28"/>
        <v>0</v>
      </c>
      <c r="K277" s="24">
        <f t="shared" si="29"/>
        <v>0</v>
      </c>
      <c r="L277" s="31">
        <f t="shared" si="30"/>
        <v>0</v>
      </c>
      <c r="M277" s="9">
        <v>6160</v>
      </c>
      <c r="N277" s="9">
        <v>1848</v>
      </c>
      <c r="O277" s="9">
        <v>0</v>
      </c>
      <c r="P277" s="9">
        <v>1848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F277" s="6">
        <v>131454.39999999999</v>
      </c>
      <c r="AG277" s="6">
        <v>39436.32</v>
      </c>
      <c r="AH277" s="6">
        <v>0</v>
      </c>
      <c r="AI277" s="6">
        <v>39436.32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50"/>
      <c r="AY277" s="52"/>
      <c r="AZ277" s="52"/>
      <c r="BA277" s="52"/>
      <c r="BB277" s="52"/>
      <c r="BC277" s="52"/>
      <c r="BD277" s="52"/>
      <c r="BE277" s="52"/>
      <c r="BF277" s="52"/>
      <c r="BG277" s="52"/>
      <c r="BH277" s="52"/>
      <c r="BI277" s="52"/>
      <c r="BJ277" s="52"/>
      <c r="BK277" s="52"/>
      <c r="BL277" s="52"/>
      <c r="BM277" s="52"/>
      <c r="BN277" s="52"/>
      <c r="BO277" s="52"/>
      <c r="BP277" s="52"/>
      <c r="BQ277" s="52"/>
      <c r="BR277" s="52"/>
      <c r="BS277" s="52"/>
      <c r="BT277" s="52"/>
      <c r="BU277" s="52"/>
      <c r="BV277" s="52"/>
      <c r="BW277" s="52"/>
      <c r="BX277" s="52"/>
      <c r="BY277" s="52"/>
      <c r="BZ277" s="52"/>
      <c r="CA277" s="52"/>
      <c r="CB277" s="52"/>
      <c r="CC277" s="52"/>
      <c r="CD277" s="52"/>
      <c r="CE277" s="52"/>
      <c r="CF277" s="52"/>
      <c r="CG277" s="52"/>
      <c r="CH277" s="52"/>
      <c r="CI277" s="76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2"/>
      <c r="CV277" s="51"/>
      <c r="CW277" s="51"/>
      <c r="CX277" s="51"/>
      <c r="CY277" s="51"/>
      <c r="CZ277" s="51"/>
      <c r="DA277" s="51"/>
      <c r="DB277" s="51"/>
      <c r="DC277" s="51"/>
      <c r="DD277" s="51"/>
      <c r="DE277" s="51"/>
      <c r="DF277" s="51"/>
      <c r="DG277" s="51"/>
      <c r="DH277" s="51"/>
      <c r="DI277" s="51"/>
      <c r="DJ277" s="51"/>
      <c r="DK277" s="51"/>
      <c r="DL277" s="51"/>
      <c r="DM277" s="51"/>
      <c r="DN277" s="51"/>
      <c r="DO277" s="51"/>
    </row>
    <row r="278" spans="1:119" hidden="1" x14ac:dyDescent="0.3">
      <c r="A278" t="s">
        <v>7</v>
      </c>
      <c r="B278" s="4" t="s">
        <v>432</v>
      </c>
      <c r="C278" s="4" t="s">
        <v>572</v>
      </c>
      <c r="D278" s="4" t="s">
        <v>580</v>
      </c>
      <c r="E278" s="4" t="s">
        <v>581</v>
      </c>
      <c r="F278" s="12">
        <v>177.71</v>
      </c>
      <c r="G278" s="34">
        <f t="shared" si="25"/>
        <v>0</v>
      </c>
      <c r="H278" s="28">
        <f t="shared" si="26"/>
        <v>0</v>
      </c>
      <c r="I278" s="28">
        <f t="shared" si="27"/>
        <v>0</v>
      </c>
      <c r="J278" s="26">
        <f t="shared" si="28"/>
        <v>0</v>
      </c>
      <c r="K278" s="24">
        <f t="shared" si="29"/>
        <v>0</v>
      </c>
      <c r="L278" s="31">
        <f t="shared" si="30"/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4"/>
      <c r="AY278" s="4"/>
      <c r="CI278" s="74" t="e">
        <v>#N/A</v>
      </c>
    </row>
    <row r="279" spans="1:119" hidden="1" x14ac:dyDescent="0.3">
      <c r="A279" t="s">
        <v>7</v>
      </c>
      <c r="B279" s="4" t="s">
        <v>432</v>
      </c>
      <c r="C279" s="4" t="s">
        <v>572</v>
      </c>
      <c r="D279" s="4" t="s">
        <v>582</v>
      </c>
      <c r="E279" s="4" t="s">
        <v>583</v>
      </c>
      <c r="F279" s="12">
        <v>184.83</v>
      </c>
      <c r="G279" s="34">
        <f t="shared" si="25"/>
        <v>7070671.6500000004</v>
      </c>
      <c r="H279" s="28">
        <f t="shared" si="26"/>
        <v>38255</v>
      </c>
      <c r="I279" s="28">
        <f t="shared" si="27"/>
        <v>3188</v>
      </c>
      <c r="J279" s="26">
        <f t="shared" si="28"/>
        <v>4051473.6</v>
      </c>
      <c r="K279" s="24">
        <f t="shared" si="29"/>
        <v>21920</v>
      </c>
      <c r="L279" s="31">
        <f t="shared" si="30"/>
        <v>4384</v>
      </c>
      <c r="M279" s="9">
        <v>4149</v>
      </c>
      <c r="N279" s="9">
        <v>0</v>
      </c>
      <c r="O279" s="9">
        <v>3204</v>
      </c>
      <c r="P279" s="9">
        <v>6831</v>
      </c>
      <c r="Q279" s="17">
        <v>1971</v>
      </c>
      <c r="R279" s="17">
        <v>1960</v>
      </c>
      <c r="S279" s="17">
        <v>1680</v>
      </c>
      <c r="T279" s="17">
        <v>689</v>
      </c>
      <c r="U279" s="17">
        <v>4384</v>
      </c>
      <c r="V279" s="17">
        <v>4384</v>
      </c>
      <c r="W279" s="17">
        <v>4384</v>
      </c>
      <c r="X279" s="17">
        <v>4384</v>
      </c>
      <c r="Y279" s="17">
        <v>4384</v>
      </c>
      <c r="Z279" s="17">
        <v>4384</v>
      </c>
      <c r="AA279" s="17">
        <v>4384</v>
      </c>
      <c r="AB279" s="17">
        <v>4384</v>
      </c>
      <c r="AC279" s="17">
        <v>4384</v>
      </c>
      <c r="AD279" s="17">
        <v>4384</v>
      </c>
      <c r="AF279" s="6">
        <v>766859.67000000016</v>
      </c>
      <c r="AG279" s="6">
        <v>0</v>
      </c>
      <c r="AH279" s="6">
        <v>592195.32000000007</v>
      </c>
      <c r="AI279" s="6">
        <v>1262573.73</v>
      </c>
      <c r="AJ279" s="6">
        <v>364299.93000000005</v>
      </c>
      <c r="AK279" s="6">
        <v>362266.80000000005</v>
      </c>
      <c r="AL279" s="6">
        <v>310514.40000000002</v>
      </c>
      <c r="AM279" s="6">
        <v>127347.87000000001</v>
      </c>
      <c r="AN279" s="6">
        <v>810294.72000000009</v>
      </c>
      <c r="AO279" s="6">
        <v>810294.72000000009</v>
      </c>
      <c r="AP279" s="6">
        <v>810294.72000000009</v>
      </c>
      <c r="AQ279" s="6">
        <v>810294.72000000009</v>
      </c>
      <c r="AR279" s="6">
        <v>810294.72000000009</v>
      </c>
      <c r="AS279" s="6">
        <v>810294.72000000009</v>
      </c>
      <c r="AT279" s="6">
        <v>810294.72000000009</v>
      </c>
      <c r="AU279" s="6">
        <v>810294.72000000009</v>
      </c>
      <c r="AV279" s="6">
        <v>810294.72000000009</v>
      </c>
      <c r="AW279" s="6">
        <v>810294.72000000009</v>
      </c>
      <c r="AX279" s="50"/>
      <c r="AY279" s="52"/>
      <c r="AZ279" s="52"/>
      <c r="BA279" s="52"/>
      <c r="BB279" s="52"/>
      <c r="BC279" s="52"/>
      <c r="BD279" s="52"/>
      <c r="BE279" s="52"/>
      <c r="BF279" s="52"/>
      <c r="BG279" s="52"/>
      <c r="BH279" s="52"/>
      <c r="BI279" s="52"/>
      <c r="BJ279" s="52"/>
      <c r="BK279" s="52"/>
      <c r="BL279" s="52"/>
      <c r="BM279" s="52"/>
      <c r="BN279" s="52"/>
      <c r="BO279" s="52"/>
      <c r="BP279" s="52"/>
      <c r="BQ279" s="52"/>
      <c r="BR279" s="52"/>
      <c r="BS279" s="52"/>
      <c r="BT279" s="52"/>
      <c r="BU279" s="52"/>
      <c r="BV279" s="52"/>
      <c r="BW279" s="52"/>
      <c r="BX279" s="52"/>
      <c r="BY279" s="52"/>
      <c r="BZ279" s="52"/>
      <c r="CA279" s="52"/>
      <c r="CB279" s="52"/>
      <c r="CC279" s="52"/>
      <c r="CD279" s="52"/>
      <c r="CE279" s="52"/>
      <c r="CF279" s="52"/>
      <c r="CG279" s="52"/>
      <c r="CH279" s="52"/>
      <c r="CI279" s="76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2"/>
      <c r="CV279" s="51"/>
      <c r="CW279" s="51"/>
      <c r="CX279" s="51"/>
      <c r="CY279" s="51"/>
      <c r="CZ279" s="51"/>
      <c r="DA279" s="51"/>
      <c r="DB279" s="51"/>
      <c r="DC279" s="51"/>
      <c r="DD279" s="51"/>
      <c r="DE279" s="51"/>
      <c r="DF279" s="51"/>
      <c r="DG279" s="51"/>
      <c r="DH279" s="51"/>
      <c r="DI279" s="51"/>
      <c r="DJ279" s="51"/>
      <c r="DK279" s="51"/>
      <c r="DL279" s="51"/>
      <c r="DM279" s="51"/>
      <c r="DN279" s="51"/>
      <c r="DO279" s="51"/>
    </row>
    <row r="280" spans="1:119" hidden="1" x14ac:dyDescent="0.3">
      <c r="A280" t="s">
        <v>7</v>
      </c>
      <c r="B280" s="4" t="s">
        <v>432</v>
      </c>
      <c r="C280" s="4" t="s">
        <v>572</v>
      </c>
      <c r="D280" s="4" t="s">
        <v>584</v>
      </c>
      <c r="E280" s="4" t="s">
        <v>583</v>
      </c>
      <c r="F280" s="12">
        <v>3.14</v>
      </c>
      <c r="G280" s="34">
        <f t="shared" si="25"/>
        <v>85938.66</v>
      </c>
      <c r="H280" s="28">
        <f t="shared" si="26"/>
        <v>27369</v>
      </c>
      <c r="I280" s="28">
        <f t="shared" si="27"/>
        <v>2281</v>
      </c>
      <c r="J280" s="26">
        <f t="shared" si="28"/>
        <v>68828.800000000003</v>
      </c>
      <c r="K280" s="24">
        <f t="shared" si="29"/>
        <v>21920</v>
      </c>
      <c r="L280" s="31">
        <f t="shared" si="30"/>
        <v>4384</v>
      </c>
      <c r="M280" s="9">
        <v>0</v>
      </c>
      <c r="N280" s="9">
        <v>0</v>
      </c>
      <c r="O280" s="9">
        <v>0</v>
      </c>
      <c r="P280" s="9">
        <v>224</v>
      </c>
      <c r="Q280" s="9">
        <v>896</v>
      </c>
      <c r="R280" s="9">
        <v>1960</v>
      </c>
      <c r="S280" s="9">
        <v>1680</v>
      </c>
      <c r="T280" s="9">
        <v>689</v>
      </c>
      <c r="U280" s="9">
        <v>4384</v>
      </c>
      <c r="V280" s="9">
        <v>4384</v>
      </c>
      <c r="W280" s="9">
        <v>4384</v>
      </c>
      <c r="X280" s="9">
        <v>4384</v>
      </c>
      <c r="Y280" s="9">
        <v>4384</v>
      </c>
      <c r="Z280" s="9">
        <v>4384</v>
      </c>
      <c r="AA280" s="9">
        <v>4384</v>
      </c>
      <c r="AB280" s="9">
        <v>4384</v>
      </c>
      <c r="AC280" s="9">
        <v>4384</v>
      </c>
      <c r="AD280" s="9">
        <v>4384</v>
      </c>
      <c r="AF280" s="6">
        <v>0</v>
      </c>
      <c r="AG280" s="6">
        <v>0</v>
      </c>
      <c r="AH280" s="6">
        <v>0</v>
      </c>
      <c r="AI280" s="6">
        <v>703.36</v>
      </c>
      <c r="AJ280" s="6">
        <v>2813.44</v>
      </c>
      <c r="AK280" s="6">
        <v>6154.4000000000005</v>
      </c>
      <c r="AL280" s="6">
        <v>5275.2</v>
      </c>
      <c r="AM280" s="6">
        <v>2163.46</v>
      </c>
      <c r="AN280" s="6">
        <v>13765.76</v>
      </c>
      <c r="AO280" s="6">
        <v>13765.76</v>
      </c>
      <c r="AP280" s="6">
        <v>13765.76</v>
      </c>
      <c r="AQ280" s="6">
        <v>13765.76</v>
      </c>
      <c r="AR280" s="6">
        <v>13765.76</v>
      </c>
      <c r="AS280" s="6">
        <v>13765.76</v>
      </c>
      <c r="AT280" s="6">
        <v>13765.76</v>
      </c>
      <c r="AU280" s="6">
        <v>13765.76</v>
      </c>
      <c r="AV280" s="6">
        <v>13765.76</v>
      </c>
      <c r="AW280" s="6">
        <v>13765.76</v>
      </c>
      <c r="AX280" s="50"/>
      <c r="AY280" s="52"/>
      <c r="AZ280" s="52"/>
      <c r="BA280" s="52"/>
      <c r="BB280" s="52"/>
      <c r="BC280" s="52"/>
      <c r="BD280" s="52"/>
      <c r="BE280" s="52"/>
      <c r="BF280" s="52"/>
      <c r="BG280" s="52"/>
      <c r="BH280" s="52"/>
      <c r="BI280" s="52"/>
      <c r="BJ280" s="52"/>
      <c r="BK280" s="52"/>
      <c r="BL280" s="52"/>
      <c r="BM280" s="52"/>
      <c r="BN280" s="52"/>
      <c r="BO280" s="52"/>
      <c r="BP280" s="52"/>
      <c r="BQ280" s="52"/>
      <c r="BR280" s="52"/>
      <c r="BS280" s="52"/>
      <c r="BT280" s="52"/>
      <c r="BU280" s="52"/>
      <c r="BV280" s="52"/>
      <c r="BW280" s="52"/>
      <c r="BX280" s="52"/>
      <c r="BY280" s="52"/>
      <c r="BZ280" s="52"/>
      <c r="CA280" s="52"/>
      <c r="CB280" s="52"/>
      <c r="CC280" s="52"/>
      <c r="CD280" s="52"/>
      <c r="CE280" s="52"/>
      <c r="CF280" s="52"/>
      <c r="CG280" s="52"/>
      <c r="CH280" s="52"/>
      <c r="CI280" s="76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2"/>
      <c r="CV280" s="51"/>
      <c r="CW280" s="51"/>
      <c r="CX280" s="51"/>
      <c r="CY280" s="51"/>
      <c r="CZ280" s="51"/>
      <c r="DA280" s="51"/>
      <c r="DB280" s="51"/>
      <c r="DC280" s="51"/>
      <c r="DD280" s="51"/>
      <c r="DE280" s="51"/>
      <c r="DF280" s="51"/>
      <c r="DG280" s="51"/>
      <c r="DH280" s="51"/>
      <c r="DI280" s="51"/>
      <c r="DJ280" s="51"/>
      <c r="DK280" s="51"/>
      <c r="DL280" s="51"/>
      <c r="DM280" s="51"/>
      <c r="DN280" s="51"/>
      <c r="DO280" s="51"/>
    </row>
    <row r="281" spans="1:119" hidden="1" x14ac:dyDescent="0.3">
      <c r="A281" t="s">
        <v>7</v>
      </c>
      <c r="B281" s="4" t="s">
        <v>432</v>
      </c>
      <c r="C281" s="4" t="s">
        <v>572</v>
      </c>
      <c r="D281" s="4" t="s">
        <v>585</v>
      </c>
      <c r="E281" s="4" t="s">
        <v>586</v>
      </c>
      <c r="F281" s="12">
        <v>3.14</v>
      </c>
      <c r="G281" s="34">
        <f t="shared" si="25"/>
        <v>85938.66</v>
      </c>
      <c r="H281" s="28">
        <f t="shared" si="26"/>
        <v>27369</v>
      </c>
      <c r="I281" s="28">
        <f t="shared" si="27"/>
        <v>2281</v>
      </c>
      <c r="J281" s="26">
        <f t="shared" si="28"/>
        <v>68828.800000000003</v>
      </c>
      <c r="K281" s="24">
        <f t="shared" si="29"/>
        <v>21920</v>
      </c>
      <c r="L281" s="31">
        <f t="shared" si="30"/>
        <v>4384</v>
      </c>
      <c r="M281" s="9">
        <v>0</v>
      </c>
      <c r="N281" s="9">
        <v>0</v>
      </c>
      <c r="O281" s="9">
        <v>0</v>
      </c>
      <c r="P281" s="9">
        <v>224</v>
      </c>
      <c r="Q281" s="9">
        <v>896</v>
      </c>
      <c r="R281" s="9">
        <v>1960</v>
      </c>
      <c r="S281" s="9">
        <v>1680</v>
      </c>
      <c r="T281" s="9">
        <v>689</v>
      </c>
      <c r="U281" s="9">
        <v>4384</v>
      </c>
      <c r="V281" s="9">
        <v>4384</v>
      </c>
      <c r="W281" s="9">
        <v>4384</v>
      </c>
      <c r="X281" s="9">
        <v>4384</v>
      </c>
      <c r="Y281" s="9">
        <v>4384</v>
      </c>
      <c r="Z281" s="9">
        <v>4384</v>
      </c>
      <c r="AA281" s="9">
        <v>4384</v>
      </c>
      <c r="AB281" s="9">
        <v>4384</v>
      </c>
      <c r="AC281" s="9">
        <v>4384</v>
      </c>
      <c r="AD281" s="9">
        <v>4384</v>
      </c>
      <c r="AF281" s="6">
        <v>0</v>
      </c>
      <c r="AG281" s="6">
        <v>0</v>
      </c>
      <c r="AH281" s="6">
        <v>0</v>
      </c>
      <c r="AI281" s="6">
        <v>703.36</v>
      </c>
      <c r="AJ281" s="6">
        <v>2813.44</v>
      </c>
      <c r="AK281" s="6">
        <v>6154.4000000000005</v>
      </c>
      <c r="AL281" s="6">
        <v>5275.2</v>
      </c>
      <c r="AM281" s="6">
        <v>2163.46</v>
      </c>
      <c r="AN281" s="6">
        <v>13765.76</v>
      </c>
      <c r="AO281" s="6">
        <v>13765.76</v>
      </c>
      <c r="AP281" s="6">
        <v>13765.76</v>
      </c>
      <c r="AQ281" s="6">
        <v>13765.76</v>
      </c>
      <c r="AR281" s="6">
        <v>13765.76</v>
      </c>
      <c r="AS281" s="6">
        <v>13765.76</v>
      </c>
      <c r="AT281" s="6">
        <v>13765.76</v>
      </c>
      <c r="AU281" s="6">
        <v>13765.76</v>
      </c>
      <c r="AV281" s="6">
        <v>13765.76</v>
      </c>
      <c r="AW281" s="6">
        <v>13765.76</v>
      </c>
      <c r="AX281" s="50"/>
      <c r="AY281" s="52"/>
      <c r="AZ281" s="52"/>
      <c r="BA281" s="52"/>
      <c r="BB281" s="52"/>
      <c r="BC281" s="52"/>
      <c r="BD281" s="52"/>
      <c r="BE281" s="52"/>
      <c r="BF281" s="52"/>
      <c r="BG281" s="52"/>
      <c r="BH281" s="52"/>
      <c r="BI281" s="52"/>
      <c r="BJ281" s="52"/>
      <c r="BK281" s="52"/>
      <c r="BL281" s="52"/>
      <c r="BM281" s="52"/>
      <c r="BN281" s="52"/>
      <c r="BO281" s="52"/>
      <c r="BP281" s="52"/>
      <c r="BQ281" s="52"/>
      <c r="BR281" s="52"/>
      <c r="BS281" s="52"/>
      <c r="BT281" s="52"/>
      <c r="BU281" s="52"/>
      <c r="BV281" s="52"/>
      <c r="BW281" s="52"/>
      <c r="BX281" s="52"/>
      <c r="BY281" s="52"/>
      <c r="BZ281" s="52"/>
      <c r="CA281" s="52"/>
      <c r="CB281" s="52"/>
      <c r="CC281" s="52"/>
      <c r="CD281" s="52"/>
      <c r="CE281" s="52"/>
      <c r="CF281" s="52"/>
      <c r="CG281" s="52"/>
      <c r="CH281" s="52"/>
      <c r="CI281" s="76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1"/>
      <c r="CW281" s="51"/>
      <c r="CX281" s="51"/>
      <c r="CY281" s="51"/>
      <c r="CZ281" s="51"/>
      <c r="DA281" s="51"/>
      <c r="DB281" s="51"/>
      <c r="DC281" s="51"/>
      <c r="DD281" s="51"/>
      <c r="DE281" s="51"/>
      <c r="DF281" s="51"/>
      <c r="DG281" s="51"/>
      <c r="DH281" s="51"/>
      <c r="DI281" s="51"/>
      <c r="DJ281" s="51"/>
      <c r="DK281" s="51"/>
      <c r="DL281" s="51"/>
      <c r="DM281" s="51"/>
      <c r="DN281" s="51"/>
      <c r="DO281" s="51"/>
    </row>
    <row r="282" spans="1:119" hidden="1" x14ac:dyDescent="0.3">
      <c r="A282" t="s">
        <v>7</v>
      </c>
      <c r="B282" s="4" t="s">
        <v>432</v>
      </c>
      <c r="C282" s="4" t="s">
        <v>572</v>
      </c>
      <c r="D282" s="4" t="s">
        <v>587</v>
      </c>
      <c r="E282" s="4" t="s">
        <v>588</v>
      </c>
      <c r="F282" s="12">
        <v>12.92</v>
      </c>
      <c r="G282" s="34">
        <f t="shared" si="25"/>
        <v>0</v>
      </c>
      <c r="H282" s="28">
        <f t="shared" si="26"/>
        <v>0</v>
      </c>
      <c r="I282" s="28">
        <f t="shared" si="27"/>
        <v>0</v>
      </c>
      <c r="J282" s="26">
        <f t="shared" si="28"/>
        <v>0</v>
      </c>
      <c r="K282" s="24">
        <f t="shared" si="29"/>
        <v>0</v>
      </c>
      <c r="L282" s="31">
        <f t="shared" si="30"/>
        <v>0</v>
      </c>
      <c r="M282" s="9">
        <v>4800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F282" s="6">
        <v>62016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4"/>
      <c r="AY282" s="4"/>
      <c r="CI282" s="74" t="e">
        <v>#N/A</v>
      </c>
    </row>
    <row r="283" spans="1:119" hidden="1" x14ac:dyDescent="0.3">
      <c r="A283" t="s">
        <v>7</v>
      </c>
      <c r="B283" s="4" t="s">
        <v>432</v>
      </c>
      <c r="C283" s="4" t="s">
        <v>572</v>
      </c>
      <c r="D283" s="4" t="s">
        <v>589</v>
      </c>
      <c r="E283" s="4" t="s">
        <v>590</v>
      </c>
      <c r="F283" s="12">
        <v>158.38</v>
      </c>
      <c r="G283" s="34">
        <f t="shared" si="25"/>
        <v>9604163.1999999993</v>
      </c>
      <c r="H283" s="28">
        <f t="shared" si="26"/>
        <v>60640</v>
      </c>
      <c r="I283" s="28">
        <f t="shared" si="27"/>
        <v>5054</v>
      </c>
      <c r="J283" s="26">
        <f t="shared" si="28"/>
        <v>0</v>
      </c>
      <c r="K283" s="24">
        <f t="shared" si="29"/>
        <v>0</v>
      </c>
      <c r="L283" s="31">
        <f t="shared" si="30"/>
        <v>0</v>
      </c>
      <c r="M283" s="9">
        <v>12160</v>
      </c>
      <c r="N283" s="9">
        <v>15200</v>
      </c>
      <c r="O283" s="9">
        <v>12160</v>
      </c>
      <c r="P283" s="9">
        <v>9120</v>
      </c>
      <c r="Q283" s="9">
        <v>12160</v>
      </c>
      <c r="R283" s="9">
        <v>12000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F283" s="6">
        <v>1925900.8</v>
      </c>
      <c r="AG283" s="6">
        <v>2407376</v>
      </c>
      <c r="AH283" s="6">
        <v>1925900.8</v>
      </c>
      <c r="AI283" s="6">
        <v>1444425.6</v>
      </c>
      <c r="AJ283" s="6">
        <v>1925900.8</v>
      </c>
      <c r="AK283" s="6">
        <v>1900560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50"/>
      <c r="AY283" s="52"/>
      <c r="AZ283" s="52"/>
      <c r="BA283" s="52"/>
      <c r="BB283" s="52"/>
      <c r="BC283" s="52"/>
      <c r="BD283" s="52"/>
      <c r="BE283" s="52"/>
      <c r="BF283" s="52"/>
      <c r="BG283" s="52"/>
      <c r="BH283" s="52"/>
      <c r="BI283" s="52"/>
      <c r="BJ283" s="52"/>
      <c r="BK283" s="52"/>
      <c r="BL283" s="52"/>
      <c r="BM283" s="52"/>
      <c r="BN283" s="52"/>
      <c r="BO283" s="52"/>
      <c r="BP283" s="52"/>
      <c r="BQ283" s="52"/>
      <c r="BR283" s="52"/>
      <c r="BS283" s="52"/>
      <c r="BT283" s="52"/>
      <c r="BU283" s="52"/>
      <c r="BV283" s="52"/>
      <c r="BW283" s="52"/>
      <c r="BX283" s="52"/>
      <c r="BY283" s="52"/>
      <c r="BZ283" s="52"/>
      <c r="CA283" s="52"/>
      <c r="CB283" s="52"/>
      <c r="CC283" s="52"/>
      <c r="CD283" s="52"/>
      <c r="CE283" s="52"/>
      <c r="CF283" s="52"/>
      <c r="CG283" s="52"/>
      <c r="CH283" s="52"/>
      <c r="CI283" s="76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2"/>
      <c r="CV283" s="51"/>
      <c r="CW283" s="51"/>
      <c r="CX283" s="51"/>
      <c r="CY283" s="51"/>
      <c r="CZ283" s="51"/>
      <c r="DA283" s="51"/>
      <c r="DB283" s="51"/>
      <c r="DC283" s="51"/>
      <c r="DD283" s="51"/>
      <c r="DE283" s="51"/>
      <c r="DF283" s="51"/>
      <c r="DG283" s="51"/>
      <c r="DH283" s="51"/>
      <c r="DI283" s="51"/>
      <c r="DJ283" s="51"/>
      <c r="DK283" s="51"/>
      <c r="DL283" s="51"/>
      <c r="DM283" s="51"/>
      <c r="DN283" s="51"/>
      <c r="DO283" s="51"/>
    </row>
    <row r="284" spans="1:119" hidden="1" x14ac:dyDescent="0.3">
      <c r="A284" t="s">
        <v>591</v>
      </c>
      <c r="B284" s="4" t="s">
        <v>592</v>
      </c>
      <c r="C284" s="4" t="s">
        <v>593</v>
      </c>
      <c r="D284" s="4" t="s">
        <v>594</v>
      </c>
      <c r="E284" s="4" t="s">
        <v>595</v>
      </c>
      <c r="F284" s="12">
        <v>1.39</v>
      </c>
      <c r="G284" s="34">
        <f t="shared" si="25"/>
        <v>122097.59999999999</v>
      </c>
      <c r="H284" s="28">
        <f t="shared" si="26"/>
        <v>87840</v>
      </c>
      <c r="I284" s="28">
        <f t="shared" si="27"/>
        <v>7320</v>
      </c>
      <c r="J284" s="26">
        <f t="shared" si="28"/>
        <v>76311</v>
      </c>
      <c r="K284" s="24">
        <f t="shared" si="29"/>
        <v>54900</v>
      </c>
      <c r="L284" s="31">
        <f t="shared" si="30"/>
        <v>10980</v>
      </c>
      <c r="M284" s="9">
        <v>0</v>
      </c>
      <c r="N284" s="9">
        <v>0</v>
      </c>
      <c r="O284" s="9">
        <v>0</v>
      </c>
      <c r="P284" s="9">
        <v>0</v>
      </c>
      <c r="Q284" s="9">
        <v>10980</v>
      </c>
      <c r="R284" s="9">
        <v>0</v>
      </c>
      <c r="S284" s="9">
        <v>10980</v>
      </c>
      <c r="T284" s="9">
        <v>10980</v>
      </c>
      <c r="U284" s="9">
        <v>10980</v>
      </c>
      <c r="V284" s="9">
        <v>10980</v>
      </c>
      <c r="W284" s="9">
        <v>10980</v>
      </c>
      <c r="X284" s="9">
        <v>10980</v>
      </c>
      <c r="Y284" s="9">
        <v>10980</v>
      </c>
      <c r="Z284" s="9">
        <v>10980</v>
      </c>
      <c r="AA284" s="9">
        <v>10980</v>
      </c>
      <c r="AB284" s="9">
        <v>10980</v>
      </c>
      <c r="AC284" s="9">
        <v>10980</v>
      </c>
      <c r="AD284" s="9">
        <v>10980</v>
      </c>
      <c r="AE284" s="4"/>
      <c r="AF284" s="6">
        <v>0</v>
      </c>
      <c r="AG284" s="6">
        <v>0</v>
      </c>
      <c r="AH284" s="6">
        <v>0</v>
      </c>
      <c r="AI284" s="6">
        <v>0</v>
      </c>
      <c r="AJ284" s="6">
        <v>15262.199999999999</v>
      </c>
      <c r="AK284" s="6">
        <v>0</v>
      </c>
      <c r="AL284" s="6">
        <v>15262.199999999999</v>
      </c>
      <c r="AM284" s="6">
        <v>15262.199999999999</v>
      </c>
      <c r="AN284" s="6">
        <v>15262.199999999999</v>
      </c>
      <c r="AO284" s="6">
        <v>15262.199999999999</v>
      </c>
      <c r="AP284" s="6">
        <v>15262.199999999999</v>
      </c>
      <c r="AQ284" s="6">
        <v>15262.199999999999</v>
      </c>
      <c r="AR284" s="6">
        <v>15262.199999999999</v>
      </c>
      <c r="AS284" s="6">
        <v>15262.199999999999</v>
      </c>
      <c r="AT284" s="6">
        <v>15262.199999999999</v>
      </c>
      <c r="AU284" s="6">
        <v>15262.199999999999</v>
      </c>
      <c r="AV284" s="6">
        <v>15262.199999999999</v>
      </c>
      <c r="AW284" s="6">
        <v>15262.199999999999</v>
      </c>
      <c r="AX284" s="50"/>
      <c r="AY284" s="52"/>
      <c r="AZ284" s="52"/>
      <c r="BA284" s="52"/>
      <c r="BB284" s="52"/>
      <c r="BC284" s="52"/>
      <c r="BD284" s="52"/>
      <c r="BE284" s="52"/>
      <c r="BF284" s="52"/>
      <c r="BG284" s="52"/>
      <c r="BH284" s="52"/>
      <c r="BI284" s="52"/>
      <c r="BJ284" s="52"/>
      <c r="BK284" s="52"/>
      <c r="BL284" s="52"/>
      <c r="BM284" s="52"/>
      <c r="BN284" s="52"/>
      <c r="BO284" s="52"/>
      <c r="BP284" s="52"/>
      <c r="BQ284" s="52"/>
      <c r="BR284" s="52"/>
      <c r="BS284" s="52"/>
      <c r="BT284" s="52"/>
      <c r="BU284" s="52"/>
      <c r="BV284" s="52"/>
      <c r="BW284" s="52"/>
      <c r="BX284" s="52"/>
      <c r="BY284" s="52"/>
      <c r="BZ284" s="52"/>
      <c r="CA284" s="52"/>
      <c r="CB284" s="52"/>
      <c r="CC284" s="52"/>
      <c r="CD284" s="52"/>
      <c r="CE284" s="52"/>
      <c r="CF284" s="52"/>
      <c r="CG284" s="52"/>
      <c r="CH284" s="52"/>
      <c r="CI284" s="76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  <c r="DA284" s="52"/>
      <c r="DB284" s="52"/>
      <c r="DC284" s="52"/>
      <c r="DD284" s="52"/>
      <c r="DE284" s="52"/>
      <c r="DF284" s="52"/>
      <c r="DG284" s="52"/>
      <c r="DH284" s="52"/>
      <c r="DI284" s="52"/>
      <c r="DJ284" s="52"/>
      <c r="DK284" s="52"/>
      <c r="DL284" s="52"/>
      <c r="DM284" s="52"/>
      <c r="DN284" s="52"/>
      <c r="DO284" s="52"/>
    </row>
    <row r="285" spans="1:119" hidden="1" x14ac:dyDescent="0.3">
      <c r="A285" t="s">
        <v>591</v>
      </c>
      <c r="B285" s="4" t="s">
        <v>592</v>
      </c>
      <c r="C285" s="4" t="s">
        <v>593</v>
      </c>
      <c r="D285" s="4" t="s">
        <v>596</v>
      </c>
      <c r="E285" s="4" t="s">
        <v>597</v>
      </c>
      <c r="F285" s="12">
        <v>1.51</v>
      </c>
      <c r="G285" s="34">
        <f t="shared" si="25"/>
        <v>767659.84</v>
      </c>
      <c r="H285" s="28">
        <f t="shared" si="26"/>
        <v>508384</v>
      </c>
      <c r="I285" s="28">
        <f t="shared" si="27"/>
        <v>42366</v>
      </c>
      <c r="J285" s="26">
        <f t="shared" si="28"/>
        <v>328145.65000000002</v>
      </c>
      <c r="K285" s="24">
        <f t="shared" si="29"/>
        <v>217315</v>
      </c>
      <c r="L285" s="31">
        <f t="shared" si="30"/>
        <v>43463</v>
      </c>
      <c r="M285" s="9">
        <v>0</v>
      </c>
      <c r="N285" s="9">
        <v>46800</v>
      </c>
      <c r="O285" s="9">
        <v>48000</v>
      </c>
      <c r="P285" s="9">
        <v>27450</v>
      </c>
      <c r="Q285" s="9">
        <v>38430</v>
      </c>
      <c r="R285" s="9">
        <v>43463</v>
      </c>
      <c r="S285" s="9">
        <v>43463</v>
      </c>
      <c r="T285" s="9">
        <v>43463</v>
      </c>
      <c r="U285" s="9">
        <v>43463</v>
      </c>
      <c r="V285" s="9">
        <v>43463</v>
      </c>
      <c r="W285" s="9">
        <v>43463</v>
      </c>
      <c r="X285" s="9">
        <v>43463</v>
      </c>
      <c r="Y285" s="9">
        <v>43463</v>
      </c>
      <c r="Z285" s="9">
        <v>43463</v>
      </c>
      <c r="AA285" s="9">
        <v>43463</v>
      </c>
      <c r="AB285" s="9">
        <v>43463</v>
      </c>
      <c r="AC285" s="9">
        <v>43463</v>
      </c>
      <c r="AD285" s="9">
        <v>43463</v>
      </c>
      <c r="AE285" s="4"/>
      <c r="AF285" s="6">
        <v>0</v>
      </c>
      <c r="AG285" s="6">
        <v>70668</v>
      </c>
      <c r="AH285" s="6">
        <v>72480</v>
      </c>
      <c r="AI285" s="6">
        <v>41449.5</v>
      </c>
      <c r="AJ285" s="6">
        <v>58029.3</v>
      </c>
      <c r="AK285" s="6">
        <v>65629.13</v>
      </c>
      <c r="AL285" s="6">
        <v>65629.13</v>
      </c>
      <c r="AM285" s="6">
        <v>65629.13</v>
      </c>
      <c r="AN285" s="6">
        <v>65629.13</v>
      </c>
      <c r="AO285" s="6">
        <v>65629.13</v>
      </c>
      <c r="AP285" s="6">
        <v>65629.13</v>
      </c>
      <c r="AQ285" s="6">
        <v>65629.13</v>
      </c>
      <c r="AR285" s="6">
        <v>65629.13</v>
      </c>
      <c r="AS285" s="6">
        <v>65629.13</v>
      </c>
      <c r="AT285" s="6">
        <v>65629.13</v>
      </c>
      <c r="AU285" s="6">
        <v>65629.13</v>
      </c>
      <c r="AV285" s="6">
        <v>65629.13</v>
      </c>
      <c r="AW285" s="6">
        <v>65629.13</v>
      </c>
      <c r="AX285" s="50"/>
      <c r="AY285" s="52"/>
      <c r="AZ285" s="52"/>
      <c r="BA285" s="52"/>
      <c r="BB285" s="52"/>
      <c r="BC285" s="52"/>
      <c r="BD285" s="52"/>
      <c r="BE285" s="52"/>
      <c r="BF285" s="52"/>
      <c r="BG285" s="52"/>
      <c r="BH285" s="52"/>
      <c r="BI285" s="52"/>
      <c r="BJ285" s="52"/>
      <c r="BK285" s="52"/>
      <c r="BL285" s="52"/>
      <c r="BM285" s="52"/>
      <c r="BN285" s="52"/>
      <c r="BO285" s="52"/>
      <c r="BP285" s="52"/>
      <c r="BQ285" s="52"/>
      <c r="BR285" s="52"/>
      <c r="BS285" s="52"/>
      <c r="BT285" s="52"/>
      <c r="BU285" s="52"/>
      <c r="BV285" s="52"/>
      <c r="BW285" s="52"/>
      <c r="BX285" s="52"/>
      <c r="BY285" s="52"/>
      <c r="BZ285" s="52"/>
      <c r="CA285" s="52"/>
      <c r="CB285" s="52"/>
      <c r="CC285" s="52"/>
      <c r="CD285" s="52"/>
      <c r="CE285" s="52"/>
      <c r="CF285" s="52"/>
      <c r="CG285" s="52"/>
      <c r="CH285" s="52"/>
      <c r="CI285" s="76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2"/>
      <c r="CV285" s="52"/>
      <c r="CW285" s="52"/>
      <c r="CX285" s="52"/>
      <c r="CY285" s="52"/>
      <c r="CZ285" s="52"/>
      <c r="DA285" s="52"/>
      <c r="DB285" s="52"/>
      <c r="DC285" s="52"/>
      <c r="DD285" s="52"/>
      <c r="DE285" s="52"/>
      <c r="DF285" s="52"/>
      <c r="DG285" s="52"/>
      <c r="DH285" s="52"/>
      <c r="DI285" s="52"/>
      <c r="DJ285" s="52"/>
      <c r="DK285" s="52"/>
      <c r="DL285" s="52"/>
      <c r="DM285" s="52"/>
      <c r="DN285" s="52"/>
      <c r="DO285" s="52"/>
    </row>
    <row r="286" spans="1:119" hidden="1" x14ac:dyDescent="0.3">
      <c r="A286" t="s">
        <v>591</v>
      </c>
      <c r="B286" s="4" t="s">
        <v>592</v>
      </c>
      <c r="C286" s="4" t="s">
        <v>593</v>
      </c>
      <c r="D286" s="4" t="s">
        <v>598</v>
      </c>
      <c r="E286" s="4" t="s">
        <v>599</v>
      </c>
      <c r="F286" s="12">
        <v>11.25</v>
      </c>
      <c r="G286" s="34">
        <f t="shared" si="25"/>
        <v>782325</v>
      </c>
      <c r="H286" s="28">
        <f t="shared" si="26"/>
        <v>69540</v>
      </c>
      <c r="I286" s="28">
        <f t="shared" si="27"/>
        <v>5795</v>
      </c>
      <c r="J286" s="26">
        <f t="shared" si="28"/>
        <v>360281.25</v>
      </c>
      <c r="K286" s="24">
        <f t="shared" si="29"/>
        <v>32025</v>
      </c>
      <c r="L286" s="31">
        <f t="shared" si="30"/>
        <v>6405</v>
      </c>
      <c r="M286" s="9">
        <v>0</v>
      </c>
      <c r="N286" s="9">
        <v>1830</v>
      </c>
      <c r="O286" s="9">
        <v>3660</v>
      </c>
      <c r="P286" s="9">
        <v>6405</v>
      </c>
      <c r="Q286" s="9">
        <v>6405</v>
      </c>
      <c r="R286" s="9">
        <v>6405</v>
      </c>
      <c r="S286" s="9">
        <v>6405</v>
      </c>
      <c r="T286" s="9">
        <v>6405</v>
      </c>
      <c r="U286" s="9">
        <v>6405</v>
      </c>
      <c r="V286" s="9">
        <v>6405</v>
      </c>
      <c r="W286" s="9">
        <v>6405</v>
      </c>
      <c r="X286" s="9">
        <v>6405</v>
      </c>
      <c r="Y286" s="9">
        <v>6405</v>
      </c>
      <c r="Z286" s="9">
        <v>6405</v>
      </c>
      <c r="AA286" s="9">
        <v>6405</v>
      </c>
      <c r="AB286" s="9">
        <v>6405</v>
      </c>
      <c r="AC286" s="9">
        <v>6405</v>
      </c>
      <c r="AD286" s="9">
        <v>6405</v>
      </c>
      <c r="AE286" s="4"/>
      <c r="AF286" s="6">
        <v>0</v>
      </c>
      <c r="AG286" s="6">
        <v>20587.5</v>
      </c>
      <c r="AH286" s="6">
        <v>41175</v>
      </c>
      <c r="AI286" s="6">
        <v>72056.25</v>
      </c>
      <c r="AJ286" s="6">
        <v>72056.25</v>
      </c>
      <c r="AK286" s="6">
        <v>72056.25</v>
      </c>
      <c r="AL286" s="6">
        <v>72056.25</v>
      </c>
      <c r="AM286" s="6">
        <v>72056.25</v>
      </c>
      <c r="AN286" s="6">
        <v>72056.25</v>
      </c>
      <c r="AO286" s="6">
        <v>72056.25</v>
      </c>
      <c r="AP286" s="6">
        <v>72056.25</v>
      </c>
      <c r="AQ286" s="6">
        <v>72056.25</v>
      </c>
      <c r="AR286" s="6">
        <v>72056.25</v>
      </c>
      <c r="AS286" s="6">
        <v>72056.25</v>
      </c>
      <c r="AT286" s="6">
        <v>72056.25</v>
      </c>
      <c r="AU286" s="6">
        <v>72056.25</v>
      </c>
      <c r="AV286" s="6">
        <v>72056.25</v>
      </c>
      <c r="AW286" s="6">
        <v>72056.25</v>
      </c>
      <c r="AX286" s="50"/>
      <c r="AY286" s="52"/>
      <c r="AZ286" s="52"/>
      <c r="BA286" s="52"/>
      <c r="BB286" s="52"/>
      <c r="BC286" s="52"/>
      <c r="BD286" s="52"/>
      <c r="BE286" s="52"/>
      <c r="BF286" s="52"/>
      <c r="BG286" s="52"/>
      <c r="BH286" s="52"/>
      <c r="BI286" s="52"/>
      <c r="BJ286" s="52"/>
      <c r="BK286" s="52"/>
      <c r="BL286" s="52"/>
      <c r="BM286" s="52"/>
      <c r="BN286" s="52"/>
      <c r="BO286" s="52"/>
      <c r="BP286" s="52"/>
      <c r="BQ286" s="52"/>
      <c r="BR286" s="52"/>
      <c r="BS286" s="52"/>
      <c r="BT286" s="52"/>
      <c r="BU286" s="52"/>
      <c r="BV286" s="52"/>
      <c r="BW286" s="52"/>
      <c r="BX286" s="52"/>
      <c r="BY286" s="52"/>
      <c r="BZ286" s="52"/>
      <c r="CA286" s="52"/>
      <c r="CB286" s="52"/>
      <c r="CC286" s="52"/>
      <c r="CD286" s="52"/>
      <c r="CE286" s="52"/>
      <c r="CF286" s="52"/>
      <c r="CG286" s="52"/>
      <c r="CH286" s="52"/>
      <c r="CI286" s="76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2"/>
      <c r="CV286" s="52"/>
      <c r="CW286" s="52"/>
      <c r="CX286" s="52"/>
      <c r="CY286" s="52"/>
      <c r="CZ286" s="52"/>
      <c r="DA286" s="52"/>
      <c r="DB286" s="52"/>
      <c r="DC286" s="52"/>
      <c r="DD286" s="52"/>
      <c r="DE286" s="52"/>
      <c r="DF286" s="52"/>
      <c r="DG286" s="52"/>
      <c r="DH286" s="52"/>
      <c r="DI286" s="52"/>
      <c r="DJ286" s="52"/>
      <c r="DK286" s="52"/>
      <c r="DL286" s="52"/>
      <c r="DM286" s="52"/>
      <c r="DN286" s="52"/>
      <c r="DO286" s="52"/>
    </row>
    <row r="287" spans="1:119" hidden="1" x14ac:dyDescent="0.3">
      <c r="A287" t="s">
        <v>591</v>
      </c>
      <c r="B287" s="4" t="s">
        <v>592</v>
      </c>
      <c r="C287" s="4" t="s">
        <v>593</v>
      </c>
      <c r="D287" s="4" t="s">
        <v>600</v>
      </c>
      <c r="E287" s="4" t="s">
        <v>601</v>
      </c>
      <c r="F287" s="12">
        <v>1.98</v>
      </c>
      <c r="G287" s="34">
        <f t="shared" si="25"/>
        <v>326113.91999999998</v>
      </c>
      <c r="H287" s="28">
        <f t="shared" si="26"/>
        <v>164704</v>
      </c>
      <c r="I287" s="28">
        <f t="shared" si="27"/>
        <v>13726</v>
      </c>
      <c r="J287" s="26">
        <f t="shared" si="28"/>
        <v>194762.7</v>
      </c>
      <c r="K287" s="24">
        <f t="shared" si="29"/>
        <v>98365</v>
      </c>
      <c r="L287" s="31">
        <f t="shared" si="30"/>
        <v>19673</v>
      </c>
      <c r="M287" s="9">
        <v>0</v>
      </c>
      <c r="N287" s="9">
        <v>0</v>
      </c>
      <c r="O287" s="9">
        <v>0</v>
      </c>
      <c r="P287" s="9">
        <v>0</v>
      </c>
      <c r="Q287" s="9">
        <v>7320</v>
      </c>
      <c r="R287" s="9">
        <v>19673</v>
      </c>
      <c r="S287" s="9">
        <v>19673</v>
      </c>
      <c r="T287" s="9">
        <v>19673</v>
      </c>
      <c r="U287" s="9">
        <v>19673</v>
      </c>
      <c r="V287" s="9">
        <v>19673</v>
      </c>
      <c r="W287" s="9">
        <v>19673</v>
      </c>
      <c r="X287" s="9">
        <v>19673</v>
      </c>
      <c r="Y287" s="9">
        <v>19673</v>
      </c>
      <c r="Z287" s="9">
        <v>19673</v>
      </c>
      <c r="AA287" s="9">
        <v>19673</v>
      </c>
      <c r="AB287" s="9">
        <v>19673</v>
      </c>
      <c r="AC287" s="9">
        <v>19673</v>
      </c>
      <c r="AD287" s="9">
        <v>19673</v>
      </c>
      <c r="AE287" s="4"/>
      <c r="AF287" s="6">
        <v>0</v>
      </c>
      <c r="AG287" s="6">
        <v>0</v>
      </c>
      <c r="AH287" s="6">
        <v>0</v>
      </c>
      <c r="AI287" s="6">
        <v>0</v>
      </c>
      <c r="AJ287" s="6">
        <v>14493.6</v>
      </c>
      <c r="AK287" s="6">
        <v>38952.54</v>
      </c>
      <c r="AL287" s="6">
        <v>38952.54</v>
      </c>
      <c r="AM287" s="6">
        <v>38952.54</v>
      </c>
      <c r="AN287" s="6">
        <v>38952.54</v>
      </c>
      <c r="AO287" s="6">
        <v>38952.54</v>
      </c>
      <c r="AP287" s="6">
        <v>38952.54</v>
      </c>
      <c r="AQ287" s="6">
        <v>38952.54</v>
      </c>
      <c r="AR287" s="6">
        <v>38952.54</v>
      </c>
      <c r="AS287" s="6">
        <v>38952.54</v>
      </c>
      <c r="AT287" s="6">
        <v>38952.54</v>
      </c>
      <c r="AU287" s="6">
        <v>38952.54</v>
      </c>
      <c r="AV287" s="6">
        <v>38952.54</v>
      </c>
      <c r="AW287" s="6">
        <v>38952.54</v>
      </c>
      <c r="AX287" s="50"/>
      <c r="AY287" s="52"/>
      <c r="AZ287" s="52"/>
      <c r="BA287" s="52"/>
      <c r="BB287" s="52"/>
      <c r="BC287" s="52"/>
      <c r="BD287" s="52"/>
      <c r="BE287" s="52"/>
      <c r="BF287" s="52"/>
      <c r="BG287" s="52"/>
      <c r="BH287" s="52"/>
      <c r="BI287" s="52"/>
      <c r="BJ287" s="52"/>
      <c r="BK287" s="52"/>
      <c r="BL287" s="52"/>
      <c r="BM287" s="52"/>
      <c r="BN287" s="52"/>
      <c r="BO287" s="52"/>
      <c r="BP287" s="52"/>
      <c r="BQ287" s="52"/>
      <c r="BR287" s="52"/>
      <c r="BS287" s="52"/>
      <c r="BT287" s="52"/>
      <c r="BU287" s="52"/>
      <c r="BV287" s="52"/>
      <c r="BW287" s="52"/>
      <c r="BX287" s="52"/>
      <c r="BY287" s="52"/>
      <c r="BZ287" s="52"/>
      <c r="CA287" s="52"/>
      <c r="CB287" s="52"/>
      <c r="CC287" s="52"/>
      <c r="CD287" s="52"/>
      <c r="CE287" s="52"/>
      <c r="CF287" s="52"/>
      <c r="CG287" s="52"/>
      <c r="CH287" s="52"/>
      <c r="CI287" s="76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  <c r="DA287" s="52"/>
      <c r="DB287" s="52"/>
      <c r="DC287" s="52"/>
      <c r="DD287" s="52"/>
      <c r="DE287" s="52"/>
      <c r="DF287" s="52"/>
      <c r="DG287" s="52"/>
      <c r="DH287" s="52"/>
      <c r="DI287" s="52"/>
      <c r="DJ287" s="52"/>
      <c r="DK287" s="52"/>
      <c r="DL287" s="52"/>
      <c r="DM287" s="52"/>
      <c r="DN287" s="52"/>
      <c r="DO287" s="52"/>
    </row>
    <row r="288" spans="1:119" hidden="1" x14ac:dyDescent="0.3">
      <c r="A288" t="s">
        <v>591</v>
      </c>
      <c r="B288" s="4" t="s">
        <v>592</v>
      </c>
      <c r="C288" s="4" t="s">
        <v>593</v>
      </c>
      <c r="D288" s="4" t="s">
        <v>602</v>
      </c>
      <c r="E288" s="4" t="s">
        <v>603</v>
      </c>
      <c r="F288" s="12">
        <v>1.95</v>
      </c>
      <c r="G288" s="34">
        <f t="shared" si="25"/>
        <v>0</v>
      </c>
      <c r="H288" s="28">
        <f t="shared" si="26"/>
        <v>0</v>
      </c>
      <c r="I288" s="28">
        <f t="shared" si="27"/>
        <v>0</v>
      </c>
      <c r="J288" s="26">
        <f t="shared" si="28"/>
        <v>0</v>
      </c>
      <c r="K288" s="24">
        <f t="shared" si="29"/>
        <v>0</v>
      </c>
      <c r="L288" s="31">
        <f t="shared" si="30"/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4"/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/>
      <c r="CI288" s="74" t="e">
        <v>#N/A</v>
      </c>
    </row>
    <row r="289" spans="1:119" hidden="1" x14ac:dyDescent="0.3">
      <c r="A289" t="s">
        <v>591</v>
      </c>
      <c r="B289" s="4" t="s">
        <v>592</v>
      </c>
      <c r="C289" s="4" t="s">
        <v>593</v>
      </c>
      <c r="D289" s="4" t="s">
        <v>604</v>
      </c>
      <c r="E289" s="4" t="s">
        <v>605</v>
      </c>
      <c r="F289" s="12">
        <v>1.88</v>
      </c>
      <c r="G289" s="34">
        <f t="shared" si="25"/>
        <v>0</v>
      </c>
      <c r="H289" s="28">
        <f t="shared" si="26"/>
        <v>0</v>
      </c>
      <c r="I289" s="28">
        <f t="shared" si="27"/>
        <v>0</v>
      </c>
      <c r="J289" s="26">
        <f t="shared" si="28"/>
        <v>0</v>
      </c>
      <c r="K289" s="24">
        <f t="shared" si="29"/>
        <v>0</v>
      </c>
      <c r="L289" s="31">
        <f t="shared" si="30"/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4"/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/>
      <c r="CI289" s="74" t="e">
        <v>#N/A</v>
      </c>
    </row>
    <row r="290" spans="1:119" hidden="1" x14ac:dyDescent="0.3">
      <c r="A290" t="s">
        <v>591</v>
      </c>
      <c r="B290" s="4" t="s">
        <v>592</v>
      </c>
      <c r="C290" s="4" t="s">
        <v>593</v>
      </c>
      <c r="D290" s="4" t="s">
        <v>606</v>
      </c>
      <c r="E290" s="4" t="s">
        <v>607</v>
      </c>
      <c r="F290" s="12">
        <v>5.94</v>
      </c>
      <c r="G290" s="34">
        <f t="shared" si="25"/>
        <v>253822.14</v>
      </c>
      <c r="H290" s="28">
        <f t="shared" si="26"/>
        <v>42731</v>
      </c>
      <c r="I290" s="28">
        <f t="shared" si="27"/>
        <v>3561</v>
      </c>
      <c r="J290" s="26">
        <f t="shared" si="28"/>
        <v>135877.5</v>
      </c>
      <c r="K290" s="24">
        <f t="shared" si="29"/>
        <v>22875</v>
      </c>
      <c r="L290" s="31">
        <f t="shared" si="30"/>
        <v>4575</v>
      </c>
      <c r="M290" s="9">
        <v>0</v>
      </c>
      <c r="N290" s="9">
        <v>0</v>
      </c>
      <c r="O290" s="9">
        <v>0</v>
      </c>
      <c r="P290" s="9">
        <v>0</v>
      </c>
      <c r="Q290" s="9">
        <v>5490</v>
      </c>
      <c r="R290" s="9">
        <v>5216</v>
      </c>
      <c r="S290" s="9">
        <v>4575</v>
      </c>
      <c r="T290" s="9">
        <v>4575</v>
      </c>
      <c r="U290" s="9">
        <v>4575</v>
      </c>
      <c r="V290" s="9">
        <v>4575</v>
      </c>
      <c r="W290" s="9">
        <v>4575</v>
      </c>
      <c r="X290" s="9">
        <v>4575</v>
      </c>
      <c r="Y290" s="9">
        <v>4575</v>
      </c>
      <c r="Z290" s="9">
        <v>4575</v>
      </c>
      <c r="AA290" s="9">
        <v>4575</v>
      </c>
      <c r="AB290" s="9">
        <v>4575</v>
      </c>
      <c r="AC290" s="9">
        <v>4575</v>
      </c>
      <c r="AD290" s="9">
        <v>4575</v>
      </c>
      <c r="AE290" s="4"/>
      <c r="AF290" s="6">
        <v>0</v>
      </c>
      <c r="AG290" s="6">
        <v>0</v>
      </c>
      <c r="AH290" s="6">
        <v>0</v>
      </c>
      <c r="AI290" s="6">
        <v>0</v>
      </c>
      <c r="AJ290" s="6">
        <v>32610.600000000002</v>
      </c>
      <c r="AK290" s="6">
        <v>30983.040000000001</v>
      </c>
      <c r="AL290" s="6">
        <v>27175.5</v>
      </c>
      <c r="AM290" s="6">
        <v>27175.5</v>
      </c>
      <c r="AN290" s="6">
        <v>27175.5</v>
      </c>
      <c r="AO290" s="6">
        <v>27175.5</v>
      </c>
      <c r="AP290" s="6">
        <v>27175.5</v>
      </c>
      <c r="AQ290" s="6">
        <v>27175.5</v>
      </c>
      <c r="AR290" s="6">
        <v>27175.5</v>
      </c>
      <c r="AS290" s="6">
        <v>27175.5</v>
      </c>
      <c r="AT290" s="6">
        <v>27175.5</v>
      </c>
      <c r="AU290" s="6">
        <v>27175.5</v>
      </c>
      <c r="AV290" s="6">
        <v>27175.5</v>
      </c>
      <c r="AW290" s="6">
        <v>27175.5</v>
      </c>
      <c r="AX290" s="50"/>
      <c r="AY290" s="52"/>
      <c r="AZ290" s="52"/>
      <c r="BA290" s="52"/>
      <c r="BB290" s="52"/>
      <c r="BC290" s="52"/>
      <c r="BD290" s="52"/>
      <c r="BE290" s="52"/>
      <c r="BF290" s="52"/>
      <c r="BG290" s="52"/>
      <c r="BH290" s="52"/>
      <c r="BI290" s="52"/>
      <c r="BJ290" s="52"/>
      <c r="BK290" s="52"/>
      <c r="BL290" s="52"/>
      <c r="BM290" s="52"/>
      <c r="BN290" s="52"/>
      <c r="BO290" s="52"/>
      <c r="BP290" s="52"/>
      <c r="BQ290" s="52"/>
      <c r="BR290" s="52"/>
      <c r="BS290" s="52"/>
      <c r="BT290" s="52"/>
      <c r="BU290" s="52"/>
      <c r="BV290" s="52"/>
      <c r="BW290" s="52"/>
      <c r="BX290" s="52"/>
      <c r="BY290" s="52"/>
      <c r="BZ290" s="52"/>
      <c r="CA290" s="52"/>
      <c r="CB290" s="52"/>
      <c r="CC290" s="52"/>
      <c r="CD290" s="52"/>
      <c r="CE290" s="52"/>
      <c r="CF290" s="52"/>
      <c r="CG290" s="52"/>
      <c r="CH290" s="52"/>
      <c r="CI290" s="76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  <c r="DA290" s="52"/>
      <c r="DB290" s="52"/>
      <c r="DC290" s="52"/>
      <c r="DD290" s="52"/>
      <c r="DE290" s="52"/>
      <c r="DF290" s="52"/>
      <c r="DG290" s="52"/>
      <c r="DH290" s="52"/>
      <c r="DI290" s="52"/>
      <c r="DJ290" s="52"/>
      <c r="DK290" s="52"/>
      <c r="DL290" s="52"/>
      <c r="DM290" s="52"/>
      <c r="DN290" s="52"/>
      <c r="DO290" s="52"/>
    </row>
    <row r="291" spans="1:119" hidden="1" x14ac:dyDescent="0.3">
      <c r="A291" t="s">
        <v>591</v>
      </c>
      <c r="B291" s="4" t="s">
        <v>592</v>
      </c>
      <c r="C291" s="4" t="s">
        <v>593</v>
      </c>
      <c r="D291" s="4" t="s">
        <v>608</v>
      </c>
      <c r="E291" s="4" t="s">
        <v>609</v>
      </c>
      <c r="F291" s="12">
        <v>3.22</v>
      </c>
      <c r="G291" s="34">
        <f t="shared" si="25"/>
        <v>0</v>
      </c>
      <c r="H291" s="28">
        <f t="shared" si="26"/>
        <v>0</v>
      </c>
      <c r="I291" s="28">
        <f t="shared" si="27"/>
        <v>0</v>
      </c>
      <c r="J291" s="26">
        <f t="shared" si="28"/>
        <v>0</v>
      </c>
      <c r="K291" s="24">
        <f t="shared" si="29"/>
        <v>0</v>
      </c>
      <c r="L291" s="31">
        <f t="shared" si="30"/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4"/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/>
      <c r="CI291" s="74" t="e">
        <v>#N/A</v>
      </c>
    </row>
    <row r="292" spans="1:119" hidden="1" x14ac:dyDescent="0.3">
      <c r="A292" t="s">
        <v>591</v>
      </c>
      <c r="B292" s="4" t="s">
        <v>592</v>
      </c>
      <c r="C292" s="4" t="s">
        <v>593</v>
      </c>
      <c r="D292" s="4" t="s">
        <v>610</v>
      </c>
      <c r="E292" s="4" t="s">
        <v>611</v>
      </c>
      <c r="F292" s="12">
        <v>4.84</v>
      </c>
      <c r="G292" s="34">
        <f t="shared" si="25"/>
        <v>79729.319999999992</v>
      </c>
      <c r="H292" s="28">
        <f t="shared" si="26"/>
        <v>16473</v>
      </c>
      <c r="I292" s="28">
        <f t="shared" si="27"/>
        <v>1373</v>
      </c>
      <c r="J292" s="26">
        <f t="shared" si="28"/>
        <v>55369.599999999999</v>
      </c>
      <c r="K292" s="24">
        <f t="shared" si="29"/>
        <v>11440</v>
      </c>
      <c r="L292" s="31">
        <f t="shared" si="30"/>
        <v>2288</v>
      </c>
      <c r="M292" s="9">
        <v>0</v>
      </c>
      <c r="N292" s="9">
        <v>0</v>
      </c>
      <c r="O292" s="9">
        <v>0</v>
      </c>
      <c r="P292" s="9">
        <v>0</v>
      </c>
      <c r="Q292" s="9">
        <v>915</v>
      </c>
      <c r="R292" s="9">
        <v>915</v>
      </c>
      <c r="S292" s="9">
        <v>915</v>
      </c>
      <c r="T292" s="9">
        <v>2288</v>
      </c>
      <c r="U292" s="9">
        <v>2288</v>
      </c>
      <c r="V292" s="9">
        <v>2288</v>
      </c>
      <c r="W292" s="9">
        <v>2288</v>
      </c>
      <c r="X292" s="9">
        <v>2288</v>
      </c>
      <c r="Y292" s="9">
        <v>2288</v>
      </c>
      <c r="Z292" s="9">
        <v>2288</v>
      </c>
      <c r="AA292" s="9">
        <v>2288</v>
      </c>
      <c r="AB292" s="9">
        <v>2288</v>
      </c>
      <c r="AC292" s="9">
        <v>2288</v>
      </c>
      <c r="AD292" s="9">
        <v>2288</v>
      </c>
      <c r="AE292" s="4"/>
      <c r="AF292" s="6">
        <v>0</v>
      </c>
      <c r="AG292" s="6">
        <v>0</v>
      </c>
      <c r="AH292" s="6">
        <v>0</v>
      </c>
      <c r="AI292" s="6">
        <v>0</v>
      </c>
      <c r="AJ292" s="6">
        <v>4428.5999999999995</v>
      </c>
      <c r="AK292" s="6">
        <v>4428.5999999999995</v>
      </c>
      <c r="AL292" s="6">
        <v>4428.5999999999995</v>
      </c>
      <c r="AM292" s="6">
        <v>11073.92</v>
      </c>
      <c r="AN292" s="6">
        <v>11073.92</v>
      </c>
      <c r="AO292" s="6">
        <v>11073.92</v>
      </c>
      <c r="AP292" s="6">
        <v>11073.92</v>
      </c>
      <c r="AQ292" s="6">
        <v>11073.92</v>
      </c>
      <c r="AR292" s="6">
        <v>11073.92</v>
      </c>
      <c r="AS292" s="6">
        <v>11073.92</v>
      </c>
      <c r="AT292" s="6">
        <v>11073.92</v>
      </c>
      <c r="AU292" s="6">
        <v>11073.92</v>
      </c>
      <c r="AV292" s="6">
        <v>11073.92</v>
      </c>
      <c r="AW292" s="6">
        <v>11073.92</v>
      </c>
      <c r="AX292" s="50"/>
      <c r="AY292" s="52"/>
      <c r="AZ292" s="52"/>
      <c r="BA292" s="52"/>
      <c r="BB292" s="52"/>
      <c r="BC292" s="52"/>
      <c r="BD292" s="52"/>
      <c r="BE292" s="52"/>
      <c r="BF292" s="52"/>
      <c r="BG292" s="52"/>
      <c r="BH292" s="52"/>
      <c r="BI292" s="52"/>
      <c r="BJ292" s="52"/>
      <c r="BK292" s="52"/>
      <c r="BL292" s="52"/>
      <c r="BM292" s="52"/>
      <c r="BN292" s="52"/>
      <c r="BO292" s="52"/>
      <c r="BP292" s="52"/>
      <c r="BQ292" s="52"/>
      <c r="BR292" s="52"/>
      <c r="BS292" s="52"/>
      <c r="BT292" s="52"/>
      <c r="BU292" s="52"/>
      <c r="BV292" s="52"/>
      <c r="BW292" s="52"/>
      <c r="BX292" s="52"/>
      <c r="BY292" s="52"/>
      <c r="BZ292" s="52"/>
      <c r="CA292" s="52"/>
      <c r="CB292" s="52"/>
      <c r="CC292" s="52"/>
      <c r="CD292" s="52"/>
      <c r="CE292" s="52"/>
      <c r="CF292" s="52"/>
      <c r="CG292" s="52"/>
      <c r="CH292" s="52"/>
      <c r="CI292" s="76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  <c r="DA292" s="52"/>
      <c r="DB292" s="52"/>
      <c r="DC292" s="52"/>
      <c r="DD292" s="52"/>
      <c r="DE292" s="52"/>
      <c r="DF292" s="52"/>
      <c r="DG292" s="52"/>
      <c r="DH292" s="52"/>
      <c r="DI292" s="52"/>
      <c r="DJ292" s="52"/>
      <c r="DK292" s="52"/>
      <c r="DL292" s="52"/>
      <c r="DM292" s="52"/>
      <c r="DN292" s="52"/>
      <c r="DO292" s="52"/>
    </row>
    <row r="293" spans="1:119" hidden="1" x14ac:dyDescent="0.3">
      <c r="A293" t="s">
        <v>591</v>
      </c>
      <c r="B293" s="4" t="s">
        <v>592</v>
      </c>
      <c r="C293" s="4" t="s">
        <v>593</v>
      </c>
      <c r="D293" s="4" t="s">
        <v>612</v>
      </c>
      <c r="E293" s="4" t="s">
        <v>613</v>
      </c>
      <c r="F293" s="12">
        <v>25.62</v>
      </c>
      <c r="G293" s="34">
        <f t="shared" si="25"/>
        <v>1321992</v>
      </c>
      <c r="H293" s="28">
        <f t="shared" si="26"/>
        <v>51600</v>
      </c>
      <c r="I293" s="28">
        <f t="shared" si="27"/>
        <v>4300</v>
      </c>
      <c r="J293" s="26">
        <f t="shared" si="28"/>
        <v>586057.5</v>
      </c>
      <c r="K293" s="24">
        <f t="shared" si="29"/>
        <v>22875</v>
      </c>
      <c r="L293" s="31">
        <f t="shared" si="30"/>
        <v>4575</v>
      </c>
      <c r="M293" s="9">
        <v>0</v>
      </c>
      <c r="N293" s="9">
        <v>0</v>
      </c>
      <c r="O293" s="9">
        <v>5000</v>
      </c>
      <c r="P293" s="9">
        <v>5000</v>
      </c>
      <c r="Q293" s="9">
        <v>5000</v>
      </c>
      <c r="R293" s="9">
        <v>4575</v>
      </c>
      <c r="S293" s="9">
        <v>4575</v>
      </c>
      <c r="T293" s="9">
        <v>4575</v>
      </c>
      <c r="U293" s="9">
        <v>4575</v>
      </c>
      <c r="V293" s="9">
        <v>4575</v>
      </c>
      <c r="W293" s="9">
        <v>4575</v>
      </c>
      <c r="X293" s="9">
        <v>4575</v>
      </c>
      <c r="Y293" s="9">
        <v>4575</v>
      </c>
      <c r="Z293" s="9">
        <v>4575</v>
      </c>
      <c r="AA293" s="9">
        <v>4575</v>
      </c>
      <c r="AB293" s="9">
        <v>4575</v>
      </c>
      <c r="AC293" s="9">
        <v>4575</v>
      </c>
      <c r="AD293" s="9">
        <v>4575</v>
      </c>
      <c r="AE293" s="4"/>
      <c r="AF293" s="6">
        <v>0</v>
      </c>
      <c r="AG293" s="6">
        <v>0</v>
      </c>
      <c r="AH293" s="6">
        <v>98300</v>
      </c>
      <c r="AI293" s="6">
        <v>98300</v>
      </c>
      <c r="AJ293" s="6">
        <v>98300</v>
      </c>
      <c r="AK293" s="6">
        <v>117211.5</v>
      </c>
      <c r="AL293" s="6">
        <v>117211.5</v>
      </c>
      <c r="AM293" s="6">
        <v>117211.5</v>
      </c>
      <c r="AN293" s="6">
        <v>117211.5</v>
      </c>
      <c r="AO293" s="6">
        <v>117211.5</v>
      </c>
      <c r="AP293" s="6">
        <v>117211.5</v>
      </c>
      <c r="AQ293" s="6">
        <v>117211.5</v>
      </c>
      <c r="AR293" s="6">
        <v>117211.5</v>
      </c>
      <c r="AS293" s="6">
        <v>117211.5</v>
      </c>
      <c r="AT293" s="6">
        <v>117211.5</v>
      </c>
      <c r="AU293" s="6">
        <v>117211.5</v>
      </c>
      <c r="AV293" s="6">
        <v>117211.5</v>
      </c>
      <c r="AW293" s="6">
        <v>117211.5</v>
      </c>
      <c r="AX293" s="50"/>
      <c r="AY293" s="52"/>
      <c r="AZ293" s="52"/>
      <c r="BA293" s="52"/>
      <c r="BB293" s="52"/>
      <c r="BC293" s="52"/>
      <c r="BD293" s="52"/>
      <c r="BE293" s="52"/>
      <c r="BF293" s="52"/>
      <c r="BG293" s="52"/>
      <c r="BH293" s="52"/>
      <c r="BI293" s="52"/>
      <c r="BJ293" s="52"/>
      <c r="BK293" s="52"/>
      <c r="BL293" s="52"/>
      <c r="BM293" s="52"/>
      <c r="BN293" s="52"/>
      <c r="BO293" s="52"/>
      <c r="BP293" s="52"/>
      <c r="BQ293" s="52"/>
      <c r="BR293" s="52"/>
      <c r="BS293" s="52"/>
      <c r="BT293" s="52"/>
      <c r="BU293" s="52"/>
      <c r="BV293" s="52"/>
      <c r="BW293" s="52"/>
      <c r="BX293" s="52"/>
      <c r="BY293" s="52"/>
      <c r="BZ293" s="52"/>
      <c r="CA293" s="52"/>
      <c r="CB293" s="52"/>
      <c r="CC293" s="52"/>
      <c r="CD293" s="52"/>
      <c r="CE293" s="52"/>
      <c r="CF293" s="52"/>
      <c r="CG293" s="52"/>
      <c r="CH293" s="52"/>
      <c r="CI293" s="76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  <c r="DA293" s="52"/>
      <c r="DB293" s="52"/>
      <c r="DC293" s="52"/>
      <c r="DD293" s="52"/>
      <c r="DE293" s="52"/>
      <c r="DF293" s="52"/>
      <c r="DG293" s="52"/>
      <c r="DH293" s="52"/>
      <c r="DI293" s="52"/>
      <c r="DJ293" s="52"/>
      <c r="DK293" s="52"/>
      <c r="DL293" s="52"/>
      <c r="DM293" s="52"/>
      <c r="DN293" s="52"/>
      <c r="DO293" s="52"/>
    </row>
    <row r="294" spans="1:119" hidden="1" x14ac:dyDescent="0.3">
      <c r="A294" t="s">
        <v>591</v>
      </c>
      <c r="B294" s="4" t="s">
        <v>592</v>
      </c>
      <c r="C294" s="4" t="s">
        <v>593</v>
      </c>
      <c r="D294" s="4" t="s">
        <v>614</v>
      </c>
      <c r="E294" s="4" t="s">
        <v>615</v>
      </c>
      <c r="F294" s="12">
        <v>25.62</v>
      </c>
      <c r="G294" s="34">
        <f t="shared" si="25"/>
        <v>703730.16</v>
      </c>
      <c r="H294" s="28">
        <f t="shared" si="26"/>
        <v>27468</v>
      </c>
      <c r="I294" s="28">
        <f t="shared" si="27"/>
        <v>2289</v>
      </c>
      <c r="J294" s="26">
        <f>K294*F294</f>
        <v>316535.10000000003</v>
      </c>
      <c r="K294" s="24">
        <f>SUM(Z294:AD294)</f>
        <v>12355</v>
      </c>
      <c r="L294" s="31">
        <f t="shared" si="30"/>
        <v>2471</v>
      </c>
      <c r="M294" s="9">
        <v>0</v>
      </c>
      <c r="N294" s="9">
        <v>229</v>
      </c>
      <c r="O294" s="9">
        <v>2500</v>
      </c>
      <c r="P294" s="9">
        <v>2500</v>
      </c>
      <c r="Q294" s="9">
        <v>2471</v>
      </c>
      <c r="R294" s="9">
        <v>2471</v>
      </c>
      <c r="S294" s="9">
        <v>2471</v>
      </c>
      <c r="T294" s="9">
        <v>2471</v>
      </c>
      <c r="U294" s="9">
        <v>2471</v>
      </c>
      <c r="V294" s="9">
        <v>2471</v>
      </c>
      <c r="W294" s="9">
        <v>2471</v>
      </c>
      <c r="X294" s="9">
        <v>2471</v>
      </c>
      <c r="Y294" s="9">
        <v>2471</v>
      </c>
      <c r="Z294" s="9">
        <v>2471</v>
      </c>
      <c r="AA294" s="9">
        <v>2471</v>
      </c>
      <c r="AB294" s="9">
        <v>2471</v>
      </c>
      <c r="AC294" s="9">
        <v>2471</v>
      </c>
      <c r="AD294" s="9">
        <v>2471</v>
      </c>
      <c r="AE294" s="4"/>
      <c r="AF294" s="6">
        <v>0</v>
      </c>
      <c r="AG294" s="6">
        <v>5866.9800000000005</v>
      </c>
      <c r="AH294" s="6">
        <v>43925</v>
      </c>
      <c r="AI294" s="6">
        <v>63307.020000000004</v>
      </c>
      <c r="AJ294" s="6">
        <v>63307.020000000004</v>
      </c>
      <c r="AK294" s="6">
        <v>63307.020000000004</v>
      </c>
      <c r="AL294" s="6">
        <v>63307.020000000004</v>
      </c>
      <c r="AM294" s="6">
        <v>63307.020000000004</v>
      </c>
      <c r="AN294" s="6">
        <v>63307.020000000004</v>
      </c>
      <c r="AO294" s="6">
        <v>63307.020000000004</v>
      </c>
      <c r="AP294" s="6">
        <v>63307.020000000004</v>
      </c>
      <c r="AQ294" s="6">
        <v>63307.020000000004</v>
      </c>
      <c r="AR294" s="6">
        <v>63307.020000000004</v>
      </c>
      <c r="AS294" s="6">
        <v>63307.020000000004</v>
      </c>
      <c r="AT294" s="6">
        <v>63307.020000000004</v>
      </c>
      <c r="AU294" s="6">
        <v>63307.020000000004</v>
      </c>
      <c r="AV294" s="6">
        <v>63307.020000000004</v>
      </c>
      <c r="AW294" s="6">
        <v>63307.020000000004</v>
      </c>
      <c r="AX294" s="50"/>
      <c r="AY294" s="52"/>
      <c r="AZ294" s="52"/>
      <c r="BA294" s="52"/>
      <c r="BB294" s="52"/>
      <c r="BC294" s="52"/>
      <c r="BD294" s="52"/>
      <c r="BE294" s="52"/>
      <c r="BF294" s="52"/>
      <c r="BG294" s="52"/>
      <c r="BH294" s="52"/>
      <c r="BI294" s="52"/>
      <c r="BJ294" s="52"/>
      <c r="BK294" s="52"/>
      <c r="BL294" s="52"/>
      <c r="BM294" s="52"/>
      <c r="BN294" s="52"/>
      <c r="BO294" s="52"/>
      <c r="BP294" s="52"/>
      <c r="BQ294" s="52"/>
      <c r="BR294" s="52"/>
      <c r="BS294" s="52"/>
      <c r="BT294" s="52"/>
      <c r="BU294" s="52"/>
      <c r="BV294" s="52"/>
      <c r="BW294" s="52"/>
      <c r="BX294" s="52"/>
      <c r="BY294" s="52"/>
      <c r="BZ294" s="52"/>
      <c r="CA294" s="52"/>
      <c r="CB294" s="52"/>
      <c r="CC294" s="52"/>
      <c r="CD294" s="52"/>
      <c r="CE294" s="52"/>
      <c r="CF294" s="52"/>
      <c r="CG294" s="52"/>
      <c r="CH294" s="52"/>
      <c r="CI294" s="76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  <c r="DA294" s="52"/>
      <c r="DB294" s="52"/>
      <c r="DC294" s="52"/>
      <c r="DD294" s="52"/>
      <c r="DE294" s="52"/>
      <c r="DF294" s="52"/>
      <c r="DG294" s="52"/>
      <c r="DH294" s="52"/>
      <c r="DI294" s="52"/>
      <c r="DJ294" s="52"/>
      <c r="DK294" s="52"/>
      <c r="DL294" s="52"/>
      <c r="DM294" s="52"/>
      <c r="DN294" s="52"/>
      <c r="DO294" s="52"/>
    </row>
    <row r="295" spans="1:119" hidden="1" x14ac:dyDescent="0.3">
      <c r="A295" t="s">
        <v>591</v>
      </c>
      <c r="B295" s="4" t="s">
        <v>592</v>
      </c>
      <c r="C295" s="4" t="s">
        <v>616</v>
      </c>
      <c r="D295" s="4" t="s">
        <v>617</v>
      </c>
      <c r="E295" s="4" t="s">
        <v>618</v>
      </c>
      <c r="F295" s="12">
        <v>19.071999999999999</v>
      </c>
      <c r="G295" s="34">
        <f t="shared" si="25"/>
        <v>322850.81599999999</v>
      </c>
      <c r="H295" s="28">
        <f t="shared" si="26"/>
        <v>16928</v>
      </c>
      <c r="I295" s="28">
        <f t="shared" si="27"/>
        <v>1411</v>
      </c>
      <c r="J295" s="26">
        <f t="shared" si="28"/>
        <v>34901.760000000002</v>
      </c>
      <c r="K295" s="24">
        <f t="shared" si="29"/>
        <v>1830</v>
      </c>
      <c r="L295" s="31">
        <f t="shared" si="30"/>
        <v>366</v>
      </c>
      <c r="M295" s="9">
        <v>0</v>
      </c>
      <c r="N295" s="9">
        <v>0</v>
      </c>
      <c r="O295" s="9">
        <v>0</v>
      </c>
      <c r="P295" s="9">
        <v>458</v>
      </c>
      <c r="Q295" s="9">
        <v>1830</v>
      </c>
      <c r="R295" s="9">
        <v>1830</v>
      </c>
      <c r="S295" s="9">
        <v>1830</v>
      </c>
      <c r="T295" s="9">
        <v>1830</v>
      </c>
      <c r="U295" s="9">
        <v>1830</v>
      </c>
      <c r="V295" s="9">
        <v>1830</v>
      </c>
      <c r="W295" s="9">
        <v>1830</v>
      </c>
      <c r="X295" s="9">
        <v>1830</v>
      </c>
      <c r="Y295" s="9">
        <v>1830</v>
      </c>
      <c r="Z295" s="9">
        <v>1830</v>
      </c>
      <c r="AA295" s="9">
        <v>0</v>
      </c>
      <c r="AB295" s="9">
        <v>0</v>
      </c>
      <c r="AC295" s="9">
        <v>0</v>
      </c>
      <c r="AD295" s="9">
        <v>0</v>
      </c>
      <c r="AE295" s="4"/>
      <c r="AF295" s="6">
        <v>0</v>
      </c>
      <c r="AG295" s="6">
        <v>0</v>
      </c>
      <c r="AH295" s="6">
        <v>0</v>
      </c>
      <c r="AI295" s="6">
        <v>8734.9759999999987</v>
      </c>
      <c r="AJ295" s="6">
        <v>34901.760000000002</v>
      </c>
      <c r="AK295" s="6">
        <v>34901.760000000002</v>
      </c>
      <c r="AL295" s="6">
        <v>34901.760000000002</v>
      </c>
      <c r="AM295" s="6">
        <v>34901.760000000002</v>
      </c>
      <c r="AN295" s="6">
        <v>34901.760000000002</v>
      </c>
      <c r="AO295" s="6">
        <v>34901.760000000002</v>
      </c>
      <c r="AP295" s="6">
        <v>34901.760000000002</v>
      </c>
      <c r="AQ295" s="6">
        <v>34901.760000000002</v>
      </c>
      <c r="AR295" s="6">
        <v>34901.760000000002</v>
      </c>
      <c r="AS295" s="6">
        <v>34901.760000000002</v>
      </c>
      <c r="AT295" s="6">
        <v>34901.760000000002</v>
      </c>
      <c r="AU295" s="6">
        <v>34901.760000000002</v>
      </c>
      <c r="AV295" s="6">
        <v>34901.760000000002</v>
      </c>
      <c r="AW295" s="6">
        <v>34901.760000000002</v>
      </c>
      <c r="AX295" s="50"/>
      <c r="AY295" s="52"/>
      <c r="AZ295" s="52"/>
      <c r="BA295" s="52"/>
      <c r="BB295" s="52"/>
      <c r="BC295" s="52"/>
      <c r="BD295" s="52"/>
      <c r="BE295" s="52"/>
      <c r="BF295" s="52"/>
      <c r="BG295" s="52"/>
      <c r="BH295" s="52"/>
      <c r="BI295" s="52"/>
      <c r="BJ295" s="52"/>
      <c r="BK295" s="52"/>
      <c r="BL295" s="52"/>
      <c r="BM295" s="52"/>
      <c r="BN295" s="52"/>
      <c r="BO295" s="52"/>
      <c r="BP295" s="52"/>
      <c r="BQ295" s="52"/>
      <c r="BR295" s="52"/>
      <c r="BS295" s="52"/>
      <c r="BT295" s="52"/>
      <c r="BU295" s="52"/>
      <c r="BV295" s="52"/>
      <c r="BW295" s="52"/>
      <c r="BX295" s="52"/>
      <c r="BY295" s="52"/>
      <c r="BZ295" s="52"/>
      <c r="CA295" s="52"/>
      <c r="CB295" s="52"/>
      <c r="CC295" s="52"/>
      <c r="CD295" s="52"/>
      <c r="CE295" s="52"/>
      <c r="CF295" s="52"/>
      <c r="CG295" s="52"/>
      <c r="CH295" s="52"/>
      <c r="CI295" s="76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  <c r="DA295" s="52"/>
      <c r="DB295" s="52"/>
      <c r="DC295" s="52"/>
      <c r="DD295" s="52"/>
      <c r="DE295" s="52"/>
      <c r="DF295" s="52"/>
      <c r="DG295" s="52"/>
      <c r="DH295" s="52"/>
      <c r="DI295" s="52"/>
      <c r="DJ295" s="52"/>
      <c r="DK295" s="52"/>
      <c r="DL295" s="52"/>
      <c r="DM295" s="52"/>
      <c r="DN295" s="52"/>
      <c r="DO295" s="52"/>
    </row>
    <row r="296" spans="1:119" hidden="1" x14ac:dyDescent="0.3">
      <c r="A296" t="s">
        <v>591</v>
      </c>
      <c r="B296" s="4" t="s">
        <v>592</v>
      </c>
      <c r="C296" s="4" t="s">
        <v>616</v>
      </c>
      <c r="D296" s="4" t="s">
        <v>619</v>
      </c>
      <c r="E296" s="4" t="s">
        <v>620</v>
      </c>
      <c r="F296" s="12">
        <v>35.362699999999997</v>
      </c>
      <c r="G296" s="34">
        <f t="shared" si="25"/>
        <v>0</v>
      </c>
      <c r="H296" s="28">
        <f t="shared" si="26"/>
        <v>0</v>
      </c>
      <c r="I296" s="28">
        <f t="shared" si="27"/>
        <v>0</v>
      </c>
      <c r="J296" s="26">
        <f t="shared" si="28"/>
        <v>258854.96399999998</v>
      </c>
      <c r="K296" s="24">
        <f t="shared" si="29"/>
        <v>7320</v>
      </c>
      <c r="L296" s="31">
        <f t="shared" si="30"/>
        <v>1464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1830</v>
      </c>
      <c r="AB296" s="9">
        <v>1830</v>
      </c>
      <c r="AC296" s="9">
        <v>1830</v>
      </c>
      <c r="AD296" s="9">
        <v>1830</v>
      </c>
      <c r="AE296" s="4"/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/>
      <c r="CI296" s="74" t="e">
        <v>#N/A</v>
      </c>
    </row>
    <row r="297" spans="1:119" hidden="1" x14ac:dyDescent="0.3">
      <c r="G297" s="34"/>
      <c r="H297" s="28"/>
      <c r="I297" s="28"/>
      <c r="J297" s="26"/>
      <c r="K297" s="24"/>
      <c r="L297" s="31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</row>
    <row r="298" spans="1:119" hidden="1" x14ac:dyDescent="0.3">
      <c r="G298" s="36"/>
      <c r="H298" s="37"/>
      <c r="I298" s="37"/>
      <c r="J298" s="39">
        <f>SUM(J6:J297)</f>
        <v>40701657.143999994</v>
      </c>
      <c r="K298" s="40">
        <f>SUM(K6:K297)</f>
        <v>1228404</v>
      </c>
      <c r="L298" s="40">
        <f>SUM(L6:L297)</f>
        <v>245704</v>
      </c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 spans="1:119" x14ac:dyDescent="0.3">
      <c r="G299" s="38"/>
      <c r="H299" s="37"/>
      <c r="I299" s="37"/>
      <c r="J299" s="41">
        <f>J298/5</f>
        <v>8140331.4287999989</v>
      </c>
      <c r="K299" s="42"/>
      <c r="L299" s="40"/>
      <c r="N299" s="19"/>
      <c r="O299" s="19"/>
      <c r="P299" s="19"/>
      <c r="Q299" s="19"/>
      <c r="R299" s="19"/>
      <c r="S299" s="19"/>
      <c r="T299" s="19"/>
      <c r="U299" s="19"/>
    </row>
    <row r="300" spans="1:119" x14ac:dyDescent="0.3">
      <c r="H300" s="28"/>
      <c r="I300" s="28"/>
      <c r="J300" s="26"/>
      <c r="K300" s="24"/>
      <c r="L300" s="31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1:119" x14ac:dyDescent="0.3"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</sheetData>
  <autoFilter ref="A5:AW298" xr:uid="{EE3A1831-4433-43EB-AD1B-40B591DADD2C}">
    <filterColumn colId="2">
      <filters>
        <filter val="AMAT"/>
      </filters>
    </filterColumn>
    <filterColumn colId="7">
      <filters blank="1">
        <filter val="1"/>
        <filter val="1,015"/>
        <filter val="1,085"/>
        <filter val="1,115"/>
        <filter val="1,150"/>
        <filter val="1,300"/>
        <filter val="1,329"/>
        <filter val="1,555"/>
        <filter val="1,585"/>
        <filter val="1,794"/>
        <filter val="1,992"/>
        <filter val="10,000"/>
        <filter val="10,009"/>
        <filter val="100"/>
        <filter val="11,127"/>
        <filter val="11,803"/>
        <filter val="120"/>
        <filter val="141"/>
        <filter val="156"/>
        <filter val="184"/>
        <filter val="194"/>
        <filter val="197"/>
        <filter val="2"/>
        <filter val="2,085"/>
        <filter val="2,294"/>
        <filter val="2,400"/>
        <filter val="2,494"/>
        <filter val="2,696"/>
        <filter val="2,800"/>
        <filter val="20"/>
        <filter val="247"/>
        <filter val="25"/>
        <filter val="254"/>
        <filter val="287"/>
        <filter val="3"/>
        <filter val="3,096"/>
        <filter val="3,110"/>
        <filter val="3,750"/>
        <filter val="330"/>
        <filter val="387"/>
        <filter val="4,300"/>
        <filter val="4,380"/>
        <filter val="4,485"/>
        <filter val="4,865"/>
        <filter val="4,945"/>
        <filter val="400"/>
        <filter val="450"/>
        <filter val="468"/>
        <filter val="47"/>
        <filter val="489"/>
        <filter val="5,220"/>
        <filter val="5,855"/>
        <filter val="50"/>
        <filter val="500"/>
        <filter val="516"/>
        <filter val="52"/>
        <filter val="536"/>
        <filter val="560"/>
        <filter val="60"/>
        <filter val="612"/>
        <filter val="682"/>
        <filter val="750"/>
        <filter val="8,247"/>
        <filter val="8,775"/>
        <filter val="855"/>
        <filter val="9,009"/>
        <filter val="946"/>
        <filter val="949"/>
        <filter val="97"/>
        <filter val="989"/>
      </filters>
    </filterColumn>
  </autoFilter>
  <mergeCells count="34">
    <mergeCell ref="BY3:CG3"/>
    <mergeCell ref="CD4:CD5"/>
    <mergeCell ref="CE4:CE5"/>
    <mergeCell ref="BY4:BY5"/>
    <mergeCell ref="BZ4:BZ5"/>
    <mergeCell ref="CA4:CA5"/>
    <mergeCell ref="CB4:CB5"/>
    <mergeCell ref="CC4:CC5"/>
    <mergeCell ref="CS4:CS5"/>
    <mergeCell ref="CT4:CT5"/>
    <mergeCell ref="CU4:CU5"/>
    <mergeCell ref="CF4:CF5"/>
    <mergeCell ref="CG4:CG5"/>
    <mergeCell ref="CM4:CM5"/>
    <mergeCell ref="CN4:CN5"/>
    <mergeCell ref="CO4:CO5"/>
    <mergeCell ref="CQ4:CQ5"/>
    <mergeCell ref="CR4:CR5"/>
    <mergeCell ref="G4:I4"/>
    <mergeCell ref="J1:L1"/>
    <mergeCell ref="DP4:DP5"/>
    <mergeCell ref="DQ4:DQ5"/>
    <mergeCell ref="AX3:AY3"/>
    <mergeCell ref="BA3:BD3"/>
    <mergeCell ref="BK3:BM3"/>
    <mergeCell ref="AZ3:AZ4"/>
    <mergeCell ref="CP4:CP5"/>
    <mergeCell ref="BP3:BT3"/>
    <mergeCell ref="BV3:BW3"/>
    <mergeCell ref="CI3:CU3"/>
    <mergeCell ref="CI4:CI5"/>
    <mergeCell ref="CJ4:CJ5"/>
    <mergeCell ref="CK4:CK5"/>
    <mergeCell ref="CL4:CL5"/>
  </mergeCells>
  <phoneticPr fontId="6" type="noConversion"/>
  <conditionalFormatting sqref="D1:D5">
    <cfRule type="duplicateValues" dxfId="2" priority="5"/>
  </conditionalFormatting>
  <pageMargins left="0.7" right="0.7" top="0.75" bottom="0.75" header="0.3" footer="0.3"/>
  <ignoredErrors>
    <ignoredError sqref="H6 DP9 DP12:DP13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8ACD-EEEF-4EF1-97B4-8A6D2C81D608}">
  <dimension ref="A2:D11"/>
  <sheetViews>
    <sheetView workbookViewId="0">
      <selection activeCell="A5" sqref="A5:XFD5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18.88671875" bestFit="1" customWidth="1"/>
    <col min="4" max="4" width="26.33203125" bestFit="1" customWidth="1"/>
  </cols>
  <sheetData>
    <row r="2" spans="1:4" ht="15.6" x14ac:dyDescent="0.3">
      <c r="B2" s="182">
        <v>2024</v>
      </c>
      <c r="C2" s="182"/>
      <c r="D2" s="182"/>
    </row>
    <row r="3" spans="1:4" x14ac:dyDescent="0.3">
      <c r="A3" s="43" t="s">
        <v>624</v>
      </c>
      <c r="B3" t="s">
        <v>626</v>
      </c>
      <c r="C3" t="s">
        <v>627</v>
      </c>
      <c r="D3" t="s">
        <v>628</v>
      </c>
    </row>
    <row r="4" spans="1:4" x14ac:dyDescent="0.3">
      <c r="A4" s="10" t="s">
        <v>8</v>
      </c>
      <c r="B4" s="44">
        <v>5042021.1399999997</v>
      </c>
      <c r="C4" s="45">
        <v>10346</v>
      </c>
      <c r="D4" s="46">
        <v>866</v>
      </c>
    </row>
    <row r="5" spans="1:4" x14ac:dyDescent="0.3">
      <c r="A5" s="10" t="s">
        <v>70</v>
      </c>
      <c r="B5" s="44">
        <v>62537.82</v>
      </c>
      <c r="C5" s="45">
        <v>945</v>
      </c>
      <c r="D5" s="46">
        <v>88</v>
      </c>
    </row>
    <row r="6" spans="1:4" x14ac:dyDescent="0.3">
      <c r="A6" s="10" t="s">
        <v>120</v>
      </c>
      <c r="B6" s="44">
        <v>0</v>
      </c>
      <c r="C6" s="45">
        <v>0</v>
      </c>
      <c r="D6" s="46">
        <v>0</v>
      </c>
    </row>
    <row r="7" spans="1:4" x14ac:dyDescent="0.3">
      <c r="A7" s="10" t="s">
        <v>126</v>
      </c>
      <c r="B7" s="44">
        <v>18800675.859999999</v>
      </c>
      <c r="C7" s="45">
        <v>166603</v>
      </c>
      <c r="D7" s="46">
        <v>13913</v>
      </c>
    </row>
    <row r="8" spans="1:4" x14ac:dyDescent="0.3">
      <c r="A8" s="10" t="s">
        <v>412</v>
      </c>
      <c r="B8" s="44">
        <v>9995.94</v>
      </c>
      <c r="C8" s="45">
        <v>2</v>
      </c>
      <c r="D8" s="46">
        <v>1</v>
      </c>
    </row>
    <row r="9" spans="1:4" x14ac:dyDescent="0.3">
      <c r="A9" s="10" t="s">
        <v>416</v>
      </c>
      <c r="B9" s="44">
        <v>0</v>
      </c>
      <c r="C9" s="45">
        <v>0</v>
      </c>
      <c r="D9" s="46">
        <v>0</v>
      </c>
    </row>
    <row r="10" spans="1:4" x14ac:dyDescent="0.3">
      <c r="A10" s="10" t="s">
        <v>429</v>
      </c>
      <c r="B10" s="44">
        <v>0</v>
      </c>
      <c r="C10" s="45">
        <v>0</v>
      </c>
      <c r="D10" s="46">
        <v>0</v>
      </c>
    </row>
    <row r="11" spans="1:4" x14ac:dyDescent="0.3">
      <c r="A11" s="10" t="s">
        <v>625</v>
      </c>
      <c r="B11" s="44">
        <v>23915230.760000002</v>
      </c>
      <c r="C11" s="45">
        <v>177896</v>
      </c>
      <c r="D11" s="46">
        <v>14868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189F-A25A-48EC-9C8B-C04567EEBA7B}">
  <dimension ref="A1:DQ101"/>
  <sheetViews>
    <sheetView zoomScale="40" zoomScaleNormal="40" workbookViewId="0">
      <pane xSplit="3" ySplit="5" topLeftCell="F42" activePane="bottomRight" state="frozen"/>
      <selection pane="topRight" activeCell="E1" sqref="E1"/>
      <selection pane="bottomLeft" activeCell="A9" sqref="A9"/>
      <selection pane="bottomRight" activeCell="AX9" sqref="AX9"/>
    </sheetView>
  </sheetViews>
  <sheetFormatPr defaultRowHeight="14.4" x14ac:dyDescent="0.3"/>
  <cols>
    <col min="1" max="1" width="8.109375" customWidth="1"/>
    <col min="2" max="2" width="10.5546875" customWidth="1"/>
    <col min="3" max="3" width="15.6640625" customWidth="1"/>
    <col min="4" max="4" width="26.44140625" hidden="1" customWidth="1"/>
    <col min="5" max="5" width="8.5546875" hidden="1" customWidth="1"/>
    <col min="6" max="6" width="14.33203125" style="35" customWidth="1"/>
    <col min="7" max="7" width="8.5546875" style="29" customWidth="1"/>
    <col min="8" max="8" width="11.44140625" style="29" customWidth="1"/>
    <col min="9" max="9" width="14.33203125" style="25" hidden="1" customWidth="1"/>
    <col min="10" max="10" width="8.5546875" style="25" hidden="1" customWidth="1"/>
    <col min="11" max="11" width="10.6640625" style="32" hidden="1" customWidth="1"/>
    <col min="12" max="12" width="6.6640625" style="10" hidden="1" customWidth="1"/>
    <col min="13" max="15" width="11.88671875" style="10" hidden="1" customWidth="1"/>
    <col min="16" max="28" width="14.6640625" style="18" hidden="1" customWidth="1"/>
    <col min="29" max="29" width="11.88671875" style="18" hidden="1" customWidth="1"/>
    <col min="30" max="30" width="1.6640625" hidden="1" customWidth="1"/>
    <col min="31" max="31" width="11.6640625" hidden="1" customWidth="1"/>
    <col min="32" max="48" width="10.44140625" hidden="1" customWidth="1"/>
    <col min="49" max="77" width="4.33203125" customWidth="1"/>
    <col min="78" max="78" width="4.88671875" customWidth="1"/>
    <col min="79" max="84" width="4.33203125" customWidth="1"/>
    <col min="85" max="85" width="3.6640625" customWidth="1"/>
    <col min="86" max="91" width="3.5546875" customWidth="1"/>
    <col min="92" max="103" width="4.109375" customWidth="1"/>
    <col min="104" max="104" width="3.33203125" style="74" customWidth="1"/>
    <col min="105" max="116" width="3.33203125" customWidth="1"/>
    <col min="117" max="118" width="4.33203125" customWidth="1"/>
    <col min="119" max="119" width="8.6640625" style="21" customWidth="1"/>
    <col min="120" max="120" width="10.6640625" customWidth="1"/>
  </cols>
  <sheetData>
    <row r="1" spans="1:121" ht="4.95" customHeight="1" x14ac:dyDescent="0.3">
      <c r="A1" s="7"/>
      <c r="B1" s="1"/>
      <c r="C1" s="1"/>
      <c r="D1" s="2"/>
      <c r="E1" s="3"/>
      <c r="F1" t="s">
        <v>641</v>
      </c>
      <c r="H1" s="68">
        <v>202</v>
      </c>
      <c r="I1" s="143">
        <v>2025</v>
      </c>
      <c r="J1" s="143"/>
      <c r="K1" s="143"/>
      <c r="L1" s="11">
        <v>2023</v>
      </c>
      <c r="M1" s="11">
        <v>2024</v>
      </c>
      <c r="N1" s="11">
        <v>2024</v>
      </c>
      <c r="O1" s="11">
        <v>2024</v>
      </c>
      <c r="P1" s="16">
        <v>2024</v>
      </c>
      <c r="Q1" s="16">
        <v>2024</v>
      </c>
      <c r="R1" s="16">
        <v>2024</v>
      </c>
      <c r="S1" s="16">
        <v>2024</v>
      </c>
      <c r="T1" s="16">
        <v>2024</v>
      </c>
      <c r="U1" s="16">
        <v>2024</v>
      </c>
      <c r="V1" s="16">
        <v>2024</v>
      </c>
      <c r="W1" s="16">
        <v>2024</v>
      </c>
      <c r="X1" s="16">
        <v>2024</v>
      </c>
      <c r="Y1" s="16">
        <v>2025</v>
      </c>
      <c r="Z1" s="16">
        <v>2025</v>
      </c>
      <c r="AA1" s="16">
        <v>2025</v>
      </c>
      <c r="AB1" s="16">
        <v>2025</v>
      </c>
      <c r="AC1" s="16">
        <v>2025</v>
      </c>
      <c r="AD1" s="4"/>
      <c r="AE1" s="8">
        <v>2023</v>
      </c>
      <c r="AF1" s="8">
        <v>2024</v>
      </c>
      <c r="AG1" s="8">
        <v>2024</v>
      </c>
      <c r="AH1" s="8">
        <v>2024</v>
      </c>
      <c r="AI1" s="8">
        <v>2024</v>
      </c>
      <c r="AJ1" s="8">
        <v>2024</v>
      </c>
      <c r="AK1" s="8">
        <v>2024</v>
      </c>
      <c r="AL1" s="8">
        <v>2024</v>
      </c>
      <c r="AM1" s="8">
        <v>2024</v>
      </c>
      <c r="AN1" s="8">
        <v>2024</v>
      </c>
      <c r="AO1" s="8">
        <v>2024</v>
      </c>
      <c r="AP1" s="8">
        <v>2024</v>
      </c>
      <c r="AQ1" s="8">
        <v>2024</v>
      </c>
      <c r="AR1" s="8">
        <v>2025</v>
      </c>
      <c r="AS1" s="8">
        <v>2025</v>
      </c>
      <c r="AT1" s="8">
        <v>2025</v>
      </c>
      <c r="AU1" s="8">
        <v>2025</v>
      </c>
      <c r="AV1" s="8">
        <v>2025</v>
      </c>
    </row>
    <row r="2" spans="1:121" ht="14.4" customHeight="1" x14ac:dyDescent="0.3">
      <c r="A2" s="7"/>
      <c r="B2" s="1"/>
      <c r="C2" s="1"/>
      <c r="D2" s="2"/>
      <c r="E2" s="3"/>
      <c r="F2" s="10" t="s">
        <v>642</v>
      </c>
      <c r="G2" s="21"/>
      <c r="H2" s="68">
        <v>307</v>
      </c>
      <c r="I2" s="22"/>
      <c r="J2" s="22"/>
      <c r="K2" s="22"/>
      <c r="L2" s="11"/>
      <c r="M2" s="11"/>
      <c r="N2" s="11"/>
      <c r="O2" s="11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4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I2">
        <v>1</v>
      </c>
      <c r="BJ2">
        <v>1</v>
      </c>
      <c r="BK2">
        <v>1</v>
      </c>
      <c r="BL2">
        <v>1</v>
      </c>
      <c r="BN2">
        <v>1</v>
      </c>
      <c r="BO2">
        <v>1</v>
      </c>
      <c r="BP2">
        <v>1</v>
      </c>
      <c r="BQ2">
        <v>1</v>
      </c>
      <c r="BV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M2">
        <v>1</v>
      </c>
      <c r="CN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DO2" s="21">
        <f>SUM(AW2:DN2)</f>
        <v>42</v>
      </c>
    </row>
    <row r="3" spans="1:121" ht="63" customHeight="1" x14ac:dyDescent="0.3">
      <c r="A3" s="7"/>
      <c r="B3" s="1"/>
      <c r="C3" s="1"/>
      <c r="D3" s="2"/>
      <c r="E3" s="3"/>
      <c r="F3" s="21"/>
      <c r="G3" s="21"/>
      <c r="H3" s="21"/>
      <c r="I3" s="22"/>
      <c r="J3" s="22"/>
      <c r="K3" s="22"/>
      <c r="L3" s="11"/>
      <c r="M3" s="11"/>
      <c r="N3" s="11"/>
      <c r="O3" s="11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4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144" t="s">
        <v>633</v>
      </c>
      <c r="AX3" s="145"/>
      <c r="AY3" s="146" t="s">
        <v>636</v>
      </c>
      <c r="AZ3" s="146" t="s">
        <v>629</v>
      </c>
      <c r="BA3" s="146"/>
      <c r="BB3" s="146"/>
      <c r="BC3" s="146"/>
      <c r="BD3" s="117" t="s">
        <v>715</v>
      </c>
      <c r="BE3" s="66" t="s">
        <v>685</v>
      </c>
      <c r="BF3" s="149" t="s">
        <v>688</v>
      </c>
      <c r="BG3" s="150"/>
      <c r="BH3" s="150"/>
      <c r="BI3" s="151"/>
      <c r="BJ3" s="66" t="s">
        <v>647</v>
      </c>
      <c r="BK3" s="71" t="s">
        <v>645</v>
      </c>
      <c r="BL3" s="71" t="s">
        <v>689</v>
      </c>
      <c r="BM3" s="118" t="s">
        <v>828</v>
      </c>
      <c r="BN3" s="69" t="s">
        <v>643</v>
      </c>
      <c r="BO3" s="181" t="s">
        <v>637</v>
      </c>
      <c r="BP3" s="146"/>
      <c r="BQ3" s="146"/>
      <c r="BR3" s="149" t="s">
        <v>688</v>
      </c>
      <c r="BS3" s="150"/>
      <c r="BT3" s="150"/>
      <c r="BU3" s="151"/>
      <c r="BV3" s="70" t="s">
        <v>829</v>
      </c>
      <c r="BW3" s="71" t="s">
        <v>645</v>
      </c>
      <c r="BX3" s="69" t="s">
        <v>643</v>
      </c>
      <c r="BY3" s="165" t="s">
        <v>648</v>
      </c>
      <c r="BZ3" s="166"/>
      <c r="CA3" s="166"/>
      <c r="CB3" s="166"/>
      <c r="CC3" s="167"/>
      <c r="CD3" s="117" t="s">
        <v>715</v>
      </c>
      <c r="CE3" s="117" t="s">
        <v>689</v>
      </c>
      <c r="CF3" s="71" t="s">
        <v>655</v>
      </c>
      <c r="CG3" s="144" t="s">
        <v>656</v>
      </c>
      <c r="CH3" s="145"/>
      <c r="CI3" s="146" t="s">
        <v>629</v>
      </c>
      <c r="CJ3" s="146"/>
      <c r="CK3" s="146"/>
      <c r="CL3" s="146"/>
      <c r="CM3" s="69" t="s">
        <v>643</v>
      </c>
      <c r="CN3" s="60" t="s">
        <v>659</v>
      </c>
      <c r="CO3" s="77" t="s">
        <v>708</v>
      </c>
      <c r="CP3" s="168" t="s">
        <v>674</v>
      </c>
      <c r="CQ3" s="169"/>
      <c r="CR3" s="169"/>
      <c r="CS3" s="169"/>
      <c r="CT3" s="169"/>
      <c r="CU3" s="169"/>
      <c r="CV3" s="169"/>
      <c r="CW3" s="169"/>
      <c r="CX3" s="170"/>
      <c r="CY3" s="69" t="s">
        <v>682</v>
      </c>
      <c r="CZ3" s="177" t="s">
        <v>674</v>
      </c>
      <c r="DA3" s="178"/>
      <c r="DB3" s="178"/>
      <c r="DC3" s="178"/>
      <c r="DD3" s="178"/>
      <c r="DE3" s="178"/>
      <c r="DF3" s="178"/>
      <c r="DG3" s="178"/>
      <c r="DH3" s="178"/>
      <c r="DI3" s="178"/>
      <c r="DJ3" s="178"/>
      <c r="DK3" s="178"/>
      <c r="DL3" s="179"/>
      <c r="DM3" s="60"/>
      <c r="DN3" s="60"/>
      <c r="DO3" s="72" t="s">
        <v>687</v>
      </c>
    </row>
    <row r="4" spans="1:121" s="61" customFormat="1" x14ac:dyDescent="0.3">
      <c r="A4" s="62"/>
      <c r="E4" s="63"/>
      <c r="F4" s="156">
        <v>2024</v>
      </c>
      <c r="G4" s="156"/>
      <c r="H4" s="156"/>
      <c r="I4" s="22"/>
      <c r="J4" s="22"/>
      <c r="K4" s="22"/>
      <c r="L4" s="11"/>
      <c r="M4" s="11"/>
      <c r="N4" s="11"/>
      <c r="O4" s="11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4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58" t="s">
        <v>634</v>
      </c>
      <c r="AX4" s="59" t="s">
        <v>635</v>
      </c>
      <c r="AY4" s="147"/>
      <c r="AZ4" s="59">
        <v>110</v>
      </c>
      <c r="BA4" s="59">
        <v>200</v>
      </c>
      <c r="BB4" s="59">
        <v>250</v>
      </c>
      <c r="BC4" s="59">
        <v>300</v>
      </c>
      <c r="BD4" s="59"/>
      <c r="BE4" s="59"/>
      <c r="BF4" s="152"/>
      <c r="BG4" s="153"/>
      <c r="BH4" s="153"/>
      <c r="BI4" s="154"/>
      <c r="BJ4" s="59"/>
      <c r="BK4" s="59"/>
      <c r="BL4" s="59"/>
      <c r="BM4" s="59"/>
      <c r="BN4" s="59"/>
      <c r="BO4" s="64" t="s">
        <v>686</v>
      </c>
      <c r="BP4" s="59" t="s">
        <v>638</v>
      </c>
      <c r="BQ4" s="59" t="s">
        <v>639</v>
      </c>
      <c r="BR4" s="152"/>
      <c r="BS4" s="153"/>
      <c r="BT4" s="153"/>
      <c r="BU4" s="154"/>
      <c r="BV4" s="59"/>
      <c r="BW4" s="59"/>
      <c r="BX4" s="59"/>
      <c r="BY4" s="59" t="s">
        <v>649</v>
      </c>
      <c r="BZ4" s="59" t="s">
        <v>650</v>
      </c>
      <c r="CA4" s="59" t="s">
        <v>651</v>
      </c>
      <c r="CB4" s="59" t="s">
        <v>652</v>
      </c>
      <c r="CC4" s="59" t="s">
        <v>653</v>
      </c>
      <c r="CD4" s="59"/>
      <c r="CE4" s="59"/>
      <c r="CF4" s="59"/>
      <c r="CG4" s="59" t="s">
        <v>657</v>
      </c>
      <c r="CH4" s="59" t="s">
        <v>831</v>
      </c>
      <c r="CI4" s="59">
        <v>110</v>
      </c>
      <c r="CJ4" s="59">
        <v>200</v>
      </c>
      <c r="CK4" s="59">
        <v>250</v>
      </c>
      <c r="CL4" s="59">
        <v>300</v>
      </c>
      <c r="CM4" s="59"/>
      <c r="CN4" s="59"/>
      <c r="CO4" s="78" t="s">
        <v>709</v>
      </c>
      <c r="CP4" s="157" t="s">
        <v>675</v>
      </c>
      <c r="CQ4" s="157" t="s">
        <v>676</v>
      </c>
      <c r="CR4" s="157" t="s">
        <v>677</v>
      </c>
      <c r="CS4" s="157" t="s">
        <v>678</v>
      </c>
      <c r="CT4" s="157" t="s">
        <v>679</v>
      </c>
      <c r="CU4" s="157" t="s">
        <v>680</v>
      </c>
      <c r="CV4" s="157" t="s">
        <v>683</v>
      </c>
      <c r="CW4" s="157" t="s">
        <v>684</v>
      </c>
      <c r="CX4" s="157" t="s">
        <v>681</v>
      </c>
      <c r="CY4" s="157"/>
      <c r="CZ4" s="175" t="s">
        <v>661</v>
      </c>
      <c r="DA4" s="175" t="s">
        <v>662</v>
      </c>
      <c r="DB4" s="175" t="s">
        <v>663</v>
      </c>
      <c r="DC4" s="175" t="s">
        <v>664</v>
      </c>
      <c r="DD4" s="175" t="s">
        <v>665</v>
      </c>
      <c r="DE4" s="175" t="s">
        <v>666</v>
      </c>
      <c r="DF4" s="175" t="s">
        <v>667</v>
      </c>
      <c r="DG4" s="175" t="s">
        <v>668</v>
      </c>
      <c r="DH4" s="175" t="s">
        <v>669</v>
      </c>
      <c r="DI4" s="175" t="s">
        <v>670</v>
      </c>
      <c r="DJ4" s="176" t="s">
        <v>671</v>
      </c>
      <c r="DK4" s="175" t="s">
        <v>672</v>
      </c>
      <c r="DL4" s="175" t="s">
        <v>673</v>
      </c>
      <c r="DM4" s="59"/>
      <c r="DN4" s="59"/>
      <c r="DO4" s="171" t="s">
        <v>630</v>
      </c>
      <c r="DP4" s="173" t="s">
        <v>632</v>
      </c>
    </row>
    <row r="5" spans="1:121" s="21" customFormat="1" ht="27" customHeight="1" thickBot="1" x14ac:dyDescent="0.35">
      <c r="A5" s="88" t="s">
        <v>1</v>
      </c>
      <c r="B5" s="65" t="s">
        <v>2</v>
      </c>
      <c r="C5" s="65" t="s">
        <v>3</v>
      </c>
      <c r="D5" s="65" t="s">
        <v>4</v>
      </c>
      <c r="E5" s="20" t="s">
        <v>5</v>
      </c>
      <c r="F5" s="33" t="s">
        <v>622</v>
      </c>
      <c r="G5" s="27" t="s">
        <v>623</v>
      </c>
      <c r="H5" s="27" t="s">
        <v>621</v>
      </c>
      <c r="I5" s="23" t="s">
        <v>622</v>
      </c>
      <c r="J5" s="23" t="s">
        <v>623</v>
      </c>
      <c r="K5" s="30" t="s">
        <v>621</v>
      </c>
      <c r="L5" s="11">
        <v>12</v>
      </c>
      <c r="M5" s="11">
        <v>1</v>
      </c>
      <c r="N5" s="11">
        <v>2</v>
      </c>
      <c r="O5" s="11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</v>
      </c>
      <c r="Z5" s="16">
        <v>2</v>
      </c>
      <c r="AA5" s="16">
        <v>3</v>
      </c>
      <c r="AB5" s="16">
        <v>4</v>
      </c>
      <c r="AC5" s="16">
        <v>5</v>
      </c>
      <c r="AD5" s="4" t="s">
        <v>6</v>
      </c>
      <c r="AE5" s="5">
        <v>12</v>
      </c>
      <c r="AF5" s="5">
        <v>1</v>
      </c>
      <c r="AG5" s="5">
        <v>2</v>
      </c>
      <c r="AH5" s="5">
        <v>3</v>
      </c>
      <c r="AI5" s="5">
        <v>4</v>
      </c>
      <c r="AJ5" s="5">
        <v>5</v>
      </c>
      <c r="AK5" s="5">
        <v>6</v>
      </c>
      <c r="AL5" s="5">
        <v>7</v>
      </c>
      <c r="AM5" s="5">
        <v>8</v>
      </c>
      <c r="AN5" s="5">
        <v>9</v>
      </c>
      <c r="AO5" s="5">
        <v>10</v>
      </c>
      <c r="AP5" s="5">
        <v>11</v>
      </c>
      <c r="AQ5" s="5">
        <v>12</v>
      </c>
      <c r="AR5" s="5">
        <v>1</v>
      </c>
      <c r="AS5" s="5">
        <v>2</v>
      </c>
      <c r="AT5" s="5">
        <v>3</v>
      </c>
      <c r="AU5" s="5">
        <v>4</v>
      </c>
      <c r="AV5" s="5">
        <v>5</v>
      </c>
      <c r="AW5" s="55">
        <v>3</v>
      </c>
      <c r="AX5" s="56">
        <v>2</v>
      </c>
      <c r="AY5" s="56">
        <v>1</v>
      </c>
      <c r="AZ5" s="56">
        <v>2</v>
      </c>
      <c r="BA5" s="56">
        <v>1</v>
      </c>
      <c r="BB5" s="56">
        <v>6</v>
      </c>
      <c r="BC5" s="56">
        <v>3</v>
      </c>
      <c r="BD5" s="56">
        <v>1</v>
      </c>
      <c r="BE5" s="56">
        <v>1</v>
      </c>
      <c r="BF5" s="106" t="s">
        <v>656</v>
      </c>
      <c r="BG5" s="106" t="s">
        <v>716</v>
      </c>
      <c r="BH5" s="106" t="s">
        <v>647</v>
      </c>
      <c r="BI5" s="106" t="s">
        <v>863</v>
      </c>
      <c r="BJ5" s="56">
        <v>1</v>
      </c>
      <c r="BK5" s="56">
        <v>1</v>
      </c>
      <c r="BL5" s="56"/>
      <c r="BM5" s="56"/>
      <c r="BN5" s="56">
        <v>1</v>
      </c>
      <c r="BO5" s="56">
        <v>7</v>
      </c>
      <c r="BP5" s="56">
        <v>1</v>
      </c>
      <c r="BQ5" s="56">
        <v>3</v>
      </c>
      <c r="BR5" s="106" t="s">
        <v>656</v>
      </c>
      <c r="BS5" s="106" t="s">
        <v>716</v>
      </c>
      <c r="BT5" s="106" t="s">
        <v>647</v>
      </c>
      <c r="BU5" s="106" t="s">
        <v>863</v>
      </c>
      <c r="BV5" s="56">
        <v>1</v>
      </c>
      <c r="BW5" s="56"/>
      <c r="BX5" s="56">
        <v>1</v>
      </c>
      <c r="BY5" s="73" t="s">
        <v>654</v>
      </c>
      <c r="BZ5" s="73" t="s">
        <v>654</v>
      </c>
      <c r="CA5" s="73" t="s">
        <v>654</v>
      </c>
      <c r="CB5" s="73" t="s">
        <v>654</v>
      </c>
      <c r="CC5" s="73" t="s">
        <v>654</v>
      </c>
      <c r="CD5" s="73"/>
      <c r="CE5" s="73"/>
      <c r="CF5" s="73" t="s">
        <v>654</v>
      </c>
      <c r="CG5" s="56">
        <v>1</v>
      </c>
      <c r="CH5" s="56">
        <v>1</v>
      </c>
      <c r="CI5" s="106"/>
      <c r="CJ5" s="106"/>
      <c r="CK5" s="106"/>
      <c r="CL5" s="106"/>
      <c r="CM5" s="56"/>
      <c r="CN5" s="56">
        <v>1</v>
      </c>
      <c r="CO5" s="79"/>
      <c r="CP5" s="157"/>
      <c r="CQ5" s="157"/>
      <c r="CR5" s="157"/>
      <c r="CS5" s="157"/>
      <c r="CT5" s="157"/>
      <c r="CU5" s="157"/>
      <c r="CV5" s="157"/>
      <c r="CW5" s="157"/>
      <c r="CX5" s="157"/>
      <c r="CY5" s="180"/>
      <c r="CZ5" s="175"/>
      <c r="DA5" s="175"/>
      <c r="DB5" s="175"/>
      <c r="DC5" s="175"/>
      <c r="DD5" s="175"/>
      <c r="DE5" s="175"/>
      <c r="DF5" s="175"/>
      <c r="DG5" s="175"/>
      <c r="DH5" s="175"/>
      <c r="DI5" s="175"/>
      <c r="DJ5" s="176"/>
      <c r="DK5" s="175"/>
      <c r="DL5" s="175"/>
      <c r="DM5" s="56"/>
      <c r="DN5" s="56"/>
      <c r="DO5" s="172"/>
      <c r="DP5" s="174"/>
    </row>
    <row r="6" spans="1:121" x14ac:dyDescent="0.3">
      <c r="A6" s="4" t="s">
        <v>8</v>
      </c>
      <c r="B6" s="4" t="s">
        <v>16</v>
      </c>
      <c r="C6" s="91" t="s">
        <v>17</v>
      </c>
      <c r="D6" s="4" t="s">
        <v>18</v>
      </c>
      <c r="E6" s="12">
        <v>3298.43</v>
      </c>
      <c r="F6" s="34">
        <f t="shared" ref="F6:F34" si="0">E6*G6</f>
        <v>946649.40999999992</v>
      </c>
      <c r="G6" s="28">
        <f t="shared" ref="G6:G34" si="1">SUM(M6:X6)</f>
        <v>287</v>
      </c>
      <c r="H6" s="28">
        <f t="shared" ref="H6:H34" si="2">ROUNDUP(G6/12,0)</f>
        <v>24</v>
      </c>
      <c r="I6" s="26">
        <f t="shared" ref="I6:I34" si="3">J6*E6</f>
        <v>0</v>
      </c>
      <c r="J6" s="24">
        <f t="shared" ref="J6:J34" si="4">SUM(Y6:AC6)</f>
        <v>0</v>
      </c>
      <c r="K6" s="31">
        <f t="shared" ref="K6:K34" si="5">ROUNDUP(J6/5,0)</f>
        <v>0</v>
      </c>
      <c r="L6" s="9">
        <v>0</v>
      </c>
      <c r="M6" s="9">
        <v>0</v>
      </c>
      <c r="N6" s="9">
        <v>0</v>
      </c>
      <c r="O6" s="9">
        <v>28</v>
      </c>
      <c r="P6" s="9">
        <v>28</v>
      </c>
      <c r="Q6" s="9">
        <v>35</v>
      </c>
      <c r="R6" s="9">
        <v>28</v>
      </c>
      <c r="S6" s="9">
        <v>35</v>
      </c>
      <c r="T6" s="9">
        <v>28</v>
      </c>
      <c r="U6" s="9">
        <v>28</v>
      </c>
      <c r="V6" s="9">
        <v>35</v>
      </c>
      <c r="W6" s="9">
        <v>28</v>
      </c>
      <c r="X6" s="9">
        <v>14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E6" s="6">
        <v>0</v>
      </c>
      <c r="AF6" s="6">
        <v>0</v>
      </c>
      <c r="AG6" s="6">
        <v>0</v>
      </c>
      <c r="AH6" s="6">
        <v>92356.04</v>
      </c>
      <c r="AI6" s="6">
        <v>92356.04</v>
      </c>
      <c r="AJ6" s="6">
        <v>115445.04999999999</v>
      </c>
      <c r="AK6" s="6">
        <v>92356.04</v>
      </c>
      <c r="AL6" s="6">
        <v>115445.04999999999</v>
      </c>
      <c r="AM6" s="6">
        <v>92356.04</v>
      </c>
      <c r="AN6" s="6">
        <v>92356.04</v>
      </c>
      <c r="AO6" s="6">
        <v>115445.04999999999</v>
      </c>
      <c r="AP6" s="6">
        <v>92356.04</v>
      </c>
      <c r="AQ6" s="6">
        <v>46178.02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93" t="str">
        <f>IF('PFM NON-SELL (Draft Layers)'!AW6="X","X"," ")</f>
        <v>X</v>
      </c>
      <c r="AX6" s="75" t="str">
        <f>IF('PFM NON-SELL (Draft Layers)'!AX6="X","X"," ")</f>
        <v>X</v>
      </c>
      <c r="AY6" s="75" t="str">
        <f>IF('PFM NON-SELL (Draft Layers)'!AY6="X","X"," ")</f>
        <v>X</v>
      </c>
      <c r="AZ6" s="75" t="str">
        <f>IF('PFM NON-SELL (Draft Layers)'!AZ6="X","X"," ")</f>
        <v xml:space="preserve"> </v>
      </c>
      <c r="BA6" s="75" t="str">
        <f>IF('PFM NON-SELL (Draft Layers)'!BA6="X","X"," ")</f>
        <v xml:space="preserve"> </v>
      </c>
      <c r="BB6" s="75" t="str">
        <f>IF('PFM NON-SELL (Draft Layers)'!BB6="X","X"," ")</f>
        <v xml:space="preserve"> </v>
      </c>
      <c r="BC6" s="75" t="str">
        <f>IF('PFM NON-SELL (Draft Layers)'!BC6="X","X"," ")</f>
        <v xml:space="preserve"> </v>
      </c>
      <c r="BD6" s="75" t="str">
        <f>IF('PFM NON-SELL (Draft Layers)'!BD6="X","X"," ")</f>
        <v xml:space="preserve"> </v>
      </c>
      <c r="BE6" s="75" t="str">
        <f>IF('PFM NON-SELL (Draft Layers)'!BE6="X","X"," ")</f>
        <v>X</v>
      </c>
      <c r="BF6" s="75" t="str">
        <f>IF('PFM NON-SELL (Draft Layers)'!BF6="X","X"," ")</f>
        <v>X</v>
      </c>
      <c r="BG6" s="75" t="str">
        <f>IF('PFM NON-SELL (Draft Layers)'!BG6="X","X"," ")</f>
        <v>X</v>
      </c>
      <c r="BH6" s="75" t="str">
        <f>IF('PFM NON-SELL (Draft Layers)'!BH6="X","X"," ")</f>
        <v xml:space="preserve"> </v>
      </c>
      <c r="BI6" s="75" t="str">
        <f>IF('PFM NON-SELL (Draft Layers)'!BI6="X","X"," ")</f>
        <v xml:space="preserve"> </v>
      </c>
      <c r="BJ6" s="75" t="str">
        <f>IF('PFM NON-SELL (Draft Layers)'!BJ6="X","X"," ")</f>
        <v>X</v>
      </c>
      <c r="BK6" s="75" t="str">
        <f>IF('PFM NON-SELL (Draft Layers)'!BK6="X","X"," ")</f>
        <v xml:space="preserve"> </v>
      </c>
      <c r="BL6" s="75" t="str">
        <f>IF('PFM NON-SELL (Draft Layers)'!BM6="X","X"," ")</f>
        <v>X</v>
      </c>
      <c r="BM6" s="75" t="str">
        <f>IF('PFM NON-SELL (Draft Layers)'!BN6="X","X"," ")</f>
        <v xml:space="preserve"> </v>
      </c>
      <c r="BN6" s="75" t="str">
        <f>IF('PFM NON-SELL (Draft Layers)'!BO6="X","X"," ")</f>
        <v xml:space="preserve"> </v>
      </c>
      <c r="BO6" s="75" t="str">
        <f>IF('PFM NON-SELL (Draft Layers)'!BP6="X","X"," ")</f>
        <v>X</v>
      </c>
      <c r="BP6" s="75" t="str">
        <f>IF('PFM NON-SELL (Draft Layers)'!BQ6="X","X"," ")</f>
        <v xml:space="preserve"> </v>
      </c>
      <c r="BQ6" s="75" t="str">
        <f>IF('PFM NON-SELL (Draft Layers)'!BR6="X","X"," ")</f>
        <v>X</v>
      </c>
      <c r="BR6" s="75" t="str">
        <f>IF('PFM NON-SELL (Draft Layers)'!BS6="X","X"," ")</f>
        <v>X</v>
      </c>
      <c r="BS6" s="75" t="str">
        <f>IF('PFM NON-SELL (Draft Layers)'!BT6="X","X"," ")</f>
        <v>X</v>
      </c>
      <c r="BT6" s="75" t="str">
        <f>IF('PFM NON-SELL (Draft Layers)'!BU6="X","X"," ")</f>
        <v xml:space="preserve"> </v>
      </c>
      <c r="BU6" s="75" t="str">
        <f>IF('PFM NON-SELL (Draft Layers)'!BV6="X","X"," ")</f>
        <v xml:space="preserve"> </v>
      </c>
      <c r="BV6" s="75" t="str">
        <f>IF('PFM NON-SELL (Draft Layers)'!BW6="X","X"," ")</f>
        <v xml:space="preserve"> </v>
      </c>
      <c r="BW6" s="75" t="str">
        <f>IF('PFM NON-SELL (Draft Layers)'!BY6="X","X"," ")</f>
        <v xml:space="preserve"> </v>
      </c>
      <c r="BX6" s="75" t="str">
        <f>IF('PFM NON-SELL (Draft Layers)'!BZ6="X","X"," ")</f>
        <v>X</v>
      </c>
      <c r="BY6" s="75" t="str">
        <f>IF('PFM NON-SELL (Draft Layers)'!CA6="X","X"," ")</f>
        <v xml:space="preserve"> </v>
      </c>
      <c r="BZ6" s="75" t="str">
        <f>IF('PFM NON-SELL (Draft Layers)'!CB6="X","X"," ")</f>
        <v>X</v>
      </c>
      <c r="CA6" s="75" t="str">
        <f>IF('PFM NON-SELL (Draft Layers)'!CC6="X","X"," ")</f>
        <v>X</v>
      </c>
      <c r="CB6" s="75" t="str">
        <f>IF('PFM NON-SELL (Draft Layers)'!CD6="X","X"," ")</f>
        <v>X</v>
      </c>
      <c r="CC6" s="75" t="str">
        <f>IF('PFM NON-SELL (Draft Layers)'!CE6="X","X"," ")</f>
        <v xml:space="preserve"> </v>
      </c>
      <c r="CD6" s="75" t="str">
        <f>IF('PFM NON-SELL (Draft Layers)'!CF6="X","X"," ")</f>
        <v>X</v>
      </c>
      <c r="CE6" s="75" t="str">
        <f>IF('PFM NON-SELL (Draft Layers)'!CG6="X","X"," ")</f>
        <v xml:space="preserve"> </v>
      </c>
      <c r="CF6" s="75" t="str">
        <f>IF('PFM NON-SELL (Draft Layers)'!CH6="X","X"," ")</f>
        <v>X</v>
      </c>
      <c r="CG6" s="75" t="str">
        <f>IF('PFM NON-SELL (Draft Layers)'!CI6="X","X"," ")</f>
        <v>X</v>
      </c>
      <c r="CH6" s="75" t="str">
        <f>IF('PFM NON-SELL (Draft Layers)'!CJ6="X","X"," ")</f>
        <v xml:space="preserve"> </v>
      </c>
      <c r="CI6" s="75" t="str">
        <f>IF('PFM NON-SELL (Draft Layers)'!CN6="X","X"," ")</f>
        <v xml:space="preserve"> </v>
      </c>
      <c r="CJ6" s="75" t="str">
        <f>IF('PFM NON-SELL (Draft Layers)'!CO6="X","X"," ")</f>
        <v xml:space="preserve"> </v>
      </c>
      <c r="CK6" s="75" t="str">
        <f>IF('PFM NON-SELL (Draft Layers)'!CP6="X","X"," ")</f>
        <v xml:space="preserve"> </v>
      </c>
      <c r="CL6" s="75" t="str">
        <f>IF('PFM NON-SELL (Draft Layers)'!CQ6="X","X"," ")</f>
        <v xml:space="preserve"> </v>
      </c>
      <c r="CM6" s="75" t="str">
        <f>IF('PFM NON-SELL (Draft Layers)'!CV6="X","X"," ")</f>
        <v xml:space="preserve"> </v>
      </c>
      <c r="CN6" s="75" t="str">
        <f>IF('PFM NON-SELL (Draft Layers)'!CW6="X","X"," ")</f>
        <v>X</v>
      </c>
      <c r="CO6" s="75" t="str">
        <f>IF('PFM NON-SELL (Draft Layers)'!CX6="X","X"," ")</f>
        <v xml:space="preserve"> </v>
      </c>
      <c r="CP6" s="75" t="str">
        <f>IF('PFM NON-SELL (Draft Layers)'!CY6="X","X"," ")</f>
        <v xml:space="preserve"> </v>
      </c>
      <c r="CQ6" s="75" t="str">
        <f>IF('PFM NON-SELL (Draft Layers)'!CZ6="X","X"," ")</f>
        <v xml:space="preserve"> </v>
      </c>
      <c r="CR6" s="75" t="str">
        <f>IF('PFM NON-SELL (Draft Layers)'!DA6="X","X"," ")</f>
        <v xml:space="preserve"> </v>
      </c>
      <c r="CS6" s="75" t="str">
        <f>IF('PFM NON-SELL (Draft Layers)'!DB6="X","X"," ")</f>
        <v>X</v>
      </c>
      <c r="CT6" s="75" t="str">
        <f>IF('PFM NON-SELL (Draft Layers)'!DC6="X","X"," ")</f>
        <v xml:space="preserve"> </v>
      </c>
      <c r="CU6" s="75" t="str">
        <f>IF('PFM NON-SELL (Draft Layers)'!DD6="X","X"," ")</f>
        <v xml:space="preserve"> </v>
      </c>
      <c r="CV6" s="75" t="str">
        <f>IF('PFM NON-SELL (Draft Layers)'!DE6="X","X"," ")</f>
        <v xml:space="preserve"> </v>
      </c>
      <c r="CW6" s="75" t="str">
        <f>IF('PFM NON-SELL (Draft Layers)'!DF6="X","X"," ")</f>
        <v xml:space="preserve"> </v>
      </c>
      <c r="CX6" s="75" t="str">
        <f>IF('PFM NON-SELL (Draft Layers)'!DG6="X","X"," ")</f>
        <v xml:space="preserve"> </v>
      </c>
      <c r="CY6" s="75" t="str">
        <f>IF('PFM NON-SELL (Draft Layers)'!DH6="X","X"," ")</f>
        <v>X</v>
      </c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92"/>
      <c r="DO6" s="89">
        <f t="shared" ref="DO6:DO50" si="6">COUNTIF(AW6:DN6,"x")</f>
        <v>22</v>
      </c>
      <c r="DP6" s="21"/>
      <c r="DQ6" s="21"/>
    </row>
    <row r="7" spans="1:121" x14ac:dyDescent="0.3">
      <c r="A7" s="4" t="s">
        <v>8</v>
      </c>
      <c r="B7" s="4" t="s">
        <v>16</v>
      </c>
      <c r="C7" s="91" t="s">
        <v>19</v>
      </c>
      <c r="D7" s="4" t="s">
        <v>20</v>
      </c>
      <c r="E7" s="12">
        <v>640.07000000000005</v>
      </c>
      <c r="F7" s="34">
        <f t="shared" si="0"/>
        <v>312994.23000000004</v>
      </c>
      <c r="G7" s="28">
        <f t="shared" si="1"/>
        <v>489</v>
      </c>
      <c r="H7" s="28">
        <f t="shared" si="2"/>
        <v>41</v>
      </c>
      <c r="I7" s="26">
        <f t="shared" si="3"/>
        <v>179219.6</v>
      </c>
      <c r="J7" s="24">
        <f t="shared" si="4"/>
        <v>280</v>
      </c>
      <c r="K7" s="31">
        <f t="shared" si="5"/>
        <v>56</v>
      </c>
      <c r="L7" s="9">
        <v>8</v>
      </c>
      <c r="M7" s="9">
        <v>5</v>
      </c>
      <c r="N7" s="9">
        <v>0</v>
      </c>
      <c r="O7" s="9">
        <v>60</v>
      </c>
      <c r="P7" s="9">
        <v>80</v>
      </c>
      <c r="Q7" s="9">
        <v>80</v>
      </c>
      <c r="R7" s="9">
        <v>64</v>
      </c>
      <c r="S7" s="9">
        <v>60</v>
      </c>
      <c r="T7" s="9">
        <v>40</v>
      </c>
      <c r="U7" s="9">
        <v>40</v>
      </c>
      <c r="V7" s="9">
        <v>0</v>
      </c>
      <c r="W7" s="9">
        <v>0</v>
      </c>
      <c r="X7" s="9">
        <v>60</v>
      </c>
      <c r="Y7" s="9">
        <v>80</v>
      </c>
      <c r="Z7" s="9">
        <v>60</v>
      </c>
      <c r="AA7" s="9">
        <v>60</v>
      </c>
      <c r="AB7" s="9">
        <v>40</v>
      </c>
      <c r="AC7" s="9">
        <v>40</v>
      </c>
      <c r="AE7" s="6">
        <v>5120.5600000000004</v>
      </c>
      <c r="AF7" s="6">
        <v>3200.3500000000004</v>
      </c>
      <c r="AG7" s="6">
        <v>0</v>
      </c>
      <c r="AH7" s="6">
        <v>38404.200000000004</v>
      </c>
      <c r="AI7" s="6">
        <v>51205.600000000006</v>
      </c>
      <c r="AJ7" s="6">
        <v>51205.600000000006</v>
      </c>
      <c r="AK7" s="6">
        <v>40964.480000000003</v>
      </c>
      <c r="AL7" s="6">
        <v>38404.200000000004</v>
      </c>
      <c r="AM7" s="6">
        <v>25602.800000000003</v>
      </c>
      <c r="AN7" s="6">
        <v>25602.800000000003</v>
      </c>
      <c r="AO7" s="6">
        <v>0</v>
      </c>
      <c r="AP7" s="6">
        <v>0</v>
      </c>
      <c r="AQ7" s="6">
        <v>38404.200000000004</v>
      </c>
      <c r="AR7" s="6">
        <v>51205.600000000006</v>
      </c>
      <c r="AS7" s="6">
        <v>38404.200000000004</v>
      </c>
      <c r="AT7" s="6">
        <v>38404.200000000004</v>
      </c>
      <c r="AU7" s="6">
        <v>25602.800000000003</v>
      </c>
      <c r="AV7" s="6">
        <v>25602.800000000003</v>
      </c>
      <c r="AW7" s="93" t="str">
        <f>IF('PFM NON-SELL (Draft Layers)'!AW7="X","X"," ")</f>
        <v xml:space="preserve"> </v>
      </c>
      <c r="AX7" s="76" t="str">
        <f>IF('PFM NON-SELL (Draft Layers)'!AX7="X","X"," ")</f>
        <v>X</v>
      </c>
      <c r="AY7" s="94" t="str">
        <f>IF('PFM NON-SELL (Draft Layers)'!AY7="X","X"," ")</f>
        <v xml:space="preserve"> </v>
      </c>
      <c r="AZ7" s="76" t="str">
        <f>IF('PFM NON-SELL (Draft Layers)'!AZ7="X","X"," ")</f>
        <v xml:space="preserve"> </v>
      </c>
      <c r="BA7" s="76" t="str">
        <f>IF('PFM NON-SELL (Draft Layers)'!BA7="X","X"," ")</f>
        <v xml:space="preserve"> </v>
      </c>
      <c r="BB7" s="76" t="str">
        <f>IF('PFM NON-SELL (Draft Layers)'!BB7="X","X"," ")</f>
        <v xml:space="preserve"> </v>
      </c>
      <c r="BC7" s="76" t="str">
        <f>IF('PFM NON-SELL (Draft Layers)'!BC7="X","X"," ")</f>
        <v xml:space="preserve"> </v>
      </c>
      <c r="BD7" s="76" t="str">
        <f>IF('PFM NON-SELL (Draft Layers)'!BD7="X","X"," ")</f>
        <v xml:space="preserve"> </v>
      </c>
      <c r="BE7" s="76" t="str">
        <f>IF('PFM NON-SELL (Draft Layers)'!BE7="X","X"," ")</f>
        <v xml:space="preserve"> </v>
      </c>
      <c r="BF7" s="76" t="str">
        <f>IF('PFM NON-SELL (Draft Layers)'!BF7="X","X"," ")</f>
        <v xml:space="preserve"> </v>
      </c>
      <c r="BG7" s="76" t="str">
        <f>IF('PFM NON-SELL (Draft Layers)'!BG7="X","X"," ")</f>
        <v xml:space="preserve"> </v>
      </c>
      <c r="BH7" s="76" t="str">
        <f>IF('PFM NON-SELL (Draft Layers)'!BH7="X","X"," ")</f>
        <v xml:space="preserve"> </v>
      </c>
      <c r="BI7" s="76" t="str">
        <f>IF('PFM NON-SELL (Draft Layers)'!BI7="X","X"," ")</f>
        <v xml:space="preserve"> </v>
      </c>
      <c r="BJ7" s="76" t="str">
        <f>IF('PFM NON-SELL (Draft Layers)'!BJ7="X","X"," ")</f>
        <v xml:space="preserve"> </v>
      </c>
      <c r="BK7" s="76" t="str">
        <f>IF('PFM NON-SELL (Draft Layers)'!BK7="X","X"," ")</f>
        <v xml:space="preserve"> </v>
      </c>
      <c r="BL7" s="76" t="str">
        <f>IF('PFM NON-SELL (Draft Layers)'!BM7="X","X"," ")</f>
        <v xml:space="preserve"> </v>
      </c>
      <c r="BM7" s="76" t="str">
        <f>IF('PFM NON-SELL (Draft Layers)'!BN7="X","X"," ")</f>
        <v xml:space="preserve"> </v>
      </c>
      <c r="BN7" s="76" t="str">
        <f>IF('PFM NON-SELL (Draft Layers)'!BO7="X","X"," ")</f>
        <v xml:space="preserve"> </v>
      </c>
      <c r="BO7" s="76" t="str">
        <f>IF('PFM NON-SELL (Draft Layers)'!BP7="X","X"," ")</f>
        <v>X</v>
      </c>
      <c r="BP7" s="76" t="str">
        <f>IF('PFM NON-SELL (Draft Layers)'!BQ7="X","X"," ")</f>
        <v xml:space="preserve"> </v>
      </c>
      <c r="BQ7" s="76" t="str">
        <f>IF('PFM NON-SELL (Draft Layers)'!BR7="X","X"," ")</f>
        <v xml:space="preserve"> </v>
      </c>
      <c r="BR7" s="76" t="str">
        <f>IF('PFM NON-SELL (Draft Layers)'!BS7="X","X"," ")</f>
        <v xml:space="preserve"> </v>
      </c>
      <c r="BS7" s="76" t="str">
        <f>IF('PFM NON-SELL (Draft Layers)'!BT7="X","X"," ")</f>
        <v xml:space="preserve"> </v>
      </c>
      <c r="BT7" s="76" t="str">
        <f>IF('PFM NON-SELL (Draft Layers)'!BU7="X","X"," ")</f>
        <v xml:space="preserve"> </v>
      </c>
      <c r="BU7" s="76" t="str">
        <f>IF('PFM NON-SELL (Draft Layers)'!BV7="X","X"," ")</f>
        <v xml:space="preserve"> </v>
      </c>
      <c r="BV7" s="76" t="str">
        <f>IF('PFM NON-SELL (Draft Layers)'!BW7="X","X"," ")</f>
        <v xml:space="preserve"> </v>
      </c>
      <c r="BW7" s="76" t="str">
        <f>IF('PFM NON-SELL (Draft Layers)'!BY7="X","X"," ")</f>
        <v xml:space="preserve"> </v>
      </c>
      <c r="BX7" s="76" t="str">
        <f>IF('PFM NON-SELL (Draft Layers)'!BZ7="X","X"," ")</f>
        <v>X</v>
      </c>
      <c r="BY7" s="76" t="str">
        <f>IF('PFM NON-SELL (Draft Layers)'!CA7="X","X"," ")</f>
        <v xml:space="preserve"> </v>
      </c>
      <c r="BZ7" s="76" t="str">
        <f>IF('PFM NON-SELL (Draft Layers)'!CB7="X","X"," ")</f>
        <v xml:space="preserve"> </v>
      </c>
      <c r="CA7" s="76" t="str">
        <f>IF('PFM NON-SELL (Draft Layers)'!CC7="X","X"," ")</f>
        <v xml:space="preserve"> </v>
      </c>
      <c r="CB7" s="76" t="str">
        <f>IF('PFM NON-SELL (Draft Layers)'!CD7="X","X"," ")</f>
        <v xml:space="preserve"> </v>
      </c>
      <c r="CC7" s="76" t="str">
        <f>IF('PFM NON-SELL (Draft Layers)'!CE7="X","X"," ")</f>
        <v xml:space="preserve"> </v>
      </c>
      <c r="CD7" s="76" t="str">
        <f>IF('PFM NON-SELL (Draft Layers)'!CF7="X","X"," ")</f>
        <v xml:space="preserve"> </v>
      </c>
      <c r="CE7" s="76" t="str">
        <f>IF('PFM NON-SELL (Draft Layers)'!CG7="X","X"," ")</f>
        <v>X</v>
      </c>
      <c r="CF7" s="76" t="str">
        <f>IF('PFM NON-SELL (Draft Layers)'!CH7="X","X"," ")</f>
        <v>X</v>
      </c>
      <c r="CG7" s="94" t="str">
        <f>IF('PFM NON-SELL (Draft Layers)'!CI7="X","X"," ")</f>
        <v>X</v>
      </c>
      <c r="CH7" s="76" t="str">
        <f>IF('PFM NON-SELL (Draft Layers)'!CJ7="X","X"," ")</f>
        <v xml:space="preserve"> </v>
      </c>
      <c r="CI7" s="76" t="str">
        <f>IF('PFM NON-SELL (Draft Layers)'!CN7="X","X"," ")</f>
        <v xml:space="preserve"> </v>
      </c>
      <c r="CJ7" s="76" t="str">
        <f>IF('PFM NON-SELL (Draft Layers)'!CO7="X","X"," ")</f>
        <v xml:space="preserve"> </v>
      </c>
      <c r="CK7" s="76" t="str">
        <f>IF('PFM NON-SELL (Draft Layers)'!CP7="X","X"," ")</f>
        <v xml:space="preserve"> </v>
      </c>
      <c r="CL7" s="76" t="str">
        <f>IF('PFM NON-SELL (Draft Layers)'!CQ7="X","X"," ")</f>
        <v xml:space="preserve"> </v>
      </c>
      <c r="CM7" s="76" t="str">
        <f>IF('PFM NON-SELL (Draft Layers)'!CV7="X","X"," ")</f>
        <v xml:space="preserve"> </v>
      </c>
      <c r="CN7" s="76" t="str">
        <f>IF('PFM NON-SELL (Draft Layers)'!CW7="X","X"," ")</f>
        <v xml:space="preserve"> </v>
      </c>
      <c r="CO7" s="76" t="str">
        <f>IF('PFM NON-SELL (Draft Layers)'!CX7="X","X"," ")</f>
        <v xml:space="preserve"> </v>
      </c>
      <c r="CP7" s="76" t="str">
        <f>IF('PFM NON-SELL (Draft Layers)'!CY7="X","X"," ")</f>
        <v xml:space="preserve"> </v>
      </c>
      <c r="CQ7" s="76" t="str">
        <f>IF('PFM NON-SELL (Draft Layers)'!CZ7="X","X"," ")</f>
        <v xml:space="preserve"> </v>
      </c>
      <c r="CR7" s="76" t="str">
        <f>IF('PFM NON-SELL (Draft Layers)'!DA7="X","X"," ")</f>
        <v xml:space="preserve"> </v>
      </c>
      <c r="CS7" s="76" t="str">
        <f>IF('PFM NON-SELL (Draft Layers)'!DB7="X","X"," ")</f>
        <v>X</v>
      </c>
      <c r="CT7" s="76" t="str">
        <f>IF('PFM NON-SELL (Draft Layers)'!DC7="X","X"," ")</f>
        <v xml:space="preserve"> </v>
      </c>
      <c r="CU7" s="76" t="str">
        <f>IF('PFM NON-SELL (Draft Layers)'!DD7="X","X"," ")</f>
        <v xml:space="preserve"> </v>
      </c>
      <c r="CV7" s="76" t="str">
        <f>IF('PFM NON-SELL (Draft Layers)'!DE7="X","X"," ")</f>
        <v xml:space="preserve"> </v>
      </c>
      <c r="CW7" s="76" t="str">
        <f>IF('PFM NON-SELL (Draft Layers)'!DF7="X","X"," ")</f>
        <v xml:space="preserve"> </v>
      </c>
      <c r="CX7" s="76" t="str">
        <f>IF('PFM NON-SELL (Draft Layers)'!DG7="X","X"," ")</f>
        <v xml:space="preserve"> </v>
      </c>
      <c r="CY7" s="76" t="str">
        <f>IF('PFM NON-SELL (Draft Layers)'!DH7="X","X"," ")</f>
        <v>X</v>
      </c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95"/>
      <c r="DO7" s="90">
        <f t="shared" si="6"/>
        <v>8</v>
      </c>
      <c r="DP7" s="21"/>
      <c r="DQ7" s="21"/>
    </row>
    <row r="8" spans="1:121" x14ac:dyDescent="0.3">
      <c r="A8" s="4" t="s">
        <v>8</v>
      </c>
      <c r="B8" s="4" t="s">
        <v>24</v>
      </c>
      <c r="C8" s="91" t="s">
        <v>25</v>
      </c>
      <c r="D8" s="4" t="s">
        <v>26</v>
      </c>
      <c r="E8" s="12">
        <v>255.84</v>
      </c>
      <c r="F8" s="34">
        <f t="shared" si="0"/>
        <v>174482.88</v>
      </c>
      <c r="G8" s="28">
        <f t="shared" si="1"/>
        <v>682</v>
      </c>
      <c r="H8" s="28">
        <f t="shared" si="2"/>
        <v>57</v>
      </c>
      <c r="I8" s="26">
        <f t="shared" si="3"/>
        <v>326451.84000000003</v>
      </c>
      <c r="J8" s="24">
        <f t="shared" si="4"/>
        <v>1276</v>
      </c>
      <c r="K8" s="31">
        <f t="shared" si="5"/>
        <v>256</v>
      </c>
      <c r="L8" s="9">
        <v>200</v>
      </c>
      <c r="M8" s="9">
        <v>100</v>
      </c>
      <c r="N8" s="9">
        <v>0</v>
      </c>
      <c r="O8" s="9">
        <v>50</v>
      </c>
      <c r="P8" s="9">
        <v>100</v>
      </c>
      <c r="Q8" s="9">
        <v>0</v>
      </c>
      <c r="R8" s="9">
        <v>0</v>
      </c>
      <c r="S8" s="9">
        <v>100</v>
      </c>
      <c r="T8" s="9">
        <v>0</v>
      </c>
      <c r="U8" s="9">
        <v>0</v>
      </c>
      <c r="V8" s="9">
        <v>0</v>
      </c>
      <c r="W8" s="9">
        <v>100</v>
      </c>
      <c r="X8" s="9">
        <v>232</v>
      </c>
      <c r="Y8" s="9">
        <v>290</v>
      </c>
      <c r="Z8" s="9">
        <v>232</v>
      </c>
      <c r="AA8" s="9">
        <v>232</v>
      </c>
      <c r="AB8" s="9">
        <v>290</v>
      </c>
      <c r="AC8" s="9">
        <v>232</v>
      </c>
      <c r="AE8" s="6">
        <v>51168</v>
      </c>
      <c r="AF8" s="6">
        <v>25584</v>
      </c>
      <c r="AG8" s="6">
        <v>0</v>
      </c>
      <c r="AH8" s="6">
        <v>12792</v>
      </c>
      <c r="AI8" s="6">
        <v>25584</v>
      </c>
      <c r="AJ8" s="6">
        <v>0</v>
      </c>
      <c r="AK8" s="6">
        <v>0</v>
      </c>
      <c r="AL8" s="6">
        <v>25584</v>
      </c>
      <c r="AM8" s="6">
        <v>0</v>
      </c>
      <c r="AN8" s="6">
        <v>0</v>
      </c>
      <c r="AO8" s="6">
        <v>0</v>
      </c>
      <c r="AP8" s="6">
        <v>25584</v>
      </c>
      <c r="AQ8" s="6">
        <v>59354.879999999997</v>
      </c>
      <c r="AR8" s="6">
        <v>74193.600000000006</v>
      </c>
      <c r="AS8" s="6">
        <v>59354.879999999997</v>
      </c>
      <c r="AT8" s="6">
        <v>59354.879999999997</v>
      </c>
      <c r="AU8" s="6">
        <v>74193.600000000006</v>
      </c>
      <c r="AV8" s="6">
        <v>59354.879999999997</v>
      </c>
      <c r="AW8" s="93" t="str">
        <f>IF('PFM NON-SELL (Draft Layers)'!AW15="X","X"," ")</f>
        <v>X</v>
      </c>
      <c r="AX8" s="76" t="str">
        <f>IF('PFM NON-SELL (Draft Layers)'!AX15="X","X"," ")</f>
        <v>X</v>
      </c>
      <c r="AY8" s="76" t="str">
        <f>IF('PFM NON-SELL (Draft Layers)'!AY15="X","X"," ")</f>
        <v xml:space="preserve"> </v>
      </c>
      <c r="AZ8" s="76" t="str">
        <f>IF('PFM NON-SELL (Draft Layers)'!AZ15="X","X"," ")</f>
        <v xml:space="preserve"> </v>
      </c>
      <c r="BA8" s="76" t="str">
        <f>IF('PFM NON-SELL (Draft Layers)'!BA15="X","X"," ")</f>
        <v>X</v>
      </c>
      <c r="BB8" s="76" t="str">
        <f>IF('PFM NON-SELL (Draft Layers)'!BB15="X","X"," ")</f>
        <v>X</v>
      </c>
      <c r="BC8" s="76" t="str">
        <f>IF('PFM NON-SELL (Draft Layers)'!BC15="X","X"," ")</f>
        <v xml:space="preserve"> </v>
      </c>
      <c r="BD8" s="76" t="str">
        <f>IF('PFM NON-SELL (Draft Layers)'!BD15="X","X"," ")</f>
        <v xml:space="preserve"> </v>
      </c>
      <c r="BE8" s="76" t="str">
        <f>IF('PFM NON-SELL (Draft Layers)'!BE15="X","X"," ")</f>
        <v xml:space="preserve"> </v>
      </c>
      <c r="BF8" s="76" t="str">
        <f>IF('PFM NON-SELL (Draft Layers)'!BF15="X","X"," ")</f>
        <v xml:space="preserve"> </v>
      </c>
      <c r="BG8" s="76" t="str">
        <f>IF('PFM NON-SELL (Draft Layers)'!BG15="X","X"," ")</f>
        <v xml:space="preserve"> </v>
      </c>
      <c r="BH8" s="76" t="str">
        <f>IF('PFM NON-SELL (Draft Layers)'!BH15="X","X"," ")</f>
        <v xml:space="preserve"> </v>
      </c>
      <c r="BI8" s="76" t="str">
        <f>IF('PFM NON-SELL (Draft Layers)'!BI15="X","X"," ")</f>
        <v xml:space="preserve"> </v>
      </c>
      <c r="BJ8" s="76" t="str">
        <f>IF('PFM NON-SELL (Draft Layers)'!BJ15="X","X"," ")</f>
        <v xml:space="preserve"> </v>
      </c>
      <c r="BK8" s="76" t="str">
        <f>IF('PFM NON-SELL (Draft Layers)'!BK15="X","X"," ")</f>
        <v xml:space="preserve"> </v>
      </c>
      <c r="BL8" s="76" t="str">
        <f>IF('PFM NON-SELL (Draft Layers)'!BM15="X","X"," ")</f>
        <v xml:space="preserve"> </v>
      </c>
      <c r="BM8" s="76" t="str">
        <f>IF('PFM NON-SELL (Draft Layers)'!BN15="X","X"," ")</f>
        <v xml:space="preserve"> </v>
      </c>
      <c r="BN8" s="76" t="str">
        <f>IF('PFM NON-SELL (Draft Layers)'!BO15="X","X"," ")</f>
        <v>X</v>
      </c>
      <c r="BO8" s="76" t="str">
        <f>IF('PFM NON-SELL (Draft Layers)'!BP15="X","X"," ")</f>
        <v>X</v>
      </c>
      <c r="BP8" s="76" t="str">
        <f>IF('PFM NON-SELL (Draft Layers)'!BQ15="X","X"," ")</f>
        <v xml:space="preserve"> </v>
      </c>
      <c r="BQ8" s="76" t="str">
        <f>IF('PFM NON-SELL (Draft Layers)'!BR15="X","X"," ")</f>
        <v xml:space="preserve"> </v>
      </c>
      <c r="BR8" s="76" t="str">
        <f>IF('PFM NON-SELL (Draft Layers)'!BS15="X","X"," ")</f>
        <v xml:space="preserve"> </v>
      </c>
      <c r="BS8" s="76" t="str">
        <f>IF('PFM NON-SELL (Draft Layers)'!BT15="X","X"," ")</f>
        <v xml:space="preserve"> </v>
      </c>
      <c r="BT8" s="76" t="str">
        <f>IF('PFM NON-SELL (Draft Layers)'!BU15="X","X"," ")</f>
        <v xml:space="preserve"> </v>
      </c>
      <c r="BU8" s="76" t="str">
        <f>IF('PFM NON-SELL (Draft Layers)'!BV15="X","X"," ")</f>
        <v xml:space="preserve"> </v>
      </c>
      <c r="BV8" s="76" t="str">
        <f>IF('PFM NON-SELL (Draft Layers)'!BW15="X","X"," ")</f>
        <v xml:space="preserve"> </v>
      </c>
      <c r="BW8" s="76" t="str">
        <f>IF('PFM NON-SELL (Draft Layers)'!BY15="X","X"," ")</f>
        <v xml:space="preserve"> </v>
      </c>
      <c r="BX8" s="76" t="str">
        <f>IF('PFM NON-SELL (Draft Layers)'!BZ15="X","X"," ")</f>
        <v>X</v>
      </c>
      <c r="BY8" s="76" t="str">
        <f>IF('PFM NON-SELL (Draft Layers)'!CA15="X","X"," ")</f>
        <v xml:space="preserve"> </v>
      </c>
      <c r="BZ8" s="76" t="str">
        <f>IF('PFM NON-SELL (Draft Layers)'!CB15="X","X"," ")</f>
        <v xml:space="preserve"> </v>
      </c>
      <c r="CA8" s="76" t="str">
        <f>IF('PFM NON-SELL (Draft Layers)'!CC15="X","X"," ")</f>
        <v xml:space="preserve"> </v>
      </c>
      <c r="CB8" s="76" t="str">
        <f>IF('PFM NON-SELL (Draft Layers)'!CD15="X","X"," ")</f>
        <v xml:space="preserve"> </v>
      </c>
      <c r="CC8" s="76" t="str">
        <f>IF('PFM NON-SELL (Draft Layers)'!CE15="X","X"," ")</f>
        <v xml:space="preserve"> </v>
      </c>
      <c r="CD8" s="76" t="str">
        <f>IF('PFM NON-SELL (Draft Layers)'!CF15="X","X"," ")</f>
        <v xml:space="preserve"> </v>
      </c>
      <c r="CE8" s="76" t="str">
        <f>IF('PFM NON-SELL (Draft Layers)'!CG15="X","X"," ")</f>
        <v xml:space="preserve"> </v>
      </c>
      <c r="CF8" s="76" t="str">
        <f>IF('PFM NON-SELL (Draft Layers)'!CH15="X","X"," ")</f>
        <v>X</v>
      </c>
      <c r="CG8" s="76" t="str">
        <f>IF('PFM NON-SELL (Draft Layers)'!CI15="X","X"," ")</f>
        <v>X</v>
      </c>
      <c r="CH8" s="76" t="str">
        <f>IF('PFM NON-SELL (Draft Layers)'!CJ15="X","X"," ")</f>
        <v xml:space="preserve"> </v>
      </c>
      <c r="CI8" s="76" t="str">
        <f>IF('PFM NON-SELL (Draft Layers)'!CN15="X","X"," ")</f>
        <v xml:space="preserve"> </v>
      </c>
      <c r="CJ8" s="76" t="str">
        <f>IF('PFM NON-SELL (Draft Layers)'!CO15="X","X"," ")</f>
        <v xml:space="preserve"> </v>
      </c>
      <c r="CK8" s="76" t="str">
        <f>IF('PFM NON-SELL (Draft Layers)'!CP15="X","X"," ")</f>
        <v xml:space="preserve"> </v>
      </c>
      <c r="CL8" s="76" t="str">
        <f>IF('PFM NON-SELL (Draft Layers)'!CQ15="X","X"," ")</f>
        <v xml:space="preserve"> </v>
      </c>
      <c r="CM8" s="76" t="str">
        <f>IF('PFM NON-SELL (Draft Layers)'!CV15="X","X"," ")</f>
        <v xml:space="preserve"> </v>
      </c>
      <c r="CN8" s="76" t="str">
        <f>IF('PFM NON-SELL (Draft Layers)'!CW15="X","X"," ")</f>
        <v>X</v>
      </c>
      <c r="CO8" s="76" t="str">
        <f>IF('PFM NON-SELL (Draft Layers)'!CX15="X","X"," ")</f>
        <v>X</v>
      </c>
      <c r="CP8" s="76" t="str">
        <f>IF('PFM NON-SELL (Draft Layers)'!CY15="X","X"," ")</f>
        <v xml:space="preserve"> </v>
      </c>
      <c r="CQ8" s="76" t="str">
        <f>IF('PFM NON-SELL (Draft Layers)'!CZ15="X","X"," ")</f>
        <v xml:space="preserve"> </v>
      </c>
      <c r="CR8" s="76" t="str">
        <f>IF('PFM NON-SELL (Draft Layers)'!DA15="X","X"," ")</f>
        <v xml:space="preserve"> </v>
      </c>
      <c r="CS8" s="76" t="str">
        <f>IF('PFM NON-SELL (Draft Layers)'!DB15="X","X"," ")</f>
        <v xml:space="preserve"> </v>
      </c>
      <c r="CT8" s="76" t="str">
        <f>IF('PFM NON-SELL (Draft Layers)'!DC15="X","X"," ")</f>
        <v xml:space="preserve"> </v>
      </c>
      <c r="CU8" s="76" t="str">
        <f>IF('PFM NON-SELL (Draft Layers)'!DD15="X","X"," ")</f>
        <v xml:space="preserve"> </v>
      </c>
      <c r="CV8" s="76" t="str">
        <f>IF('PFM NON-SELL (Draft Layers)'!DE15="X","X"," ")</f>
        <v>X</v>
      </c>
      <c r="CW8" s="76" t="str">
        <f>IF('PFM NON-SELL (Draft Layers)'!DF15="X","X"," ")</f>
        <v xml:space="preserve"> </v>
      </c>
      <c r="CX8" s="76" t="str">
        <f>IF('PFM NON-SELL (Draft Layers)'!DG15="X","X"," ")</f>
        <v xml:space="preserve"> </v>
      </c>
      <c r="CY8" s="76" t="str">
        <f>IF('PFM NON-SELL (Draft Layers)'!DH15="X","X"," ")</f>
        <v>X</v>
      </c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95"/>
      <c r="DO8" s="90">
        <f t="shared" si="6"/>
        <v>13</v>
      </c>
      <c r="DP8" s="21"/>
      <c r="DQ8" s="21"/>
    </row>
    <row r="9" spans="1:121" x14ac:dyDescent="0.3">
      <c r="A9" s="4" t="s">
        <v>8</v>
      </c>
      <c r="B9" s="4" t="s">
        <v>27</v>
      </c>
      <c r="C9" s="91" t="s">
        <v>28</v>
      </c>
      <c r="D9" s="4" t="s">
        <v>29</v>
      </c>
      <c r="E9" s="12">
        <v>269.11</v>
      </c>
      <c r="F9" s="34">
        <f t="shared" si="0"/>
        <v>309476.5</v>
      </c>
      <c r="G9" s="28">
        <f t="shared" si="1"/>
        <v>1150</v>
      </c>
      <c r="H9" s="28">
        <f t="shared" si="2"/>
        <v>96</v>
      </c>
      <c r="I9" s="26">
        <f t="shared" si="3"/>
        <v>0</v>
      </c>
      <c r="J9" s="24">
        <f t="shared" si="4"/>
        <v>0</v>
      </c>
      <c r="K9" s="31">
        <f t="shared" si="5"/>
        <v>0</v>
      </c>
      <c r="L9" s="9">
        <v>0</v>
      </c>
      <c r="M9" s="9">
        <v>0</v>
      </c>
      <c r="N9" s="9">
        <v>0</v>
      </c>
      <c r="O9" s="9">
        <v>100</v>
      </c>
      <c r="P9" s="9">
        <v>100</v>
      </c>
      <c r="Q9" s="9">
        <v>200</v>
      </c>
      <c r="R9" s="9">
        <v>300</v>
      </c>
      <c r="S9" s="9">
        <v>0</v>
      </c>
      <c r="T9" s="9">
        <v>150</v>
      </c>
      <c r="U9" s="9">
        <v>100</v>
      </c>
      <c r="V9" s="9">
        <v>0</v>
      </c>
      <c r="W9" s="9">
        <v>200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E9" s="6">
        <v>0</v>
      </c>
      <c r="AF9" s="6">
        <v>0</v>
      </c>
      <c r="AG9" s="6">
        <v>0</v>
      </c>
      <c r="AH9" s="6">
        <v>26911</v>
      </c>
      <c r="AI9" s="6">
        <v>26911</v>
      </c>
      <c r="AJ9" s="6">
        <v>53822</v>
      </c>
      <c r="AK9" s="6">
        <v>80733</v>
      </c>
      <c r="AL9" s="6">
        <v>0</v>
      </c>
      <c r="AM9" s="6">
        <v>40366.5</v>
      </c>
      <c r="AN9" s="6">
        <v>26911</v>
      </c>
      <c r="AO9" s="6">
        <v>0</v>
      </c>
      <c r="AP9" s="6">
        <v>53822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93" t="str">
        <f>IF('PFM NON-SELL (Draft Layers)'!AW29="X","X"," ")</f>
        <v xml:space="preserve"> </v>
      </c>
      <c r="AX9" s="76" t="str">
        <f>IF('PFM NON-SELL (Draft Layers)'!AX29="X","X"," ")</f>
        <v xml:space="preserve"> </v>
      </c>
      <c r="AY9" s="76" t="str">
        <f>IF('PFM NON-SELL (Draft Layers)'!AY29="X","X"," ")</f>
        <v xml:space="preserve"> </v>
      </c>
      <c r="AZ9" s="76" t="str">
        <f>IF('PFM NON-SELL (Draft Layers)'!AZ29="X","X"," ")</f>
        <v xml:space="preserve"> </v>
      </c>
      <c r="BA9" s="76" t="str">
        <f>IF('PFM NON-SELL (Draft Layers)'!BA29="X","X"," ")</f>
        <v xml:space="preserve"> </v>
      </c>
      <c r="BB9" s="76" t="str">
        <f>IF('PFM NON-SELL (Draft Layers)'!BB29="X","X"," ")</f>
        <v>X</v>
      </c>
      <c r="BC9" s="76" t="str">
        <f>IF('PFM NON-SELL (Draft Layers)'!BC29="X","X"," ")</f>
        <v xml:space="preserve"> </v>
      </c>
      <c r="BD9" s="76" t="str">
        <f>IF('PFM NON-SELL (Draft Layers)'!BD29="X","X"," ")</f>
        <v>X</v>
      </c>
      <c r="BE9" s="76" t="str">
        <f>IF('PFM NON-SELL (Draft Layers)'!BE29="X","X"," ")</f>
        <v xml:space="preserve"> </v>
      </c>
      <c r="BF9" s="76" t="str">
        <f>IF('PFM NON-SELL (Draft Layers)'!BF29="X","X"," ")</f>
        <v>X</v>
      </c>
      <c r="BG9" s="76" t="str">
        <f>IF('PFM NON-SELL (Draft Layers)'!BG29="X","X"," ")</f>
        <v xml:space="preserve"> </v>
      </c>
      <c r="BH9" s="76" t="str">
        <f>IF('PFM NON-SELL (Draft Layers)'!BH29="X","X"," ")</f>
        <v xml:space="preserve"> </v>
      </c>
      <c r="BI9" s="76" t="str">
        <f>IF('PFM NON-SELL (Draft Layers)'!BI29="X","X"," ")</f>
        <v xml:space="preserve"> </v>
      </c>
      <c r="BJ9" s="76" t="str">
        <f>IF('PFM NON-SELL (Draft Layers)'!BJ29="X","X"," ")</f>
        <v xml:space="preserve"> </v>
      </c>
      <c r="BK9" s="76" t="str">
        <f>IF('PFM NON-SELL (Draft Layers)'!BK29="X","X"," ")</f>
        <v xml:space="preserve"> </v>
      </c>
      <c r="BL9" s="76" t="str">
        <f>IF('PFM NON-SELL (Draft Layers)'!BM29="X","X"," ")</f>
        <v>X</v>
      </c>
      <c r="BM9" s="76" t="str">
        <f>IF('PFM NON-SELL (Draft Layers)'!BN29="X","X"," ")</f>
        <v>X</v>
      </c>
      <c r="BN9" s="76" t="str">
        <f>IF('PFM NON-SELL (Draft Layers)'!BO29="X","X"," ")</f>
        <v xml:space="preserve"> </v>
      </c>
      <c r="BO9" s="76" t="str">
        <f>IF('PFM NON-SELL (Draft Layers)'!BP29="X","X"," ")</f>
        <v xml:space="preserve"> </v>
      </c>
      <c r="BP9" s="76" t="str">
        <f>IF('PFM NON-SELL (Draft Layers)'!BQ29="X","X"," ")</f>
        <v xml:space="preserve"> </v>
      </c>
      <c r="BQ9" s="76" t="str">
        <f>IF('PFM NON-SELL (Draft Layers)'!BR29="X","X"," ")</f>
        <v xml:space="preserve"> </v>
      </c>
      <c r="BR9" s="76" t="str">
        <f>IF('PFM NON-SELL (Draft Layers)'!BS29="X","X"," ")</f>
        <v xml:space="preserve"> </v>
      </c>
      <c r="BS9" s="76" t="str">
        <f>IF('PFM NON-SELL (Draft Layers)'!BT29="X","X"," ")</f>
        <v xml:space="preserve"> </v>
      </c>
      <c r="BT9" s="76" t="str">
        <f>IF('PFM NON-SELL (Draft Layers)'!BU29="X","X"," ")</f>
        <v xml:space="preserve"> </v>
      </c>
      <c r="BU9" s="76" t="str">
        <f>IF('PFM NON-SELL (Draft Layers)'!BV29="X","X"," ")</f>
        <v xml:space="preserve"> </v>
      </c>
      <c r="BV9" s="76" t="str">
        <f>IF('PFM NON-SELL (Draft Layers)'!BW29="X","X"," ")</f>
        <v xml:space="preserve"> </v>
      </c>
      <c r="BW9" s="76" t="str">
        <f>IF('PFM NON-SELL (Draft Layers)'!BY29="X","X"," ")</f>
        <v xml:space="preserve"> </v>
      </c>
      <c r="BX9" s="76" t="str">
        <f>IF('PFM NON-SELL (Draft Layers)'!BZ29="X","X"," ")</f>
        <v xml:space="preserve"> </v>
      </c>
      <c r="BY9" s="76" t="str">
        <f>IF('PFM NON-SELL (Draft Layers)'!CA29="X","X"," ")</f>
        <v xml:space="preserve"> </v>
      </c>
      <c r="BZ9" s="76" t="str">
        <f>IF('PFM NON-SELL (Draft Layers)'!CB29="X","X"," ")</f>
        <v xml:space="preserve"> </v>
      </c>
      <c r="CA9" s="76" t="str">
        <f>IF('PFM NON-SELL (Draft Layers)'!CC29="X","X"," ")</f>
        <v xml:space="preserve"> </v>
      </c>
      <c r="CB9" s="76" t="str">
        <f>IF('PFM NON-SELL (Draft Layers)'!CD29="X","X"," ")</f>
        <v xml:space="preserve"> </v>
      </c>
      <c r="CC9" s="76" t="str">
        <f>IF('PFM NON-SELL (Draft Layers)'!CE29="X","X"," ")</f>
        <v xml:space="preserve"> </v>
      </c>
      <c r="CD9" s="76" t="str">
        <f>IF('PFM NON-SELL (Draft Layers)'!CF29="X","X"," ")</f>
        <v xml:space="preserve"> </v>
      </c>
      <c r="CE9" s="76" t="str">
        <f>IF('PFM NON-SELL (Draft Layers)'!CG29="X","X"," ")</f>
        <v xml:space="preserve"> </v>
      </c>
      <c r="CF9" s="76" t="str">
        <f>IF('PFM NON-SELL (Draft Layers)'!CH29="X","X"," ")</f>
        <v xml:space="preserve"> </v>
      </c>
      <c r="CG9" s="76" t="str">
        <f>IF('PFM NON-SELL (Draft Layers)'!CI29="X","X"," ")</f>
        <v xml:space="preserve"> </v>
      </c>
      <c r="CH9" s="76" t="str">
        <f>IF('PFM NON-SELL (Draft Layers)'!CJ29="X","X"," ")</f>
        <v xml:space="preserve"> </v>
      </c>
      <c r="CI9" s="76" t="str">
        <f>IF('PFM NON-SELL (Draft Layers)'!CN29="X","X"," ")</f>
        <v xml:space="preserve"> </v>
      </c>
      <c r="CJ9" s="76" t="str">
        <f>IF('PFM NON-SELL (Draft Layers)'!CO29="X","X"," ")</f>
        <v xml:space="preserve"> </v>
      </c>
      <c r="CK9" s="76" t="str">
        <f>IF('PFM NON-SELL (Draft Layers)'!CP29="X","X"," ")</f>
        <v xml:space="preserve"> </v>
      </c>
      <c r="CL9" s="76" t="str">
        <f>IF('PFM NON-SELL (Draft Layers)'!CQ29="X","X"," ")</f>
        <v xml:space="preserve"> </v>
      </c>
      <c r="CM9" s="76" t="str">
        <f>IF('PFM NON-SELL (Draft Layers)'!CV29="X","X"," ")</f>
        <v xml:space="preserve"> </v>
      </c>
      <c r="CN9" s="76" t="str">
        <f>IF('PFM NON-SELL (Draft Layers)'!CW29="X","X"," ")</f>
        <v xml:space="preserve"> </v>
      </c>
      <c r="CO9" s="76" t="str">
        <f>IF('PFM NON-SELL (Draft Layers)'!CX29="X","X"," ")</f>
        <v xml:space="preserve"> </v>
      </c>
      <c r="CP9" s="76" t="str">
        <f>IF('PFM NON-SELL (Draft Layers)'!CY29="X","X"," ")</f>
        <v xml:space="preserve"> </v>
      </c>
      <c r="CQ9" s="76" t="str">
        <f>IF('PFM NON-SELL (Draft Layers)'!CZ29="X","X"," ")</f>
        <v xml:space="preserve"> </v>
      </c>
      <c r="CR9" s="76" t="str">
        <f>IF('PFM NON-SELL (Draft Layers)'!DA29="X","X"," ")</f>
        <v xml:space="preserve"> </v>
      </c>
      <c r="CS9" s="76" t="str">
        <f>IF('PFM NON-SELL (Draft Layers)'!DB29="X","X"," ")</f>
        <v xml:space="preserve"> </v>
      </c>
      <c r="CT9" s="76" t="str">
        <f>IF('PFM NON-SELL (Draft Layers)'!DC29="X","X"," ")</f>
        <v xml:space="preserve"> </v>
      </c>
      <c r="CU9" s="76" t="str">
        <f>IF('PFM NON-SELL (Draft Layers)'!DD29="X","X"," ")</f>
        <v xml:space="preserve"> </v>
      </c>
      <c r="CV9" s="76" t="str">
        <f>IF('PFM NON-SELL (Draft Layers)'!DE29="X","X"," ")</f>
        <v>X</v>
      </c>
      <c r="CW9" s="76" t="str">
        <f>IF('PFM NON-SELL (Draft Layers)'!DF29="X","X"," ")</f>
        <v xml:space="preserve"> </v>
      </c>
      <c r="CX9" s="76" t="str">
        <f>IF('PFM NON-SELL (Draft Layers)'!DG29="X","X"," ")</f>
        <v xml:space="preserve"> </v>
      </c>
      <c r="CY9" s="76" t="str">
        <f>IF('PFM NON-SELL (Draft Layers)'!DH29="X","X"," ")</f>
        <v>X</v>
      </c>
      <c r="CZ9" s="76"/>
      <c r="DA9" s="76"/>
      <c r="DB9" s="76"/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95"/>
      <c r="DO9" s="90">
        <f t="shared" si="6"/>
        <v>7</v>
      </c>
      <c r="DP9" s="21"/>
      <c r="DQ9" s="21"/>
    </row>
    <row r="10" spans="1:121" x14ac:dyDescent="0.3">
      <c r="A10" s="4" t="s">
        <v>8</v>
      </c>
      <c r="B10" s="4" t="s">
        <v>24</v>
      </c>
      <c r="C10" s="91" t="s">
        <v>30</v>
      </c>
      <c r="D10" s="4" t="s">
        <v>31</v>
      </c>
      <c r="E10" s="12">
        <v>285.58</v>
      </c>
      <c r="F10" s="34">
        <f t="shared" si="0"/>
        <v>799624</v>
      </c>
      <c r="G10" s="28">
        <f t="shared" si="1"/>
        <v>2800</v>
      </c>
      <c r="H10" s="28">
        <f t="shared" si="2"/>
        <v>234</v>
      </c>
      <c r="I10" s="26">
        <f t="shared" si="3"/>
        <v>628276</v>
      </c>
      <c r="J10" s="24">
        <f t="shared" si="4"/>
        <v>2200</v>
      </c>
      <c r="K10" s="31">
        <f t="shared" si="5"/>
        <v>440</v>
      </c>
      <c r="L10" s="9">
        <v>0</v>
      </c>
      <c r="M10" s="9">
        <v>400</v>
      </c>
      <c r="N10" s="9">
        <v>0</v>
      </c>
      <c r="O10" s="9">
        <v>400</v>
      </c>
      <c r="P10" s="9">
        <v>200</v>
      </c>
      <c r="Q10" s="9">
        <v>100</v>
      </c>
      <c r="R10" s="9">
        <v>0</v>
      </c>
      <c r="S10" s="9">
        <v>200</v>
      </c>
      <c r="T10" s="9">
        <v>0</v>
      </c>
      <c r="U10" s="9">
        <v>200</v>
      </c>
      <c r="V10" s="9">
        <v>500</v>
      </c>
      <c r="W10" s="9">
        <v>400</v>
      </c>
      <c r="X10" s="9">
        <v>400</v>
      </c>
      <c r="Y10" s="9">
        <v>500</v>
      </c>
      <c r="Z10" s="9">
        <v>400</v>
      </c>
      <c r="AA10" s="9">
        <v>400</v>
      </c>
      <c r="AB10" s="9">
        <v>500</v>
      </c>
      <c r="AC10" s="9">
        <v>400</v>
      </c>
      <c r="AE10" s="6">
        <v>0</v>
      </c>
      <c r="AF10" s="6">
        <v>114232</v>
      </c>
      <c r="AG10" s="6">
        <v>0</v>
      </c>
      <c r="AH10" s="6">
        <v>114232</v>
      </c>
      <c r="AI10" s="6">
        <v>57116</v>
      </c>
      <c r="AJ10" s="6">
        <v>28558</v>
      </c>
      <c r="AK10" s="6">
        <v>0</v>
      </c>
      <c r="AL10" s="6">
        <v>57116</v>
      </c>
      <c r="AM10" s="6">
        <v>0</v>
      </c>
      <c r="AN10" s="6">
        <v>57116</v>
      </c>
      <c r="AO10" s="6">
        <v>142790</v>
      </c>
      <c r="AP10" s="6">
        <v>114232</v>
      </c>
      <c r="AQ10" s="6">
        <v>114232</v>
      </c>
      <c r="AR10" s="6">
        <v>142790</v>
      </c>
      <c r="AS10" s="6">
        <v>114232</v>
      </c>
      <c r="AT10" s="6">
        <v>114232</v>
      </c>
      <c r="AU10" s="6">
        <v>142790</v>
      </c>
      <c r="AV10" s="6">
        <v>114232</v>
      </c>
      <c r="AW10" s="93" t="str">
        <f>IF('PFM NON-SELL (Draft Layers)'!AW40="X","X"," ")</f>
        <v>X</v>
      </c>
      <c r="AX10" s="76" t="str">
        <f>IF('PFM NON-SELL (Draft Layers)'!AX40="X","X"," ")</f>
        <v>X</v>
      </c>
      <c r="AY10" s="76" t="str">
        <f>IF('PFM NON-SELL (Draft Layers)'!AY40="X","X"," ")</f>
        <v xml:space="preserve"> </v>
      </c>
      <c r="AZ10" s="76" t="str">
        <f>IF('PFM NON-SELL (Draft Layers)'!AZ40="X","X"," ")</f>
        <v xml:space="preserve"> </v>
      </c>
      <c r="BA10" s="76" t="str">
        <f>IF('PFM NON-SELL (Draft Layers)'!BA40="X","X"," ")</f>
        <v xml:space="preserve"> </v>
      </c>
      <c r="BB10" s="76" t="str">
        <f>IF('PFM NON-SELL (Draft Layers)'!BB40="X","X"," ")</f>
        <v xml:space="preserve"> </v>
      </c>
      <c r="BC10" s="76" t="str">
        <f>IF('PFM NON-SELL (Draft Layers)'!BC40="X","X"," ")</f>
        <v xml:space="preserve"> </v>
      </c>
      <c r="BD10" s="76" t="str">
        <f>IF('PFM NON-SELL (Draft Layers)'!BD40="X","X"," ")</f>
        <v xml:space="preserve"> </v>
      </c>
      <c r="BE10" s="76" t="str">
        <f>IF('PFM NON-SELL (Draft Layers)'!BE40="X","X"," ")</f>
        <v xml:space="preserve"> </v>
      </c>
      <c r="BF10" s="76" t="str">
        <f>IF('PFM NON-SELL (Draft Layers)'!BF40="X","X"," ")</f>
        <v xml:space="preserve"> </v>
      </c>
      <c r="BG10" s="76" t="str">
        <f>IF('PFM NON-SELL (Draft Layers)'!BG40="X","X"," ")</f>
        <v xml:space="preserve"> </v>
      </c>
      <c r="BH10" s="76" t="str">
        <f>IF('PFM NON-SELL (Draft Layers)'!BH40="X","X"," ")</f>
        <v xml:space="preserve"> </v>
      </c>
      <c r="BI10" s="76" t="str">
        <f>IF('PFM NON-SELL (Draft Layers)'!BI40="X","X"," ")</f>
        <v xml:space="preserve"> </v>
      </c>
      <c r="BJ10" s="76" t="str">
        <f>IF('PFM NON-SELL (Draft Layers)'!BJ40="X","X"," ")</f>
        <v xml:space="preserve"> </v>
      </c>
      <c r="BK10" s="76" t="str">
        <f>IF('PFM NON-SELL (Draft Layers)'!BK40="X","X"," ")</f>
        <v xml:space="preserve"> </v>
      </c>
      <c r="BL10" s="76" t="str">
        <f>IF('PFM NON-SELL (Draft Layers)'!BM40="X","X"," ")</f>
        <v xml:space="preserve"> </v>
      </c>
      <c r="BM10" s="76" t="str">
        <f>IF('PFM NON-SELL (Draft Layers)'!BN40="X","X"," ")</f>
        <v xml:space="preserve"> </v>
      </c>
      <c r="BN10" s="76" t="str">
        <f>IF('PFM NON-SELL (Draft Layers)'!BO40="X","X"," ")</f>
        <v>X</v>
      </c>
      <c r="BO10" s="76" t="str">
        <f>IF('PFM NON-SELL (Draft Layers)'!BP40="X","X"," ")</f>
        <v>X</v>
      </c>
      <c r="BP10" s="76" t="str">
        <f>IF('PFM NON-SELL (Draft Layers)'!BQ40="X","X"," ")</f>
        <v xml:space="preserve"> </v>
      </c>
      <c r="BQ10" s="76" t="str">
        <f>IF('PFM NON-SELL (Draft Layers)'!BR40="X","X"," ")</f>
        <v xml:space="preserve"> </v>
      </c>
      <c r="BR10" s="76" t="str">
        <f>IF('PFM NON-SELL (Draft Layers)'!BS40="X","X"," ")</f>
        <v xml:space="preserve"> </v>
      </c>
      <c r="BS10" s="76" t="str">
        <f>IF('PFM NON-SELL (Draft Layers)'!BT40="X","X"," ")</f>
        <v xml:space="preserve"> </v>
      </c>
      <c r="BT10" s="76" t="str">
        <f>IF('PFM NON-SELL (Draft Layers)'!BU40="X","X"," ")</f>
        <v xml:space="preserve"> </v>
      </c>
      <c r="BU10" s="76" t="str">
        <f>IF('PFM NON-SELL (Draft Layers)'!BV40="X","X"," ")</f>
        <v xml:space="preserve"> </v>
      </c>
      <c r="BV10" s="76" t="str">
        <f>IF('PFM NON-SELL (Draft Layers)'!BW40="X","X"," ")</f>
        <v>X</v>
      </c>
      <c r="BW10" s="76" t="str">
        <f>IF('PFM NON-SELL (Draft Layers)'!BY40="X","X"," ")</f>
        <v xml:space="preserve"> </v>
      </c>
      <c r="BX10" s="76" t="str">
        <f>IF('PFM NON-SELL (Draft Layers)'!BZ40="X","X"," ")</f>
        <v>X</v>
      </c>
      <c r="BY10" s="76" t="str">
        <f>IF('PFM NON-SELL (Draft Layers)'!CA40="X","X"," ")</f>
        <v xml:space="preserve"> </v>
      </c>
      <c r="BZ10" s="76" t="str">
        <f>IF('PFM NON-SELL (Draft Layers)'!CB40="X","X"," ")</f>
        <v xml:space="preserve"> </v>
      </c>
      <c r="CA10" s="76" t="str">
        <f>IF('PFM NON-SELL (Draft Layers)'!CC40="X","X"," ")</f>
        <v xml:space="preserve"> </v>
      </c>
      <c r="CB10" s="76" t="str">
        <f>IF('PFM NON-SELL (Draft Layers)'!CD40="X","X"," ")</f>
        <v xml:space="preserve"> </v>
      </c>
      <c r="CC10" s="76" t="str">
        <f>IF('PFM NON-SELL (Draft Layers)'!CE40="X","X"," ")</f>
        <v xml:space="preserve"> </v>
      </c>
      <c r="CD10" s="76" t="str">
        <f>IF('PFM NON-SELL (Draft Layers)'!CF40="X","X"," ")</f>
        <v>X</v>
      </c>
      <c r="CE10" s="76" t="str">
        <f>IF('PFM NON-SELL (Draft Layers)'!CG40="X","X"," ")</f>
        <v xml:space="preserve"> </v>
      </c>
      <c r="CF10" s="76" t="str">
        <f>IF('PFM NON-SELL (Draft Layers)'!CH40="X","X"," ")</f>
        <v>X</v>
      </c>
      <c r="CG10" s="94" t="str">
        <f>IF('PFM NON-SELL (Draft Layers)'!CI40="X","X"," ")</f>
        <v>X</v>
      </c>
      <c r="CH10" s="76" t="str">
        <f>IF('PFM NON-SELL (Draft Layers)'!CJ40="X","X"," ")</f>
        <v xml:space="preserve"> </v>
      </c>
      <c r="CI10" s="76" t="str">
        <f>IF('PFM NON-SELL (Draft Layers)'!CN40="X","X"," ")</f>
        <v xml:space="preserve"> </v>
      </c>
      <c r="CJ10" s="76" t="str">
        <f>IF('PFM NON-SELL (Draft Layers)'!CO40="X","X"," ")</f>
        <v xml:space="preserve"> </v>
      </c>
      <c r="CK10" s="76" t="str">
        <f>IF('PFM NON-SELL (Draft Layers)'!CP40="X","X"," ")</f>
        <v xml:space="preserve"> </v>
      </c>
      <c r="CL10" s="76" t="str">
        <f>IF('PFM NON-SELL (Draft Layers)'!CQ40="X","X"," ")</f>
        <v xml:space="preserve"> </v>
      </c>
      <c r="CM10" s="76" t="str">
        <f>IF('PFM NON-SELL (Draft Layers)'!CV40="X","X"," ")</f>
        <v xml:space="preserve"> </v>
      </c>
      <c r="CN10" s="76" t="str">
        <f>IF('PFM NON-SELL (Draft Layers)'!CW40="X","X"," ")</f>
        <v>X</v>
      </c>
      <c r="CO10" s="76" t="str">
        <f>IF('PFM NON-SELL (Draft Layers)'!CX40="X","X"," ")</f>
        <v xml:space="preserve"> </v>
      </c>
      <c r="CP10" s="76" t="str">
        <f>IF('PFM NON-SELL (Draft Layers)'!CY40="X","X"," ")</f>
        <v xml:space="preserve"> </v>
      </c>
      <c r="CQ10" s="76" t="str">
        <f>IF('PFM NON-SELL (Draft Layers)'!CZ40="X","X"," ")</f>
        <v xml:space="preserve"> </v>
      </c>
      <c r="CR10" s="76" t="str">
        <f>IF('PFM NON-SELL (Draft Layers)'!DA40="X","X"," ")</f>
        <v xml:space="preserve"> </v>
      </c>
      <c r="CS10" s="76" t="str">
        <f>IF('PFM NON-SELL (Draft Layers)'!DB40="X","X"," ")</f>
        <v xml:space="preserve"> </v>
      </c>
      <c r="CT10" s="76" t="str">
        <f>IF('PFM NON-SELL (Draft Layers)'!DC40="X","X"," ")</f>
        <v xml:space="preserve"> </v>
      </c>
      <c r="CU10" s="76" t="str">
        <f>IF('PFM NON-SELL (Draft Layers)'!DD40="X","X"," ")</f>
        <v xml:space="preserve"> </v>
      </c>
      <c r="CV10" s="76" t="str">
        <f>IF('PFM NON-SELL (Draft Layers)'!DE40="X","X"," ")</f>
        <v>X</v>
      </c>
      <c r="CW10" s="76" t="str">
        <f>IF('PFM NON-SELL (Draft Layers)'!DF40="X","X"," ")</f>
        <v xml:space="preserve"> </v>
      </c>
      <c r="CX10" s="76" t="str">
        <f>IF('PFM NON-SELL (Draft Layers)'!DG40="X","X"," ")</f>
        <v xml:space="preserve"> </v>
      </c>
      <c r="CY10" s="76" t="str">
        <f>IF('PFM NON-SELL (Draft Layers)'!DH40="X","X"," ")</f>
        <v>X</v>
      </c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95"/>
      <c r="DO10" s="90">
        <f t="shared" si="6"/>
        <v>12</v>
      </c>
      <c r="DP10" s="21"/>
      <c r="DQ10" s="21"/>
    </row>
    <row r="11" spans="1:121" x14ac:dyDescent="0.3">
      <c r="A11" s="4" t="s">
        <v>8</v>
      </c>
      <c r="B11" s="4" t="s">
        <v>24</v>
      </c>
      <c r="C11" s="91" t="s">
        <v>34</v>
      </c>
      <c r="D11" s="4" t="s">
        <v>35</v>
      </c>
      <c r="E11" s="12">
        <v>348.86</v>
      </c>
      <c r="F11" s="34">
        <f t="shared" si="0"/>
        <v>453518</v>
      </c>
      <c r="G11" s="28">
        <f t="shared" si="1"/>
        <v>1300</v>
      </c>
      <c r="H11" s="28">
        <f t="shared" si="2"/>
        <v>109</v>
      </c>
      <c r="I11" s="26">
        <f t="shared" si="3"/>
        <v>34886</v>
      </c>
      <c r="J11" s="24">
        <f t="shared" si="4"/>
        <v>100</v>
      </c>
      <c r="K11" s="31">
        <f t="shared" si="5"/>
        <v>20</v>
      </c>
      <c r="L11" s="9">
        <v>0</v>
      </c>
      <c r="M11" s="9">
        <v>0</v>
      </c>
      <c r="N11" s="9">
        <v>0</v>
      </c>
      <c r="O11" s="9">
        <v>100</v>
      </c>
      <c r="P11" s="9">
        <v>200</v>
      </c>
      <c r="Q11" s="9">
        <v>250</v>
      </c>
      <c r="R11" s="9">
        <v>200</v>
      </c>
      <c r="S11" s="9">
        <v>0</v>
      </c>
      <c r="T11" s="9">
        <v>250</v>
      </c>
      <c r="U11" s="9">
        <v>200</v>
      </c>
      <c r="V11" s="9">
        <v>100</v>
      </c>
      <c r="W11" s="9">
        <v>0</v>
      </c>
      <c r="X11" s="9">
        <v>0</v>
      </c>
      <c r="Y11" s="9">
        <v>100</v>
      </c>
      <c r="Z11" s="9">
        <v>0</v>
      </c>
      <c r="AA11" s="9">
        <v>0</v>
      </c>
      <c r="AB11" s="9">
        <v>0</v>
      </c>
      <c r="AC11" s="9">
        <v>0</v>
      </c>
      <c r="AE11" s="6">
        <v>0</v>
      </c>
      <c r="AF11" s="6">
        <v>0</v>
      </c>
      <c r="AG11" s="6">
        <v>0</v>
      </c>
      <c r="AH11" s="6">
        <v>34886</v>
      </c>
      <c r="AI11" s="6">
        <v>69772</v>
      </c>
      <c r="AJ11" s="6">
        <v>87215</v>
      </c>
      <c r="AK11" s="6">
        <v>69772</v>
      </c>
      <c r="AL11" s="6">
        <v>0</v>
      </c>
      <c r="AM11" s="6">
        <v>87215</v>
      </c>
      <c r="AN11" s="6">
        <v>69772</v>
      </c>
      <c r="AO11" s="6">
        <v>34886</v>
      </c>
      <c r="AP11" s="6">
        <v>0</v>
      </c>
      <c r="AQ11" s="6">
        <v>0</v>
      </c>
      <c r="AR11" s="6">
        <v>34886</v>
      </c>
      <c r="AS11" s="6">
        <v>0</v>
      </c>
      <c r="AT11" s="6">
        <v>0</v>
      </c>
      <c r="AU11" s="6">
        <v>0</v>
      </c>
      <c r="AV11" s="6">
        <v>0</v>
      </c>
      <c r="AW11" s="93" t="str">
        <f>IF('PFM NON-SELL (Draft Layers)'!AW52="X","X"," ")</f>
        <v xml:space="preserve"> </v>
      </c>
      <c r="AX11" s="76" t="str">
        <f>IF('PFM NON-SELL (Draft Layers)'!AX52="X","X"," ")</f>
        <v xml:space="preserve"> </v>
      </c>
      <c r="AY11" s="76" t="str">
        <f>IF('PFM NON-SELL (Draft Layers)'!AY52="X","X"," ")</f>
        <v xml:space="preserve"> </v>
      </c>
      <c r="AZ11" s="76" t="str">
        <f>IF('PFM NON-SELL (Draft Layers)'!AZ52="X","X"," ")</f>
        <v xml:space="preserve"> </v>
      </c>
      <c r="BA11" s="76" t="str">
        <f>IF('PFM NON-SELL (Draft Layers)'!BA52="X","X"," ")</f>
        <v xml:space="preserve"> </v>
      </c>
      <c r="BB11" s="76" t="str">
        <f>IF('PFM NON-SELL (Draft Layers)'!BB52="X","X"," ")</f>
        <v>X</v>
      </c>
      <c r="BC11" s="76" t="str">
        <f>IF('PFM NON-SELL (Draft Layers)'!BC52="X","X"," ")</f>
        <v xml:space="preserve"> </v>
      </c>
      <c r="BD11" s="76" t="str">
        <f>IF('PFM NON-SELL (Draft Layers)'!BD52="X","X"," ")</f>
        <v>X</v>
      </c>
      <c r="BE11" s="76" t="str">
        <f>IF('PFM NON-SELL (Draft Layers)'!BE52="X","X"," ")</f>
        <v xml:space="preserve"> </v>
      </c>
      <c r="BF11" s="76" t="str">
        <f>IF('PFM NON-SELL (Draft Layers)'!BF52="X","X"," ")</f>
        <v>X</v>
      </c>
      <c r="BG11" s="76" t="str">
        <f>IF('PFM NON-SELL (Draft Layers)'!BG52="X","X"," ")</f>
        <v xml:space="preserve"> </v>
      </c>
      <c r="BH11" s="76" t="str">
        <f>IF('PFM NON-SELL (Draft Layers)'!BH52="X","X"," ")</f>
        <v xml:space="preserve"> </v>
      </c>
      <c r="BI11" s="76" t="str">
        <f>IF('PFM NON-SELL (Draft Layers)'!BI52="X","X"," ")</f>
        <v xml:space="preserve"> </v>
      </c>
      <c r="BJ11" s="76" t="str">
        <f>IF('PFM NON-SELL (Draft Layers)'!BJ52="X","X"," ")</f>
        <v xml:space="preserve"> </v>
      </c>
      <c r="BK11" s="76" t="str">
        <f>IF('PFM NON-SELL (Draft Layers)'!BK52="X","X"," ")</f>
        <v xml:space="preserve"> </v>
      </c>
      <c r="BL11" s="76" t="str">
        <f>IF('PFM NON-SELL (Draft Layers)'!BM52="X","X"," ")</f>
        <v>X</v>
      </c>
      <c r="BM11" s="76" t="str">
        <f>IF('PFM NON-SELL (Draft Layers)'!BN52="X","X"," ")</f>
        <v>X</v>
      </c>
      <c r="BN11" s="76" t="str">
        <f>IF('PFM NON-SELL (Draft Layers)'!BO52="X","X"," ")</f>
        <v xml:space="preserve"> </v>
      </c>
      <c r="BO11" s="76" t="str">
        <f>IF('PFM NON-SELL (Draft Layers)'!BP52="X","X"," ")</f>
        <v xml:space="preserve"> </v>
      </c>
      <c r="BP11" s="76" t="str">
        <f>IF('PFM NON-SELL (Draft Layers)'!BQ52="X","X"," ")</f>
        <v xml:space="preserve"> </v>
      </c>
      <c r="BQ11" s="76" t="str">
        <f>IF('PFM NON-SELL (Draft Layers)'!BR52="X","X"," ")</f>
        <v xml:space="preserve"> </v>
      </c>
      <c r="BR11" s="76" t="str">
        <f>IF('PFM NON-SELL (Draft Layers)'!BS52="X","X"," ")</f>
        <v xml:space="preserve"> </v>
      </c>
      <c r="BS11" s="76" t="str">
        <f>IF('PFM NON-SELL (Draft Layers)'!BT52="X","X"," ")</f>
        <v xml:space="preserve"> </v>
      </c>
      <c r="BT11" s="76" t="str">
        <f>IF('PFM NON-SELL (Draft Layers)'!BU52="X","X"," ")</f>
        <v xml:space="preserve"> </v>
      </c>
      <c r="BU11" s="76" t="str">
        <f>IF('PFM NON-SELL (Draft Layers)'!BV52="X","X"," ")</f>
        <v xml:space="preserve"> </v>
      </c>
      <c r="BV11" s="76" t="str">
        <f>IF('PFM NON-SELL (Draft Layers)'!BW52="X","X"," ")</f>
        <v xml:space="preserve"> </v>
      </c>
      <c r="BW11" s="76" t="str">
        <f>IF('PFM NON-SELL (Draft Layers)'!BY52="X","X"," ")</f>
        <v xml:space="preserve"> </v>
      </c>
      <c r="BX11" s="76" t="str">
        <f>IF('PFM NON-SELL (Draft Layers)'!BZ52="X","X"," ")</f>
        <v xml:space="preserve"> </v>
      </c>
      <c r="BY11" s="76" t="str">
        <f>IF('PFM NON-SELL (Draft Layers)'!CA52="X","X"," ")</f>
        <v xml:space="preserve"> </v>
      </c>
      <c r="BZ11" s="76" t="str">
        <f>IF('PFM NON-SELL (Draft Layers)'!CB52="X","X"," ")</f>
        <v xml:space="preserve"> </v>
      </c>
      <c r="CA11" s="76" t="str">
        <f>IF('PFM NON-SELL (Draft Layers)'!CC52="X","X"," ")</f>
        <v xml:space="preserve"> </v>
      </c>
      <c r="CB11" s="76" t="str">
        <f>IF('PFM NON-SELL (Draft Layers)'!CD52="X","X"," ")</f>
        <v xml:space="preserve"> </v>
      </c>
      <c r="CC11" s="76" t="str">
        <f>IF('PFM NON-SELL (Draft Layers)'!CE52="X","X"," ")</f>
        <v xml:space="preserve"> </v>
      </c>
      <c r="CD11" s="76" t="str">
        <f>IF('PFM NON-SELL (Draft Layers)'!CF52="X","X"," ")</f>
        <v xml:space="preserve"> </v>
      </c>
      <c r="CE11" s="76" t="str">
        <f>IF('PFM NON-SELL (Draft Layers)'!CG52="X","X"," ")</f>
        <v xml:space="preserve"> </v>
      </c>
      <c r="CF11" s="76" t="str">
        <f>IF('PFM NON-SELL (Draft Layers)'!CH52="X","X"," ")</f>
        <v xml:space="preserve"> </v>
      </c>
      <c r="CG11" s="76" t="str">
        <f>IF('PFM NON-SELL (Draft Layers)'!CI52="X","X"," ")</f>
        <v xml:space="preserve"> </v>
      </c>
      <c r="CH11" s="76" t="str">
        <f>IF('PFM NON-SELL (Draft Layers)'!CJ52="X","X"," ")</f>
        <v xml:space="preserve"> </v>
      </c>
      <c r="CI11" s="76" t="str">
        <f>IF('PFM NON-SELL (Draft Layers)'!CN52="X","X"," ")</f>
        <v xml:space="preserve"> </v>
      </c>
      <c r="CJ11" s="76" t="str">
        <f>IF('PFM NON-SELL (Draft Layers)'!CO52="X","X"," ")</f>
        <v xml:space="preserve"> </v>
      </c>
      <c r="CK11" s="76" t="str">
        <f>IF('PFM NON-SELL (Draft Layers)'!CP52="X","X"," ")</f>
        <v xml:space="preserve"> </v>
      </c>
      <c r="CL11" s="76" t="str">
        <f>IF('PFM NON-SELL (Draft Layers)'!CQ52="X","X"," ")</f>
        <v xml:space="preserve"> </v>
      </c>
      <c r="CM11" s="76" t="str">
        <f>IF('PFM NON-SELL (Draft Layers)'!CV52="X","X"," ")</f>
        <v xml:space="preserve"> </v>
      </c>
      <c r="CN11" s="76" t="str">
        <f>IF('PFM NON-SELL (Draft Layers)'!CW52="X","X"," ")</f>
        <v>X</v>
      </c>
      <c r="CO11" s="76" t="str">
        <f>IF('PFM NON-SELL (Draft Layers)'!CX52="X","X"," ")</f>
        <v xml:space="preserve"> </v>
      </c>
      <c r="CP11" s="76" t="str">
        <f>IF('PFM NON-SELL (Draft Layers)'!CY52="X","X"," ")</f>
        <v xml:space="preserve"> </v>
      </c>
      <c r="CQ11" s="76" t="str">
        <f>IF('PFM NON-SELL (Draft Layers)'!CZ52="X","X"," ")</f>
        <v xml:space="preserve"> </v>
      </c>
      <c r="CR11" s="76" t="str">
        <f>IF('PFM NON-SELL (Draft Layers)'!DA52="X","X"," ")</f>
        <v xml:space="preserve"> </v>
      </c>
      <c r="CS11" s="76" t="str">
        <f>IF('PFM NON-SELL (Draft Layers)'!DB52="X","X"," ")</f>
        <v xml:space="preserve"> </v>
      </c>
      <c r="CT11" s="76" t="str">
        <f>IF('PFM NON-SELL (Draft Layers)'!DC52="X","X"," ")</f>
        <v xml:space="preserve"> </v>
      </c>
      <c r="CU11" s="76" t="str">
        <f>IF('PFM NON-SELL (Draft Layers)'!DD52="X","X"," ")</f>
        <v xml:space="preserve"> </v>
      </c>
      <c r="CV11" s="76" t="str">
        <f>IF('PFM NON-SELL (Draft Layers)'!DE52="X","X"," ")</f>
        <v>X</v>
      </c>
      <c r="CW11" s="76" t="str">
        <f>IF('PFM NON-SELL (Draft Layers)'!DF52="X","X"," ")</f>
        <v xml:space="preserve"> </v>
      </c>
      <c r="CX11" s="76" t="str">
        <f>IF('PFM NON-SELL (Draft Layers)'!DG52="X","X"," ")</f>
        <v xml:space="preserve"> </v>
      </c>
      <c r="CY11" s="76" t="str">
        <f>IF('PFM NON-SELL (Draft Layers)'!DH52="X","X"," ")</f>
        <v xml:space="preserve"> </v>
      </c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95"/>
      <c r="DO11" s="90">
        <f t="shared" si="6"/>
        <v>7</v>
      </c>
      <c r="DP11" s="21"/>
      <c r="DQ11" s="21"/>
    </row>
    <row r="12" spans="1:121" x14ac:dyDescent="0.3">
      <c r="A12" s="4" t="s">
        <v>8</v>
      </c>
      <c r="B12" s="4" t="s">
        <v>27</v>
      </c>
      <c r="C12" s="91" t="s">
        <v>36</v>
      </c>
      <c r="D12" s="4" t="s">
        <v>37</v>
      </c>
      <c r="E12" s="12">
        <v>471.95</v>
      </c>
      <c r="F12" s="34">
        <f t="shared" si="0"/>
        <v>1461157.2</v>
      </c>
      <c r="G12" s="28">
        <f t="shared" si="1"/>
        <v>3096</v>
      </c>
      <c r="H12" s="28">
        <f t="shared" si="2"/>
        <v>258</v>
      </c>
      <c r="I12" s="26">
        <f t="shared" si="3"/>
        <v>1040177.7999999999</v>
      </c>
      <c r="J12" s="24">
        <f t="shared" si="4"/>
        <v>2204</v>
      </c>
      <c r="K12" s="31">
        <f t="shared" si="5"/>
        <v>441</v>
      </c>
      <c r="L12" s="9">
        <v>150</v>
      </c>
      <c r="M12" s="9">
        <v>350</v>
      </c>
      <c r="N12" s="9">
        <v>0</v>
      </c>
      <c r="O12" s="9">
        <v>0</v>
      </c>
      <c r="P12" s="9">
        <v>200</v>
      </c>
      <c r="Q12" s="9">
        <v>250</v>
      </c>
      <c r="R12" s="9">
        <v>100</v>
      </c>
      <c r="S12" s="9">
        <v>300</v>
      </c>
      <c r="T12" s="9">
        <v>200</v>
      </c>
      <c r="U12" s="9">
        <v>448</v>
      </c>
      <c r="V12" s="9">
        <v>400</v>
      </c>
      <c r="W12" s="9">
        <v>400</v>
      </c>
      <c r="X12" s="9">
        <v>448</v>
      </c>
      <c r="Y12" s="9">
        <v>300</v>
      </c>
      <c r="Z12" s="9">
        <v>448</v>
      </c>
      <c r="AA12" s="9">
        <v>448</v>
      </c>
      <c r="AB12" s="9">
        <v>560</v>
      </c>
      <c r="AC12" s="9">
        <v>448</v>
      </c>
      <c r="AE12" s="6">
        <v>65340</v>
      </c>
      <c r="AF12" s="6">
        <v>159182.5</v>
      </c>
      <c r="AG12" s="6">
        <v>0</v>
      </c>
      <c r="AH12" s="6">
        <v>0</v>
      </c>
      <c r="AI12" s="6">
        <v>94390</v>
      </c>
      <c r="AJ12" s="6">
        <v>117987.5</v>
      </c>
      <c r="AK12" s="6">
        <v>47195</v>
      </c>
      <c r="AL12" s="6">
        <v>141585</v>
      </c>
      <c r="AM12" s="6">
        <v>94390</v>
      </c>
      <c r="AN12" s="6">
        <v>211433.60000000001</v>
      </c>
      <c r="AO12" s="6">
        <v>188780</v>
      </c>
      <c r="AP12" s="6">
        <v>188780</v>
      </c>
      <c r="AQ12" s="6">
        <v>211433.60000000001</v>
      </c>
      <c r="AR12" s="6">
        <v>141585</v>
      </c>
      <c r="AS12" s="6">
        <v>211433.60000000001</v>
      </c>
      <c r="AT12" s="6">
        <v>211433.60000000001</v>
      </c>
      <c r="AU12" s="6">
        <v>264292</v>
      </c>
      <c r="AV12" s="6">
        <v>211433.60000000001</v>
      </c>
      <c r="AW12" s="93" t="str">
        <f>IF('PFM NON-SELL (Draft Layers)'!AW60="X","X"," ")</f>
        <v>X</v>
      </c>
      <c r="AX12" s="76" t="str">
        <f>IF('PFM NON-SELL (Draft Layers)'!AX60="X","X"," ")</f>
        <v>X</v>
      </c>
      <c r="AY12" s="76" t="str">
        <f>IF('PFM NON-SELL (Draft Layers)'!AY60="X","X"," ")</f>
        <v xml:space="preserve"> </v>
      </c>
      <c r="AZ12" s="76" t="str">
        <f>IF('PFM NON-SELL (Draft Layers)'!AZ60="X","X"," ")</f>
        <v xml:space="preserve"> </v>
      </c>
      <c r="BA12" s="76" t="str">
        <f>IF('PFM NON-SELL (Draft Layers)'!BA60="X","X"," ")</f>
        <v xml:space="preserve"> </v>
      </c>
      <c r="BB12" s="76" t="str">
        <f>IF('PFM NON-SELL (Draft Layers)'!BB60="X","X"," ")</f>
        <v>X</v>
      </c>
      <c r="BC12" s="76" t="str">
        <f>IF('PFM NON-SELL (Draft Layers)'!BC60="X","X"," ")</f>
        <v xml:space="preserve"> </v>
      </c>
      <c r="BD12" s="76" t="str">
        <f>IF('PFM NON-SELL (Draft Layers)'!BD60="X","X"," ")</f>
        <v>X</v>
      </c>
      <c r="BE12" s="76" t="str">
        <f>IF('PFM NON-SELL (Draft Layers)'!BE60="X","X"," ")</f>
        <v xml:space="preserve"> </v>
      </c>
      <c r="BF12" s="76" t="str">
        <f>IF('PFM NON-SELL (Draft Layers)'!BF60="X","X"," ")</f>
        <v>X</v>
      </c>
      <c r="BG12" s="76" t="str">
        <f>IF('PFM NON-SELL (Draft Layers)'!BG60="X","X"," ")</f>
        <v xml:space="preserve"> </v>
      </c>
      <c r="BH12" s="76" t="str">
        <f>IF('PFM NON-SELL (Draft Layers)'!BH60="X","X"," ")</f>
        <v xml:space="preserve"> </v>
      </c>
      <c r="BI12" s="76" t="str">
        <f>IF('PFM NON-SELL (Draft Layers)'!BI60="X","X"," ")</f>
        <v xml:space="preserve"> </v>
      </c>
      <c r="BJ12" s="76" t="str">
        <f>IF('PFM NON-SELL (Draft Layers)'!BJ60="X","X"," ")</f>
        <v xml:space="preserve"> </v>
      </c>
      <c r="BK12" s="76" t="str">
        <f>IF('PFM NON-SELL (Draft Layers)'!BK60="X","X"," ")</f>
        <v xml:space="preserve"> </v>
      </c>
      <c r="BL12" s="76" t="str">
        <f>IF('PFM NON-SELL (Draft Layers)'!BM60="X","X"," ")</f>
        <v>X</v>
      </c>
      <c r="BM12" s="76" t="str">
        <f>IF('PFM NON-SELL (Draft Layers)'!BN60="X","X"," ")</f>
        <v>X</v>
      </c>
      <c r="BN12" s="76" t="str">
        <f>IF('PFM NON-SELL (Draft Layers)'!BO60="X","X"," ")</f>
        <v xml:space="preserve"> </v>
      </c>
      <c r="BO12" s="76" t="str">
        <f>IF('PFM NON-SELL (Draft Layers)'!BP60="X","X"," ")</f>
        <v>X</v>
      </c>
      <c r="BP12" s="76" t="str">
        <f>IF('PFM NON-SELL (Draft Layers)'!BQ60="X","X"," ")</f>
        <v xml:space="preserve"> </v>
      </c>
      <c r="BQ12" s="76" t="str">
        <f>IF('PFM NON-SELL (Draft Layers)'!BR60="X","X"," ")</f>
        <v xml:space="preserve"> </v>
      </c>
      <c r="BR12" s="76" t="str">
        <f>IF('PFM NON-SELL (Draft Layers)'!BS60="X","X"," ")</f>
        <v xml:space="preserve"> </v>
      </c>
      <c r="BS12" s="76" t="str">
        <f>IF('PFM NON-SELL (Draft Layers)'!BT60="X","X"," ")</f>
        <v xml:space="preserve"> </v>
      </c>
      <c r="BT12" s="76" t="str">
        <f>IF('PFM NON-SELL (Draft Layers)'!BU60="X","X"," ")</f>
        <v xml:space="preserve"> </v>
      </c>
      <c r="BU12" s="76" t="str">
        <f>IF('PFM NON-SELL (Draft Layers)'!BV60="X","X"," ")</f>
        <v xml:space="preserve"> </v>
      </c>
      <c r="BV12" s="76" t="str">
        <f>IF('PFM NON-SELL (Draft Layers)'!BW60="X","X"," ")</f>
        <v>X</v>
      </c>
      <c r="BW12" s="76" t="str">
        <f>IF('PFM NON-SELL (Draft Layers)'!BY60="X","X"," ")</f>
        <v xml:space="preserve"> </v>
      </c>
      <c r="BX12" s="76" t="str">
        <f>IF('PFM NON-SELL (Draft Layers)'!BZ60="X","X"," ")</f>
        <v>X</v>
      </c>
      <c r="BY12" s="76" t="str">
        <f>IF('PFM NON-SELL (Draft Layers)'!CA60="X","X"," ")</f>
        <v xml:space="preserve"> </v>
      </c>
      <c r="BZ12" s="76" t="str">
        <f>IF('PFM NON-SELL (Draft Layers)'!CB60="X","X"," ")</f>
        <v xml:space="preserve"> </v>
      </c>
      <c r="CA12" s="76" t="str">
        <f>IF('PFM NON-SELL (Draft Layers)'!CC60="X","X"," ")</f>
        <v xml:space="preserve"> </v>
      </c>
      <c r="CB12" s="76" t="str">
        <f>IF('PFM NON-SELL (Draft Layers)'!CD60="X","X"," ")</f>
        <v xml:space="preserve"> </v>
      </c>
      <c r="CC12" s="76" t="str">
        <f>IF('PFM NON-SELL (Draft Layers)'!CE60="X","X"," ")</f>
        <v xml:space="preserve"> </v>
      </c>
      <c r="CD12" s="76" t="str">
        <f>IF('PFM NON-SELL (Draft Layers)'!CF60="X","X"," ")</f>
        <v xml:space="preserve"> </v>
      </c>
      <c r="CE12" s="76" t="str">
        <f>IF('PFM NON-SELL (Draft Layers)'!CG60="X","X"," ")</f>
        <v xml:space="preserve"> </v>
      </c>
      <c r="CF12" s="76" t="str">
        <f>IF('PFM NON-SELL (Draft Layers)'!CH60="X","X"," ")</f>
        <v>X</v>
      </c>
      <c r="CG12" s="94" t="str">
        <f>IF('PFM NON-SELL (Draft Layers)'!CI60="X","X"," ")</f>
        <v>X</v>
      </c>
      <c r="CH12" s="76" t="str">
        <f>IF('PFM NON-SELL (Draft Layers)'!CJ60="X","X"," ")</f>
        <v xml:space="preserve"> </v>
      </c>
      <c r="CI12" s="76" t="str">
        <f>IF('PFM NON-SELL (Draft Layers)'!CN60="X","X"," ")</f>
        <v xml:space="preserve"> </v>
      </c>
      <c r="CJ12" s="76" t="str">
        <f>IF('PFM NON-SELL (Draft Layers)'!CO60="X","X"," ")</f>
        <v xml:space="preserve"> </v>
      </c>
      <c r="CK12" s="76" t="str">
        <f>IF('PFM NON-SELL (Draft Layers)'!CP60="X","X"," ")</f>
        <v xml:space="preserve"> </v>
      </c>
      <c r="CL12" s="76" t="str">
        <f>IF('PFM NON-SELL (Draft Layers)'!CQ60="X","X"," ")</f>
        <v xml:space="preserve"> </v>
      </c>
      <c r="CM12" s="76" t="str">
        <f>IF('PFM NON-SELL (Draft Layers)'!CV60="X","X"," ")</f>
        <v xml:space="preserve"> </v>
      </c>
      <c r="CN12" s="76" t="str">
        <f>IF('PFM NON-SELL (Draft Layers)'!CW60="X","X"," ")</f>
        <v>X</v>
      </c>
      <c r="CO12" s="76" t="str">
        <f>IF('PFM NON-SELL (Draft Layers)'!CX60="X","X"," ")</f>
        <v xml:space="preserve"> </v>
      </c>
      <c r="CP12" s="76" t="str">
        <f>IF('PFM NON-SELL (Draft Layers)'!CY60="X","X"," ")</f>
        <v xml:space="preserve"> </v>
      </c>
      <c r="CQ12" s="76" t="str">
        <f>IF('PFM NON-SELL (Draft Layers)'!CZ60="X","X"," ")</f>
        <v xml:space="preserve"> </v>
      </c>
      <c r="CR12" s="76" t="str">
        <f>IF('PFM NON-SELL (Draft Layers)'!DA60="X","X"," ")</f>
        <v xml:space="preserve"> </v>
      </c>
      <c r="CS12" s="76" t="str">
        <f>IF('PFM NON-SELL (Draft Layers)'!DB60="X","X"," ")</f>
        <v xml:space="preserve"> </v>
      </c>
      <c r="CT12" s="76" t="str">
        <f>IF('PFM NON-SELL (Draft Layers)'!DC60="X","X"," ")</f>
        <v xml:space="preserve"> </v>
      </c>
      <c r="CU12" s="76" t="str">
        <f>IF('PFM NON-SELL (Draft Layers)'!DD60="X","X"," ")</f>
        <v xml:space="preserve"> </v>
      </c>
      <c r="CV12" s="76" t="str">
        <f>IF('PFM NON-SELL (Draft Layers)'!DE60="X","X"," ")</f>
        <v>X</v>
      </c>
      <c r="CW12" s="76" t="str">
        <f>IF('PFM NON-SELL (Draft Layers)'!DF60="X","X"," ")</f>
        <v xml:space="preserve"> </v>
      </c>
      <c r="CX12" s="76" t="str">
        <f>IF('PFM NON-SELL (Draft Layers)'!DG60="X","X"," ")</f>
        <v xml:space="preserve"> </v>
      </c>
      <c r="CY12" s="76" t="str">
        <f>IF('PFM NON-SELL (Draft Layers)'!DH60="X","X"," ")</f>
        <v>X</v>
      </c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95"/>
      <c r="DO12" s="90">
        <f t="shared" si="6"/>
        <v>15</v>
      </c>
      <c r="DP12" s="21"/>
      <c r="DQ12" s="21"/>
    </row>
    <row r="13" spans="1:121" x14ac:dyDescent="0.3">
      <c r="A13" s="4" t="s">
        <v>8</v>
      </c>
      <c r="B13" s="4" t="s">
        <v>27</v>
      </c>
      <c r="C13" s="91" t="s">
        <v>38</v>
      </c>
      <c r="D13" s="4" t="s">
        <v>39</v>
      </c>
      <c r="E13" s="12">
        <v>468.32</v>
      </c>
      <c r="F13" s="34">
        <f t="shared" si="0"/>
        <v>187328</v>
      </c>
      <c r="G13" s="28">
        <f t="shared" si="1"/>
        <v>400</v>
      </c>
      <c r="H13" s="28">
        <f t="shared" si="2"/>
        <v>34</v>
      </c>
      <c r="I13" s="26">
        <f t="shared" si="3"/>
        <v>93664</v>
      </c>
      <c r="J13" s="24">
        <f t="shared" si="4"/>
        <v>200</v>
      </c>
      <c r="K13" s="31">
        <f t="shared" si="5"/>
        <v>40</v>
      </c>
      <c r="L13" s="9">
        <v>200</v>
      </c>
      <c r="M13" s="9">
        <v>0</v>
      </c>
      <c r="N13" s="9">
        <v>0</v>
      </c>
      <c r="O13" s="9">
        <v>200</v>
      </c>
      <c r="P13" s="9">
        <v>0</v>
      </c>
      <c r="Q13" s="9">
        <v>0</v>
      </c>
      <c r="R13" s="9">
        <v>100</v>
      </c>
      <c r="S13" s="9">
        <v>0</v>
      </c>
      <c r="T13" s="9">
        <v>0</v>
      </c>
      <c r="U13" s="9">
        <v>0</v>
      </c>
      <c r="V13" s="9">
        <v>100</v>
      </c>
      <c r="W13" s="9">
        <v>0</v>
      </c>
      <c r="X13" s="9">
        <v>0</v>
      </c>
      <c r="Y13" s="9">
        <v>0</v>
      </c>
      <c r="Z13" s="9">
        <v>200</v>
      </c>
      <c r="AA13" s="9">
        <v>0</v>
      </c>
      <c r="AB13" s="9">
        <v>0</v>
      </c>
      <c r="AC13" s="9">
        <v>0</v>
      </c>
      <c r="AE13" s="6">
        <v>93664</v>
      </c>
      <c r="AF13" s="6">
        <v>0</v>
      </c>
      <c r="AG13" s="6">
        <v>0</v>
      </c>
      <c r="AH13" s="6">
        <v>93664</v>
      </c>
      <c r="AI13" s="6">
        <v>0</v>
      </c>
      <c r="AJ13" s="6">
        <v>0</v>
      </c>
      <c r="AK13" s="6">
        <v>46832</v>
      </c>
      <c r="AL13" s="6">
        <v>0</v>
      </c>
      <c r="AM13" s="6">
        <v>0</v>
      </c>
      <c r="AN13" s="6">
        <v>0</v>
      </c>
      <c r="AO13" s="6">
        <v>46832</v>
      </c>
      <c r="AP13" s="6">
        <v>0</v>
      </c>
      <c r="AQ13" s="6">
        <v>0</v>
      </c>
      <c r="AR13" s="6">
        <v>0</v>
      </c>
      <c r="AS13" s="6">
        <v>93664</v>
      </c>
      <c r="AT13" s="6">
        <v>0</v>
      </c>
      <c r="AU13" s="6">
        <v>0</v>
      </c>
      <c r="AV13" s="6">
        <v>0</v>
      </c>
      <c r="AW13" s="93" t="str">
        <f>IF('PFM NON-SELL (Draft Layers)'!AW83="X","X"," ")</f>
        <v>X</v>
      </c>
      <c r="AX13" s="76" t="str">
        <f>IF('PFM NON-SELL (Draft Layers)'!AX83="X","X"," ")</f>
        <v>X</v>
      </c>
      <c r="AY13" s="76" t="str">
        <f>IF('PFM NON-SELL (Draft Layers)'!AY83="X","X"," ")</f>
        <v xml:space="preserve"> </v>
      </c>
      <c r="AZ13" s="76" t="str">
        <f>IF('PFM NON-SELL (Draft Layers)'!AZ83="X","X"," ")</f>
        <v xml:space="preserve"> </v>
      </c>
      <c r="BA13" s="76" t="str">
        <f>IF('PFM NON-SELL (Draft Layers)'!BA83="X","X"," ")</f>
        <v xml:space="preserve"> </v>
      </c>
      <c r="BB13" s="76" t="str">
        <f>IF('PFM NON-SELL (Draft Layers)'!BB83="X","X"," ")</f>
        <v>X</v>
      </c>
      <c r="BC13" s="76" t="str">
        <f>IF('PFM NON-SELL (Draft Layers)'!BC83="X","X"," ")</f>
        <v xml:space="preserve"> </v>
      </c>
      <c r="BD13" s="76" t="str">
        <f>IF('PFM NON-SELL (Draft Layers)'!BD83="X","X"," ")</f>
        <v>X</v>
      </c>
      <c r="BE13" s="76" t="str">
        <f>IF('PFM NON-SELL (Draft Layers)'!BE83="X","X"," ")</f>
        <v xml:space="preserve"> </v>
      </c>
      <c r="BF13" s="76" t="str">
        <f>IF('PFM NON-SELL (Draft Layers)'!BF83="X","X"," ")</f>
        <v>X</v>
      </c>
      <c r="BG13" s="76" t="str">
        <f>IF('PFM NON-SELL (Draft Layers)'!BG83="X","X"," ")</f>
        <v xml:space="preserve"> </v>
      </c>
      <c r="BH13" s="76" t="str">
        <f>IF('PFM NON-SELL (Draft Layers)'!BH83="X","X"," ")</f>
        <v xml:space="preserve"> </v>
      </c>
      <c r="BI13" s="76" t="str">
        <f>IF('PFM NON-SELL (Draft Layers)'!BI83="X","X"," ")</f>
        <v xml:space="preserve"> </v>
      </c>
      <c r="BJ13" s="76" t="str">
        <f>IF('PFM NON-SELL (Draft Layers)'!BJ83="X","X"," ")</f>
        <v xml:space="preserve"> </v>
      </c>
      <c r="BK13" s="76" t="str">
        <f>IF('PFM NON-SELL (Draft Layers)'!BK83="X","X"," ")</f>
        <v xml:space="preserve"> </v>
      </c>
      <c r="BL13" s="76" t="str">
        <f>IF('PFM NON-SELL (Draft Layers)'!BM83="X","X"," ")</f>
        <v>X</v>
      </c>
      <c r="BM13" s="76" t="str">
        <f>IF('PFM NON-SELL (Draft Layers)'!BN83="X","X"," ")</f>
        <v>X</v>
      </c>
      <c r="BN13" s="76" t="str">
        <f>IF('PFM NON-SELL (Draft Layers)'!BO83="X","X"," ")</f>
        <v xml:space="preserve"> </v>
      </c>
      <c r="BO13" s="76" t="str">
        <f>IF('PFM NON-SELL (Draft Layers)'!BP83="X","X"," ")</f>
        <v>X</v>
      </c>
      <c r="BP13" s="76" t="str">
        <f>IF('PFM NON-SELL (Draft Layers)'!BQ83="X","X"," ")</f>
        <v xml:space="preserve"> </v>
      </c>
      <c r="BQ13" s="76" t="str">
        <f>IF('PFM NON-SELL (Draft Layers)'!BR83="X","X"," ")</f>
        <v xml:space="preserve"> </v>
      </c>
      <c r="BR13" s="76" t="str">
        <f>IF('PFM NON-SELL (Draft Layers)'!BS83="X","X"," ")</f>
        <v xml:space="preserve"> </v>
      </c>
      <c r="BS13" s="76" t="str">
        <f>IF('PFM NON-SELL (Draft Layers)'!BT83="X","X"," ")</f>
        <v xml:space="preserve"> </v>
      </c>
      <c r="BT13" s="76" t="str">
        <f>IF('PFM NON-SELL (Draft Layers)'!BU83="X","X"," ")</f>
        <v xml:space="preserve"> </v>
      </c>
      <c r="BU13" s="76" t="str">
        <f>IF('PFM NON-SELL (Draft Layers)'!BV83="X","X"," ")</f>
        <v xml:space="preserve"> </v>
      </c>
      <c r="BV13" s="76" t="str">
        <f>IF('PFM NON-SELL (Draft Layers)'!BW83="X","X"," ")</f>
        <v>X</v>
      </c>
      <c r="BW13" s="76" t="str">
        <f>IF('PFM NON-SELL (Draft Layers)'!BY83="X","X"," ")</f>
        <v xml:space="preserve"> </v>
      </c>
      <c r="BX13" s="76" t="str">
        <f>IF('PFM NON-SELL (Draft Layers)'!BZ83="X","X"," ")</f>
        <v>X</v>
      </c>
      <c r="BY13" s="76" t="str">
        <f>IF('PFM NON-SELL (Draft Layers)'!CA83="X","X"," ")</f>
        <v xml:space="preserve"> </v>
      </c>
      <c r="BZ13" s="76" t="str">
        <f>IF('PFM NON-SELL (Draft Layers)'!CB83="X","X"," ")</f>
        <v xml:space="preserve"> </v>
      </c>
      <c r="CA13" s="76" t="str">
        <f>IF('PFM NON-SELL (Draft Layers)'!CC83="X","X"," ")</f>
        <v xml:space="preserve"> </v>
      </c>
      <c r="CB13" s="76" t="str">
        <f>IF('PFM NON-SELL (Draft Layers)'!CD83="X","X"," ")</f>
        <v xml:space="preserve"> </v>
      </c>
      <c r="CC13" s="76" t="str">
        <f>IF('PFM NON-SELL (Draft Layers)'!CE83="X","X"," ")</f>
        <v xml:space="preserve"> </v>
      </c>
      <c r="CD13" s="76" t="str">
        <f>IF('PFM NON-SELL (Draft Layers)'!CF83="X","X"," ")</f>
        <v xml:space="preserve"> </v>
      </c>
      <c r="CE13" s="76" t="str">
        <f>IF('PFM NON-SELL (Draft Layers)'!CG83="X","X"," ")</f>
        <v xml:space="preserve"> </v>
      </c>
      <c r="CF13" s="76" t="str">
        <f>IF('PFM NON-SELL (Draft Layers)'!CH83="X","X"," ")</f>
        <v>X</v>
      </c>
      <c r="CG13" s="76" t="str">
        <f>IF('PFM NON-SELL (Draft Layers)'!CI83="X","X"," ")</f>
        <v>X</v>
      </c>
      <c r="CH13" s="76" t="str">
        <f>IF('PFM NON-SELL (Draft Layers)'!CJ83="X","X"," ")</f>
        <v xml:space="preserve"> </v>
      </c>
      <c r="CI13" s="76" t="str">
        <f>IF('PFM NON-SELL (Draft Layers)'!CN83="X","X"," ")</f>
        <v xml:space="preserve"> </v>
      </c>
      <c r="CJ13" s="76" t="str">
        <f>IF('PFM NON-SELL (Draft Layers)'!CO83="X","X"," ")</f>
        <v xml:space="preserve"> </v>
      </c>
      <c r="CK13" s="76" t="str">
        <f>IF('PFM NON-SELL (Draft Layers)'!CP83="X","X"," ")</f>
        <v xml:space="preserve"> </v>
      </c>
      <c r="CL13" s="76" t="str">
        <f>IF('PFM NON-SELL (Draft Layers)'!CQ83="X","X"," ")</f>
        <v xml:space="preserve"> </v>
      </c>
      <c r="CM13" s="76" t="str">
        <f>IF('PFM NON-SELL (Draft Layers)'!CV83="X","X"," ")</f>
        <v xml:space="preserve"> </v>
      </c>
      <c r="CN13" s="76" t="str">
        <f>IF('PFM NON-SELL (Draft Layers)'!CW83="X","X"," ")</f>
        <v>X</v>
      </c>
      <c r="CO13" s="76" t="str">
        <f>IF('PFM NON-SELL (Draft Layers)'!CX83="X","X"," ")</f>
        <v xml:space="preserve"> </v>
      </c>
      <c r="CP13" s="76" t="str">
        <f>IF('PFM NON-SELL (Draft Layers)'!CY83="X","X"," ")</f>
        <v xml:space="preserve"> </v>
      </c>
      <c r="CQ13" s="76" t="str">
        <f>IF('PFM NON-SELL (Draft Layers)'!CZ83="X","X"," ")</f>
        <v xml:space="preserve"> </v>
      </c>
      <c r="CR13" s="76" t="str">
        <f>IF('PFM NON-SELL (Draft Layers)'!DA83="X","X"," ")</f>
        <v xml:space="preserve"> </v>
      </c>
      <c r="CS13" s="76" t="str">
        <f>IF('PFM NON-SELL (Draft Layers)'!DB83="X","X"," ")</f>
        <v xml:space="preserve"> </v>
      </c>
      <c r="CT13" s="76" t="str">
        <f>IF('PFM NON-SELL (Draft Layers)'!DC83="X","X"," ")</f>
        <v xml:space="preserve"> </v>
      </c>
      <c r="CU13" s="76" t="str">
        <f>IF('PFM NON-SELL (Draft Layers)'!DD83="X","X"," ")</f>
        <v xml:space="preserve"> </v>
      </c>
      <c r="CV13" s="76" t="str">
        <f>IF('PFM NON-SELL (Draft Layers)'!DE83="X","X"," ")</f>
        <v>X</v>
      </c>
      <c r="CW13" s="76" t="str">
        <f>IF('PFM NON-SELL (Draft Layers)'!DF83="X","X"," ")</f>
        <v xml:space="preserve"> </v>
      </c>
      <c r="CX13" s="76" t="str">
        <f>IF('PFM NON-SELL (Draft Layers)'!DG83="X","X"," ")</f>
        <v xml:space="preserve"> </v>
      </c>
      <c r="CY13" s="76" t="str">
        <f>IF('PFM NON-SELL (Draft Layers)'!DH83="X","X"," ")</f>
        <v>X</v>
      </c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95"/>
      <c r="DO13" s="90">
        <f t="shared" si="6"/>
        <v>15</v>
      </c>
      <c r="DP13" s="21"/>
      <c r="DQ13" s="21"/>
    </row>
    <row r="14" spans="1:121" x14ac:dyDescent="0.3">
      <c r="A14" s="4" t="s">
        <v>8</v>
      </c>
      <c r="B14" s="4" t="s">
        <v>52</v>
      </c>
      <c r="C14" s="91" t="s">
        <v>53</v>
      </c>
      <c r="D14" s="4" t="s">
        <v>54</v>
      </c>
      <c r="E14" s="12">
        <v>2814.12</v>
      </c>
      <c r="F14" s="34">
        <f t="shared" si="0"/>
        <v>396790.92</v>
      </c>
      <c r="G14" s="28">
        <f t="shared" si="1"/>
        <v>141</v>
      </c>
      <c r="H14" s="28">
        <f t="shared" si="2"/>
        <v>12</v>
      </c>
      <c r="I14" s="26">
        <f t="shared" si="3"/>
        <v>0</v>
      </c>
      <c r="J14" s="24">
        <f t="shared" si="4"/>
        <v>0</v>
      </c>
      <c r="K14" s="31">
        <f t="shared" si="5"/>
        <v>0</v>
      </c>
      <c r="L14" s="9">
        <v>46</v>
      </c>
      <c r="M14" s="9">
        <v>69</v>
      </c>
      <c r="N14" s="9">
        <v>20</v>
      </c>
      <c r="O14" s="9">
        <v>52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E14" s="6">
        <v>129449.51999999999</v>
      </c>
      <c r="AF14" s="6">
        <v>194174.28</v>
      </c>
      <c r="AG14" s="6">
        <v>56282.399999999994</v>
      </c>
      <c r="AH14" s="6">
        <v>146334.24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93" t="str">
        <f>IF('PFM NON-SELL (Draft Layers)'!AW106="X","X"," ")</f>
        <v>X</v>
      </c>
      <c r="AX14" s="76" t="str">
        <f>IF('PFM NON-SELL (Draft Layers)'!AX106="X","X"," ")</f>
        <v>X</v>
      </c>
      <c r="AY14" s="76" t="str">
        <f>IF('PFM NON-SELL (Draft Layers)'!AY106="X","X"," ")</f>
        <v>X</v>
      </c>
      <c r="AZ14" s="76" t="str">
        <f>IF('PFM NON-SELL (Draft Layers)'!AZ106="X","X"," ")</f>
        <v xml:space="preserve"> </v>
      </c>
      <c r="BA14" s="76" t="str">
        <f>IF('PFM NON-SELL (Draft Layers)'!BA106="X","X"," ")</f>
        <v xml:space="preserve"> </v>
      </c>
      <c r="BB14" s="76" t="str">
        <f>IF('PFM NON-SELL (Draft Layers)'!BB106="X","X"," ")</f>
        <v xml:space="preserve"> </v>
      </c>
      <c r="BC14" s="76" t="str">
        <f>IF('PFM NON-SELL (Draft Layers)'!BC106="X","X"," ")</f>
        <v xml:space="preserve"> </v>
      </c>
      <c r="BD14" s="76" t="str">
        <f>IF('PFM NON-SELL (Draft Layers)'!BD106="X","X"," ")</f>
        <v xml:space="preserve"> </v>
      </c>
      <c r="BE14" s="76" t="str">
        <f>IF('PFM NON-SELL (Draft Layers)'!BE106="X","X"," ")</f>
        <v>X</v>
      </c>
      <c r="BF14" s="76" t="str">
        <f>IF('PFM NON-SELL (Draft Layers)'!BF106="X","X"," ")</f>
        <v>X</v>
      </c>
      <c r="BG14" s="76" t="str">
        <f>IF('PFM NON-SELL (Draft Layers)'!BG106="X","X"," ")</f>
        <v xml:space="preserve"> </v>
      </c>
      <c r="BH14" s="76" t="str">
        <f>IF('PFM NON-SELL (Draft Layers)'!BH106="X","X"," ")</f>
        <v xml:space="preserve"> </v>
      </c>
      <c r="BI14" s="76" t="str">
        <f>IF('PFM NON-SELL (Draft Layers)'!BI106="X","X"," ")</f>
        <v xml:space="preserve"> </v>
      </c>
      <c r="BJ14" s="76" t="str">
        <f>IF('PFM NON-SELL (Draft Layers)'!BJ106="X","X"," ")</f>
        <v xml:space="preserve"> </v>
      </c>
      <c r="BK14" s="76" t="str">
        <f>IF('PFM NON-SELL (Draft Layers)'!BK106="X","X"," ")</f>
        <v xml:space="preserve"> </v>
      </c>
      <c r="BL14" s="76" t="str">
        <f>IF('PFM NON-SELL (Draft Layers)'!BM106="X","X"," ")</f>
        <v xml:space="preserve"> </v>
      </c>
      <c r="BM14" s="76" t="str">
        <f>IF('PFM NON-SELL (Draft Layers)'!BN106="X","X"," ")</f>
        <v xml:space="preserve"> </v>
      </c>
      <c r="BN14" s="76" t="str">
        <f>IF('PFM NON-SELL (Draft Layers)'!BO106="X","X"," ")</f>
        <v xml:space="preserve"> </v>
      </c>
      <c r="BO14" s="76" t="str">
        <f>IF('PFM NON-SELL (Draft Layers)'!BP106="X","X"," ")</f>
        <v>X</v>
      </c>
      <c r="BP14" s="76" t="str">
        <f>IF('PFM NON-SELL (Draft Layers)'!BQ106="X","X"," ")</f>
        <v xml:space="preserve"> </v>
      </c>
      <c r="BQ14" s="76" t="str">
        <f>IF('PFM NON-SELL (Draft Layers)'!BR106="X","X"," ")</f>
        <v>X</v>
      </c>
      <c r="BR14" s="76" t="str">
        <f>IF('PFM NON-SELL (Draft Layers)'!BS106="X","X"," ")</f>
        <v xml:space="preserve"> </v>
      </c>
      <c r="BS14" s="76" t="str">
        <f>IF('PFM NON-SELL (Draft Layers)'!BT106="X","X"," ")</f>
        <v xml:space="preserve"> </v>
      </c>
      <c r="BT14" s="76" t="str">
        <f>IF('PFM NON-SELL (Draft Layers)'!BU106="X","X"," ")</f>
        <v xml:space="preserve"> </v>
      </c>
      <c r="BU14" s="76" t="str">
        <f>IF('PFM NON-SELL (Draft Layers)'!BV106="X","X"," ")</f>
        <v xml:space="preserve"> </v>
      </c>
      <c r="BV14" s="76" t="str">
        <f>IF('PFM NON-SELL (Draft Layers)'!BW106="X","X"," ")</f>
        <v xml:space="preserve"> </v>
      </c>
      <c r="BW14" s="76" t="str">
        <f>IF('PFM NON-SELL (Draft Layers)'!BY106="X","X"," ")</f>
        <v xml:space="preserve"> </v>
      </c>
      <c r="BX14" s="76" t="str">
        <f>IF('PFM NON-SELL (Draft Layers)'!BZ106="X","X"," ")</f>
        <v xml:space="preserve"> </v>
      </c>
      <c r="BY14" s="76" t="str">
        <f>IF('PFM NON-SELL (Draft Layers)'!CA106="X","X"," ")</f>
        <v xml:space="preserve"> </v>
      </c>
      <c r="BZ14" s="76" t="str">
        <f>IF('PFM NON-SELL (Draft Layers)'!CB106="X","X"," ")</f>
        <v>X</v>
      </c>
      <c r="CA14" s="76" t="str">
        <f>IF('PFM NON-SELL (Draft Layers)'!CC106="X","X"," ")</f>
        <v>X</v>
      </c>
      <c r="CB14" s="76" t="str">
        <f>IF('PFM NON-SELL (Draft Layers)'!CD106="X","X"," ")</f>
        <v>X</v>
      </c>
      <c r="CC14" s="76" t="str">
        <f>IF('PFM NON-SELL (Draft Layers)'!CE106="X","X"," ")</f>
        <v xml:space="preserve"> </v>
      </c>
      <c r="CD14" s="76" t="str">
        <f>IF('PFM NON-SELL (Draft Layers)'!CF106="X","X"," ")</f>
        <v>X</v>
      </c>
      <c r="CE14" s="76" t="str">
        <f>IF('PFM NON-SELL (Draft Layers)'!CG106="X","X"," ")</f>
        <v>X</v>
      </c>
      <c r="CF14" s="76" t="str">
        <f>IF('PFM NON-SELL (Draft Layers)'!CH106="X","X"," ")</f>
        <v>X</v>
      </c>
      <c r="CG14" s="76" t="str">
        <f>IF('PFM NON-SELL (Draft Layers)'!CI106="X","X"," ")</f>
        <v>X</v>
      </c>
      <c r="CH14" s="76" t="str">
        <f>IF('PFM NON-SELL (Draft Layers)'!CJ106="X","X"," ")</f>
        <v xml:space="preserve"> </v>
      </c>
      <c r="CI14" s="76" t="str">
        <f>IF('PFM NON-SELL (Draft Layers)'!CN106="X","X"," ")</f>
        <v xml:space="preserve"> </v>
      </c>
      <c r="CJ14" s="76" t="str">
        <f>IF('PFM NON-SELL (Draft Layers)'!CO106="X","X"," ")</f>
        <v xml:space="preserve"> </v>
      </c>
      <c r="CK14" s="76" t="str">
        <f>IF('PFM NON-SELL (Draft Layers)'!CP106="X","X"," ")</f>
        <v xml:space="preserve"> </v>
      </c>
      <c r="CL14" s="76" t="str">
        <f>IF('PFM NON-SELL (Draft Layers)'!CQ106="X","X"," ")</f>
        <v xml:space="preserve"> </v>
      </c>
      <c r="CM14" s="76" t="str">
        <f>IF('PFM NON-SELL (Draft Layers)'!CV106="X","X"," ")</f>
        <v xml:space="preserve"> </v>
      </c>
      <c r="CN14" s="76" t="str">
        <f>IF('PFM NON-SELL (Draft Layers)'!CW106="X","X"," ")</f>
        <v>X</v>
      </c>
      <c r="CO14" s="76" t="str">
        <f>IF('PFM NON-SELL (Draft Layers)'!CX106="X","X"," ")</f>
        <v xml:space="preserve"> </v>
      </c>
      <c r="CP14" s="76" t="str">
        <f>IF('PFM NON-SELL (Draft Layers)'!CY106="X","X"," ")</f>
        <v xml:space="preserve"> </v>
      </c>
      <c r="CQ14" s="76" t="str">
        <f>IF('PFM NON-SELL (Draft Layers)'!CZ106="X","X"," ")</f>
        <v xml:space="preserve"> </v>
      </c>
      <c r="CR14" s="76" t="str">
        <f>IF('PFM NON-SELL (Draft Layers)'!DA106="X","X"," ")</f>
        <v xml:space="preserve"> </v>
      </c>
      <c r="CS14" s="76" t="str">
        <f>IF('PFM NON-SELL (Draft Layers)'!DB106="X","X"," ")</f>
        <v>X</v>
      </c>
      <c r="CT14" s="76" t="str">
        <f>IF('PFM NON-SELL (Draft Layers)'!DC106="X","X"," ")</f>
        <v xml:space="preserve"> </v>
      </c>
      <c r="CU14" s="76" t="str">
        <f>IF('PFM NON-SELL (Draft Layers)'!DD106="X","X"," ")</f>
        <v xml:space="preserve"> </v>
      </c>
      <c r="CV14" s="76" t="str">
        <f>IF('PFM NON-SELL (Draft Layers)'!DE106="X","X"," ")</f>
        <v xml:space="preserve"> </v>
      </c>
      <c r="CW14" s="76" t="str">
        <f>IF('PFM NON-SELL (Draft Layers)'!DF106="X","X"," ")</f>
        <v xml:space="preserve"> </v>
      </c>
      <c r="CX14" s="76" t="str">
        <f>IF('PFM NON-SELL (Draft Layers)'!DG106="X","X"," ")</f>
        <v xml:space="preserve"> </v>
      </c>
      <c r="CY14" s="96" t="str">
        <f>IF('PFM NON-SELL (Draft Layers)'!DH106="X","X"," ")</f>
        <v>X</v>
      </c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95"/>
      <c r="DO14" s="90">
        <f t="shared" si="6"/>
        <v>17</v>
      </c>
      <c r="DP14" s="21"/>
      <c r="DQ14" s="21"/>
    </row>
    <row r="15" spans="1:121" x14ac:dyDescent="0.3">
      <c r="A15" s="4" t="s">
        <v>8</v>
      </c>
      <c r="B15" s="4" t="s">
        <v>52</v>
      </c>
      <c r="C15" s="91" t="s">
        <v>55</v>
      </c>
      <c r="D15" s="4" t="s">
        <v>54</v>
      </c>
      <c r="E15" s="12">
        <v>0</v>
      </c>
      <c r="F15" s="34">
        <f t="shared" si="0"/>
        <v>0</v>
      </c>
      <c r="G15" s="28">
        <f t="shared" si="1"/>
        <v>1</v>
      </c>
      <c r="H15" s="28">
        <f t="shared" si="2"/>
        <v>1</v>
      </c>
      <c r="I15" s="26">
        <f t="shared" si="3"/>
        <v>0</v>
      </c>
      <c r="J15" s="24">
        <f t="shared" si="4"/>
        <v>0</v>
      </c>
      <c r="K15" s="31">
        <f t="shared" si="5"/>
        <v>0</v>
      </c>
      <c r="L15" s="9">
        <v>0</v>
      </c>
      <c r="M15" s="9">
        <v>1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E15" s="6">
        <v>0</v>
      </c>
      <c r="AF15" s="6">
        <v>3210.04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93" t="str">
        <f>IF('PFM NON-SELL (Draft Layers)'!AW118="X","X"," ")</f>
        <v>X</v>
      </c>
      <c r="AX15" s="76" t="str">
        <f>IF('PFM NON-SELL (Draft Layers)'!AX118="X","X"," ")</f>
        <v>X</v>
      </c>
      <c r="AY15" s="76" t="str">
        <f>IF('PFM NON-SELL (Draft Layers)'!AY118="X","X"," ")</f>
        <v>X</v>
      </c>
      <c r="AZ15" s="76" t="str">
        <f>IF('PFM NON-SELL (Draft Layers)'!AZ118="X","X"," ")</f>
        <v xml:space="preserve"> </v>
      </c>
      <c r="BA15" s="76" t="str">
        <f>IF('PFM NON-SELL (Draft Layers)'!BA118="X","X"," ")</f>
        <v xml:space="preserve"> </v>
      </c>
      <c r="BB15" s="76" t="str">
        <f>IF('PFM NON-SELL (Draft Layers)'!BB118="X","X"," ")</f>
        <v xml:space="preserve"> </v>
      </c>
      <c r="BC15" s="76" t="str">
        <f>IF('PFM NON-SELL (Draft Layers)'!BC118="X","X"," ")</f>
        <v xml:space="preserve"> </v>
      </c>
      <c r="BD15" s="76" t="str">
        <f>IF('PFM NON-SELL (Draft Layers)'!BD118="X","X"," ")</f>
        <v xml:space="preserve"> </v>
      </c>
      <c r="BE15" s="76" t="str">
        <f>IF('PFM NON-SELL (Draft Layers)'!BE118="X","X"," ")</f>
        <v xml:space="preserve"> </v>
      </c>
      <c r="BF15" s="76" t="str">
        <f>IF('PFM NON-SELL (Draft Layers)'!BF118="X","X"," ")</f>
        <v xml:space="preserve"> </v>
      </c>
      <c r="BG15" s="76" t="str">
        <f>IF('PFM NON-SELL (Draft Layers)'!BG118="X","X"," ")</f>
        <v xml:space="preserve"> </v>
      </c>
      <c r="BH15" s="76" t="str">
        <f>IF('PFM NON-SELL (Draft Layers)'!BH118="X","X"," ")</f>
        <v xml:space="preserve"> </v>
      </c>
      <c r="BI15" s="76" t="str">
        <f>IF('PFM NON-SELL (Draft Layers)'!BI118="X","X"," ")</f>
        <v xml:space="preserve"> </v>
      </c>
      <c r="BJ15" s="76" t="str">
        <f>IF('PFM NON-SELL (Draft Layers)'!BJ118="X","X"," ")</f>
        <v xml:space="preserve"> </v>
      </c>
      <c r="BK15" s="76" t="str">
        <f>IF('PFM NON-SELL (Draft Layers)'!BK118="X","X"," ")</f>
        <v xml:space="preserve"> </v>
      </c>
      <c r="BL15" s="76" t="str">
        <f>IF('PFM NON-SELL (Draft Layers)'!BM118="X","X"," ")</f>
        <v xml:space="preserve"> </v>
      </c>
      <c r="BM15" s="76" t="str">
        <f>IF('PFM NON-SELL (Draft Layers)'!BN118="X","X"," ")</f>
        <v xml:space="preserve"> </v>
      </c>
      <c r="BN15" s="76" t="str">
        <f>IF('PFM NON-SELL (Draft Layers)'!BO118="X","X"," ")</f>
        <v xml:space="preserve"> </v>
      </c>
      <c r="BO15" s="76" t="str">
        <f>IF('PFM NON-SELL (Draft Layers)'!BP118="X","X"," ")</f>
        <v>X</v>
      </c>
      <c r="BP15" s="76" t="str">
        <f>IF('PFM NON-SELL (Draft Layers)'!BQ118="X","X"," ")</f>
        <v xml:space="preserve"> </v>
      </c>
      <c r="BQ15" s="76" t="str">
        <f>IF('PFM NON-SELL (Draft Layers)'!BR118="X","X"," ")</f>
        <v>X</v>
      </c>
      <c r="BR15" s="76" t="str">
        <f>IF('PFM NON-SELL (Draft Layers)'!BS118="X","X"," ")</f>
        <v xml:space="preserve"> </v>
      </c>
      <c r="BS15" s="76" t="str">
        <f>IF('PFM NON-SELL (Draft Layers)'!BT118="X","X"," ")</f>
        <v xml:space="preserve"> </v>
      </c>
      <c r="BT15" s="76" t="str">
        <f>IF('PFM NON-SELL (Draft Layers)'!BU118="X","X"," ")</f>
        <v xml:space="preserve"> </v>
      </c>
      <c r="BU15" s="76" t="str">
        <f>IF('PFM NON-SELL (Draft Layers)'!BV118="X","X"," ")</f>
        <v xml:space="preserve"> </v>
      </c>
      <c r="BV15" s="76" t="str">
        <f>IF('PFM NON-SELL (Draft Layers)'!BW118="X","X"," ")</f>
        <v xml:space="preserve"> </v>
      </c>
      <c r="BW15" s="76" t="str">
        <f>IF('PFM NON-SELL (Draft Layers)'!BY118="X","X"," ")</f>
        <v xml:space="preserve"> </v>
      </c>
      <c r="BX15" s="76" t="str">
        <f>IF('PFM NON-SELL (Draft Layers)'!BZ118="X","X"," ")</f>
        <v>X</v>
      </c>
      <c r="BY15" s="76" t="str">
        <f>IF('PFM NON-SELL (Draft Layers)'!CA118="X","X"," ")</f>
        <v xml:space="preserve"> </v>
      </c>
      <c r="BZ15" s="76" t="str">
        <f>IF('PFM NON-SELL (Draft Layers)'!CB118="X","X"," ")</f>
        <v>X</v>
      </c>
      <c r="CA15" s="76" t="str">
        <f>IF('PFM NON-SELL (Draft Layers)'!CC118="X","X"," ")</f>
        <v xml:space="preserve"> </v>
      </c>
      <c r="CB15" s="76" t="str">
        <f>IF('PFM NON-SELL (Draft Layers)'!CD118="X","X"," ")</f>
        <v>X</v>
      </c>
      <c r="CC15" s="76" t="str">
        <f>IF('PFM NON-SELL (Draft Layers)'!CE118="X","X"," ")</f>
        <v xml:space="preserve"> </v>
      </c>
      <c r="CD15" s="76" t="str">
        <f>IF('PFM NON-SELL (Draft Layers)'!CF118="X","X"," ")</f>
        <v>X</v>
      </c>
      <c r="CE15" s="76" t="str">
        <f>IF('PFM NON-SELL (Draft Layers)'!CG118="X","X"," ")</f>
        <v xml:space="preserve"> </v>
      </c>
      <c r="CF15" s="76" t="str">
        <f>IF('PFM NON-SELL (Draft Layers)'!CH118="X","X"," ")</f>
        <v>X</v>
      </c>
      <c r="CG15" s="94" t="str">
        <f>IF('PFM NON-SELL (Draft Layers)'!CI118="X","X"," ")</f>
        <v>X</v>
      </c>
      <c r="CH15" s="76" t="str">
        <f>IF('PFM NON-SELL (Draft Layers)'!CJ118="X","X"," ")</f>
        <v xml:space="preserve"> </v>
      </c>
      <c r="CI15" s="76" t="str">
        <f>IF('PFM NON-SELL (Draft Layers)'!CN118="X","X"," ")</f>
        <v xml:space="preserve"> </v>
      </c>
      <c r="CJ15" s="76" t="str">
        <f>IF('PFM NON-SELL (Draft Layers)'!CO118="X","X"," ")</f>
        <v xml:space="preserve"> </v>
      </c>
      <c r="CK15" s="76" t="str">
        <f>IF('PFM NON-SELL (Draft Layers)'!CP118="X","X"," ")</f>
        <v xml:space="preserve"> </v>
      </c>
      <c r="CL15" s="76" t="str">
        <f>IF('PFM NON-SELL (Draft Layers)'!CQ118="X","X"," ")</f>
        <v xml:space="preserve"> </v>
      </c>
      <c r="CM15" s="76" t="str">
        <f>IF('PFM NON-SELL (Draft Layers)'!CV118="X","X"," ")</f>
        <v xml:space="preserve"> </v>
      </c>
      <c r="CN15" s="76" t="str">
        <f>IF('PFM NON-SELL (Draft Layers)'!CW118="X","X"," ")</f>
        <v>X</v>
      </c>
      <c r="CO15" s="76" t="str">
        <f>IF('PFM NON-SELL (Draft Layers)'!CX118="X","X"," ")</f>
        <v xml:space="preserve"> </v>
      </c>
      <c r="CP15" s="76" t="str">
        <f>IF('PFM NON-SELL (Draft Layers)'!CY118="X","X"," ")</f>
        <v xml:space="preserve"> </v>
      </c>
      <c r="CQ15" s="76" t="str">
        <f>IF('PFM NON-SELL (Draft Layers)'!CZ118="X","X"," ")</f>
        <v xml:space="preserve"> </v>
      </c>
      <c r="CR15" s="76" t="str">
        <f>IF('PFM NON-SELL (Draft Layers)'!DA118="X","X"," ")</f>
        <v xml:space="preserve"> </v>
      </c>
      <c r="CS15" s="76" t="str">
        <f>IF('PFM NON-SELL (Draft Layers)'!DB118="X","X"," ")</f>
        <v>X</v>
      </c>
      <c r="CT15" s="76" t="str">
        <f>IF('PFM NON-SELL (Draft Layers)'!DC118="X","X"," ")</f>
        <v xml:space="preserve"> </v>
      </c>
      <c r="CU15" s="76" t="str">
        <f>IF('PFM NON-SELL (Draft Layers)'!DD118="X","X"," ")</f>
        <v xml:space="preserve"> </v>
      </c>
      <c r="CV15" s="76" t="str">
        <f>IF('PFM NON-SELL (Draft Layers)'!DE118="X","X"," ")</f>
        <v xml:space="preserve"> </v>
      </c>
      <c r="CW15" s="76" t="str">
        <f>IF('PFM NON-SELL (Draft Layers)'!DF118="X","X"," ")</f>
        <v xml:space="preserve"> </v>
      </c>
      <c r="CX15" s="76" t="str">
        <f>IF('PFM NON-SELL (Draft Layers)'!DG118="X","X"," ")</f>
        <v xml:space="preserve"> </v>
      </c>
      <c r="CY15" s="76" t="str">
        <f>IF('PFM NON-SELL (Draft Layers)'!DH118="X","X"," ")</f>
        <v>X</v>
      </c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95"/>
      <c r="DO15" s="90">
        <f t="shared" si="6"/>
        <v>14</v>
      </c>
      <c r="DP15" s="21"/>
      <c r="DQ15" s="21"/>
    </row>
    <row r="16" spans="1:121" x14ac:dyDescent="0.3">
      <c r="A16" s="4" t="s">
        <v>70</v>
      </c>
      <c r="B16" s="4" t="s">
        <v>70</v>
      </c>
      <c r="C16" s="91" t="s">
        <v>72</v>
      </c>
      <c r="D16" s="4" t="s">
        <v>73</v>
      </c>
      <c r="E16" s="12">
        <v>5.38</v>
      </c>
      <c r="F16" s="34">
        <f t="shared" si="0"/>
        <v>1059.8599999999999</v>
      </c>
      <c r="G16" s="28">
        <f t="shared" si="1"/>
        <v>197</v>
      </c>
      <c r="H16" s="28">
        <f t="shared" si="2"/>
        <v>17</v>
      </c>
      <c r="I16" s="26">
        <f t="shared" si="3"/>
        <v>0</v>
      </c>
      <c r="J16" s="24">
        <f t="shared" si="4"/>
        <v>0</v>
      </c>
      <c r="K16" s="31">
        <f t="shared" si="5"/>
        <v>0</v>
      </c>
      <c r="L16" s="9">
        <v>3</v>
      </c>
      <c r="M16" s="9">
        <v>197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E16" s="6">
        <v>16.14</v>
      </c>
      <c r="AF16" s="6">
        <v>1059.8599999999999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93" t="str">
        <f>IF('PFM NON-SELL (Draft Layers)'!AW143="X","X"," ")</f>
        <v xml:space="preserve"> </v>
      </c>
      <c r="AX16" s="76" t="str">
        <f>IF('PFM NON-SELL (Draft Layers)'!AX143="X","X"," ")</f>
        <v xml:space="preserve"> </v>
      </c>
      <c r="AY16" s="76" t="str">
        <f>IF('PFM NON-SELL (Draft Layers)'!AY143="X","X"," ")</f>
        <v>X</v>
      </c>
      <c r="AZ16" s="76" t="str">
        <f>IF('PFM NON-SELL (Draft Layers)'!AZ143="X","X"," ")</f>
        <v xml:space="preserve"> </v>
      </c>
      <c r="BA16" s="76" t="str">
        <f>IF('PFM NON-SELL (Draft Layers)'!BA143="X","X"," ")</f>
        <v xml:space="preserve"> </v>
      </c>
      <c r="BB16" s="76" t="str">
        <f>IF('PFM NON-SELL (Draft Layers)'!BB143="X","X"," ")</f>
        <v xml:space="preserve"> </v>
      </c>
      <c r="BC16" s="76" t="str">
        <f>IF('PFM NON-SELL (Draft Layers)'!BC143="X","X"," ")</f>
        <v xml:space="preserve"> </v>
      </c>
      <c r="BD16" s="76" t="str">
        <f>IF('PFM NON-SELL (Draft Layers)'!BD143="X","X"," ")</f>
        <v xml:space="preserve"> </v>
      </c>
      <c r="BE16" s="76" t="str">
        <f>IF('PFM NON-SELL (Draft Layers)'!BE143="X","X"," ")</f>
        <v xml:space="preserve"> </v>
      </c>
      <c r="BF16" s="76" t="str">
        <f>IF('PFM NON-SELL (Draft Layers)'!BF143="X","X"," ")</f>
        <v xml:space="preserve"> </v>
      </c>
      <c r="BG16" s="76" t="str">
        <f>IF('PFM NON-SELL (Draft Layers)'!BG143="X","X"," ")</f>
        <v xml:space="preserve"> </v>
      </c>
      <c r="BH16" s="76" t="str">
        <f>IF('PFM NON-SELL (Draft Layers)'!BH143="X","X"," ")</f>
        <v xml:space="preserve"> </v>
      </c>
      <c r="BI16" s="76" t="str">
        <f>IF('PFM NON-SELL (Draft Layers)'!BI143="X","X"," ")</f>
        <v xml:space="preserve"> </v>
      </c>
      <c r="BJ16" s="76" t="str">
        <f>IF('PFM NON-SELL (Draft Layers)'!BJ143="X","X"," ")</f>
        <v xml:space="preserve"> </v>
      </c>
      <c r="BK16" s="76" t="str">
        <f>IF('PFM NON-SELL (Draft Layers)'!BK143="X","X"," ")</f>
        <v xml:space="preserve"> </v>
      </c>
      <c r="BL16" s="76" t="str">
        <f>IF('PFM NON-SELL (Draft Layers)'!BM143="X","X"," ")</f>
        <v xml:space="preserve"> </v>
      </c>
      <c r="BM16" s="76" t="str">
        <f>IF('PFM NON-SELL (Draft Layers)'!BN143="X","X"," ")</f>
        <v xml:space="preserve"> </v>
      </c>
      <c r="BN16" s="76" t="str">
        <f>IF('PFM NON-SELL (Draft Layers)'!BO143="X","X"," ")</f>
        <v xml:space="preserve"> </v>
      </c>
      <c r="BO16" s="76" t="str">
        <f>IF('PFM NON-SELL (Draft Layers)'!BP143="X","X"," ")</f>
        <v>X</v>
      </c>
      <c r="BP16" s="76" t="str">
        <f>IF('PFM NON-SELL (Draft Layers)'!BQ143="X","X"," ")</f>
        <v xml:space="preserve"> </v>
      </c>
      <c r="BQ16" s="76" t="str">
        <f>IF('PFM NON-SELL (Draft Layers)'!BR143="X","X"," ")</f>
        <v xml:space="preserve"> </v>
      </c>
      <c r="BR16" s="76" t="str">
        <f>IF('PFM NON-SELL (Draft Layers)'!BS143="X","X"," ")</f>
        <v xml:space="preserve"> </v>
      </c>
      <c r="BS16" s="76" t="str">
        <f>IF('PFM NON-SELL (Draft Layers)'!BT143="X","X"," ")</f>
        <v xml:space="preserve"> </v>
      </c>
      <c r="BT16" s="76" t="str">
        <f>IF('PFM NON-SELL (Draft Layers)'!BU143="X","X"," ")</f>
        <v xml:space="preserve"> </v>
      </c>
      <c r="BU16" s="76" t="str">
        <f>IF('PFM NON-SELL (Draft Layers)'!BV143="X","X"," ")</f>
        <v xml:space="preserve"> </v>
      </c>
      <c r="BV16" s="76" t="str">
        <f>IF('PFM NON-SELL (Draft Layers)'!BW143="X","X"," ")</f>
        <v xml:space="preserve"> </v>
      </c>
      <c r="BW16" s="76" t="str">
        <f>IF('PFM NON-SELL (Draft Layers)'!BY143="X","X"," ")</f>
        <v xml:space="preserve"> </v>
      </c>
      <c r="BX16" s="76" t="str">
        <f>IF('PFM NON-SELL (Draft Layers)'!BZ143="X","X"," ")</f>
        <v xml:space="preserve"> </v>
      </c>
      <c r="BY16" s="76" t="str">
        <f>IF('PFM NON-SELL (Draft Layers)'!CA143="X","X"," ")</f>
        <v xml:space="preserve"> </v>
      </c>
      <c r="BZ16" s="76" t="str">
        <f>IF('PFM NON-SELL (Draft Layers)'!CB143="X","X"," ")</f>
        <v xml:space="preserve"> </v>
      </c>
      <c r="CA16" s="76" t="str">
        <f>IF('PFM NON-SELL (Draft Layers)'!CC143="X","X"," ")</f>
        <v xml:space="preserve"> </v>
      </c>
      <c r="CB16" s="76" t="str">
        <f>IF('PFM NON-SELL (Draft Layers)'!CD143="X","X"," ")</f>
        <v xml:space="preserve"> </v>
      </c>
      <c r="CC16" s="76" t="str">
        <f>IF('PFM NON-SELL (Draft Layers)'!CE143="X","X"," ")</f>
        <v xml:space="preserve"> </v>
      </c>
      <c r="CD16" s="76" t="str">
        <f>IF('PFM NON-SELL (Draft Layers)'!CF143="X","X"," ")</f>
        <v xml:space="preserve"> </v>
      </c>
      <c r="CE16" s="76" t="str">
        <f>IF('PFM NON-SELL (Draft Layers)'!CG143="X","X"," ")</f>
        <v xml:space="preserve"> </v>
      </c>
      <c r="CF16" s="76" t="str">
        <f>IF('PFM NON-SELL (Draft Layers)'!CH143="X","X"," ")</f>
        <v>X</v>
      </c>
      <c r="CG16" s="94" t="str">
        <f>IF('PFM NON-SELL (Draft Layers)'!CI143="X","X"," ")</f>
        <v>X</v>
      </c>
      <c r="CH16" s="76" t="str">
        <f>IF('PFM NON-SELL (Draft Layers)'!CJ143="X","X"," ")</f>
        <v xml:space="preserve"> </v>
      </c>
      <c r="CI16" s="76" t="str">
        <f>IF('PFM NON-SELL (Draft Layers)'!CN143="X","X"," ")</f>
        <v xml:space="preserve"> </v>
      </c>
      <c r="CJ16" s="76" t="str">
        <f>IF('PFM NON-SELL (Draft Layers)'!CO143="X","X"," ")</f>
        <v xml:space="preserve"> </v>
      </c>
      <c r="CK16" s="76" t="str">
        <f>IF('PFM NON-SELL (Draft Layers)'!CP143="X","X"," ")</f>
        <v xml:space="preserve"> </v>
      </c>
      <c r="CL16" s="76" t="str">
        <f>IF('PFM NON-SELL (Draft Layers)'!CQ143="X","X"," ")</f>
        <v xml:space="preserve"> </v>
      </c>
      <c r="CM16" s="76" t="str">
        <f>IF('PFM NON-SELL (Draft Layers)'!CV143="X","X"," ")</f>
        <v xml:space="preserve"> </v>
      </c>
      <c r="CN16" s="76" t="str">
        <f>IF('PFM NON-SELL (Draft Layers)'!CW143="X","X"," ")</f>
        <v xml:space="preserve"> </v>
      </c>
      <c r="CO16" s="76" t="str">
        <f>IF('PFM NON-SELL (Draft Layers)'!CX143="X","X"," ")</f>
        <v xml:space="preserve"> </v>
      </c>
      <c r="CP16" s="76" t="str">
        <f>IF('PFM NON-SELL (Draft Layers)'!CY143="X","X"," ")</f>
        <v xml:space="preserve"> </v>
      </c>
      <c r="CQ16" s="76" t="str">
        <f>IF('PFM NON-SELL (Draft Layers)'!CZ143="X","X"," ")</f>
        <v xml:space="preserve"> </v>
      </c>
      <c r="CR16" s="76" t="str">
        <f>IF('PFM NON-SELL (Draft Layers)'!DA143="X","X"," ")</f>
        <v xml:space="preserve"> </v>
      </c>
      <c r="CS16" s="76" t="str">
        <f>IF('PFM NON-SELL (Draft Layers)'!DB143="X","X"," ")</f>
        <v xml:space="preserve"> </v>
      </c>
      <c r="CT16" s="76" t="str">
        <f>IF('PFM NON-SELL (Draft Layers)'!DC143="X","X"," ")</f>
        <v xml:space="preserve"> </v>
      </c>
      <c r="CU16" s="76" t="str">
        <f>IF('PFM NON-SELL (Draft Layers)'!DD143="X","X"," ")</f>
        <v xml:space="preserve"> </v>
      </c>
      <c r="CV16" s="76" t="str">
        <f>IF('PFM NON-SELL (Draft Layers)'!DE143="X","X"," ")</f>
        <v xml:space="preserve"> </v>
      </c>
      <c r="CW16" s="76" t="str">
        <f>IF('PFM NON-SELL (Draft Layers)'!DF143="X","X"," ")</f>
        <v xml:space="preserve"> </v>
      </c>
      <c r="CX16" s="76" t="str">
        <f>IF('PFM NON-SELL (Draft Layers)'!DG143="X","X"," ")</f>
        <v>X</v>
      </c>
      <c r="CY16" s="96" t="str">
        <f>IF('PFM NON-SELL (Draft Layers)'!DH143="X","X"," ")</f>
        <v>X</v>
      </c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95"/>
      <c r="DO16" s="90">
        <f t="shared" si="6"/>
        <v>6</v>
      </c>
      <c r="DP16" s="21"/>
      <c r="DQ16" s="21"/>
    </row>
    <row r="17" spans="1:121" x14ac:dyDescent="0.3">
      <c r="A17" s="4" t="s">
        <v>70</v>
      </c>
      <c r="B17" s="4" t="s">
        <v>70</v>
      </c>
      <c r="C17" s="91" t="s">
        <v>74</v>
      </c>
      <c r="D17" s="4" t="s">
        <v>75</v>
      </c>
      <c r="E17" s="12">
        <v>721.83</v>
      </c>
      <c r="F17" s="34">
        <f t="shared" si="0"/>
        <v>2165.4900000000002</v>
      </c>
      <c r="G17" s="28">
        <f t="shared" si="1"/>
        <v>3</v>
      </c>
      <c r="H17" s="28">
        <f t="shared" si="2"/>
        <v>1</v>
      </c>
      <c r="I17" s="26">
        <f t="shared" si="3"/>
        <v>0</v>
      </c>
      <c r="J17" s="24">
        <f t="shared" si="4"/>
        <v>0</v>
      </c>
      <c r="K17" s="31">
        <f t="shared" si="5"/>
        <v>0</v>
      </c>
      <c r="L17" s="9">
        <v>0</v>
      </c>
      <c r="M17" s="9">
        <v>3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E17" s="6">
        <v>0</v>
      </c>
      <c r="AF17" s="6">
        <v>2165.4900000000002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93" t="str">
        <f>IF('PFM NON-SELL (Draft Layers)'!AW144="X","X"," ")</f>
        <v xml:space="preserve"> </v>
      </c>
      <c r="AX17" s="76" t="str">
        <f>IF('PFM NON-SELL (Draft Layers)'!AX144="X","X"," ")</f>
        <v xml:space="preserve"> </v>
      </c>
      <c r="AY17" s="76" t="str">
        <f>IF('PFM NON-SELL (Draft Layers)'!AY144="X","X"," ")</f>
        <v>X</v>
      </c>
      <c r="AZ17" s="76" t="str">
        <f>IF('PFM NON-SELL (Draft Layers)'!AZ144="X","X"," ")</f>
        <v xml:space="preserve"> </v>
      </c>
      <c r="BA17" s="76" t="str">
        <f>IF('PFM NON-SELL (Draft Layers)'!BA144="X","X"," ")</f>
        <v xml:space="preserve"> </v>
      </c>
      <c r="BB17" s="76" t="str">
        <f>IF('PFM NON-SELL (Draft Layers)'!BB144="X","X"," ")</f>
        <v xml:space="preserve"> </v>
      </c>
      <c r="BC17" s="76" t="str">
        <f>IF('PFM NON-SELL (Draft Layers)'!BC144="X","X"," ")</f>
        <v xml:space="preserve"> </v>
      </c>
      <c r="BD17" s="76" t="str">
        <f>IF('PFM NON-SELL (Draft Layers)'!BD144="X","X"," ")</f>
        <v xml:space="preserve"> </v>
      </c>
      <c r="BE17" s="76" t="str">
        <f>IF('PFM NON-SELL (Draft Layers)'!BE144="X","X"," ")</f>
        <v xml:space="preserve"> </v>
      </c>
      <c r="BF17" s="76" t="str">
        <f>IF('PFM NON-SELL (Draft Layers)'!BF144="X","X"," ")</f>
        <v xml:space="preserve"> </v>
      </c>
      <c r="BG17" s="76" t="str">
        <f>IF('PFM NON-SELL (Draft Layers)'!BG144="X","X"," ")</f>
        <v xml:space="preserve"> </v>
      </c>
      <c r="BH17" s="76" t="str">
        <f>IF('PFM NON-SELL (Draft Layers)'!BH144="X","X"," ")</f>
        <v xml:space="preserve"> </v>
      </c>
      <c r="BI17" s="76" t="str">
        <f>IF('PFM NON-SELL (Draft Layers)'!BI144="X","X"," ")</f>
        <v xml:space="preserve"> </v>
      </c>
      <c r="BJ17" s="76" t="str">
        <f>IF('PFM NON-SELL (Draft Layers)'!BJ144="X","X"," ")</f>
        <v xml:space="preserve"> </v>
      </c>
      <c r="BK17" s="76" t="str">
        <f>IF('PFM NON-SELL (Draft Layers)'!BK144="X","X"," ")</f>
        <v xml:space="preserve"> </v>
      </c>
      <c r="BL17" s="76" t="str">
        <f>IF('PFM NON-SELL (Draft Layers)'!BM144="X","X"," ")</f>
        <v xml:space="preserve"> </v>
      </c>
      <c r="BM17" s="76" t="str">
        <f>IF('PFM NON-SELL (Draft Layers)'!BN144="X","X"," ")</f>
        <v xml:space="preserve"> </v>
      </c>
      <c r="BN17" s="76" t="str">
        <f>IF('PFM NON-SELL (Draft Layers)'!BO144="X","X"," ")</f>
        <v xml:space="preserve"> </v>
      </c>
      <c r="BO17" s="76" t="str">
        <f>IF('PFM NON-SELL (Draft Layers)'!BP144="X","X"," ")</f>
        <v>X</v>
      </c>
      <c r="BP17" s="76" t="str">
        <f>IF('PFM NON-SELL (Draft Layers)'!BQ144="X","X"," ")</f>
        <v xml:space="preserve"> </v>
      </c>
      <c r="BQ17" s="76" t="str">
        <f>IF('PFM NON-SELL (Draft Layers)'!BR144="X","X"," ")</f>
        <v xml:space="preserve"> </v>
      </c>
      <c r="BR17" s="76" t="str">
        <f>IF('PFM NON-SELL (Draft Layers)'!BS144="X","X"," ")</f>
        <v xml:space="preserve"> </v>
      </c>
      <c r="BS17" s="76" t="str">
        <f>IF('PFM NON-SELL (Draft Layers)'!BT144="X","X"," ")</f>
        <v xml:space="preserve"> </v>
      </c>
      <c r="BT17" s="76" t="str">
        <f>IF('PFM NON-SELL (Draft Layers)'!BU144="X","X"," ")</f>
        <v xml:space="preserve"> </v>
      </c>
      <c r="BU17" s="76" t="str">
        <f>IF('PFM NON-SELL (Draft Layers)'!BV144="X","X"," ")</f>
        <v xml:space="preserve"> </v>
      </c>
      <c r="BV17" s="76" t="str">
        <f>IF('PFM NON-SELL (Draft Layers)'!BW144="X","X"," ")</f>
        <v xml:space="preserve"> </v>
      </c>
      <c r="BW17" s="76" t="str">
        <f>IF('PFM NON-SELL (Draft Layers)'!BY144="X","X"," ")</f>
        <v xml:space="preserve"> </v>
      </c>
      <c r="BX17" s="76" t="str">
        <f>IF('PFM NON-SELL (Draft Layers)'!BZ144="X","X"," ")</f>
        <v>X</v>
      </c>
      <c r="BY17" s="76" t="str">
        <f>IF('PFM NON-SELL (Draft Layers)'!CA144="X","X"," ")</f>
        <v xml:space="preserve"> </v>
      </c>
      <c r="BZ17" s="76" t="str">
        <f>IF('PFM NON-SELL (Draft Layers)'!CB144="X","X"," ")</f>
        <v xml:space="preserve"> </v>
      </c>
      <c r="CA17" s="76" t="str">
        <f>IF('PFM NON-SELL (Draft Layers)'!CC144="X","X"," ")</f>
        <v>X</v>
      </c>
      <c r="CB17" s="76" t="str">
        <f>IF('PFM NON-SELL (Draft Layers)'!CD144="X","X"," ")</f>
        <v>X</v>
      </c>
      <c r="CC17" s="76" t="str">
        <f>IF('PFM NON-SELL (Draft Layers)'!CE144="X","X"," ")</f>
        <v xml:space="preserve"> </v>
      </c>
      <c r="CD17" s="76" t="str">
        <f>IF('PFM NON-SELL (Draft Layers)'!CF144="X","X"," ")</f>
        <v>X</v>
      </c>
      <c r="CE17" s="76" t="str">
        <f>IF('PFM NON-SELL (Draft Layers)'!CG144="X","X"," ")</f>
        <v xml:space="preserve"> </v>
      </c>
      <c r="CF17" s="76" t="str">
        <f>IF('PFM NON-SELL (Draft Layers)'!CH144="X","X"," ")</f>
        <v>X</v>
      </c>
      <c r="CG17" s="94" t="str">
        <f>IF('PFM NON-SELL (Draft Layers)'!CI144="X","X"," ")</f>
        <v>X</v>
      </c>
      <c r="CH17" s="76" t="str">
        <f>IF('PFM NON-SELL (Draft Layers)'!CJ144="X","X"," ")</f>
        <v xml:space="preserve"> </v>
      </c>
      <c r="CI17" s="76" t="str">
        <f>IF('PFM NON-SELL (Draft Layers)'!CN144="X","X"," ")</f>
        <v xml:space="preserve"> </v>
      </c>
      <c r="CJ17" s="76" t="str">
        <f>IF('PFM NON-SELL (Draft Layers)'!CO144="X","X"," ")</f>
        <v xml:space="preserve"> </v>
      </c>
      <c r="CK17" s="76" t="str">
        <f>IF('PFM NON-SELL (Draft Layers)'!CP144="X","X"," ")</f>
        <v xml:space="preserve"> </v>
      </c>
      <c r="CL17" s="76" t="str">
        <f>IF('PFM NON-SELL (Draft Layers)'!CQ144="X","X"," ")</f>
        <v xml:space="preserve"> </v>
      </c>
      <c r="CM17" s="76" t="str">
        <f>IF('PFM NON-SELL (Draft Layers)'!CV144="X","X"," ")</f>
        <v xml:space="preserve"> </v>
      </c>
      <c r="CN17" s="76" t="str">
        <f>IF('PFM NON-SELL (Draft Layers)'!CW144="X","X"," ")</f>
        <v xml:space="preserve"> </v>
      </c>
      <c r="CO17" s="76" t="str">
        <f>IF('PFM NON-SELL (Draft Layers)'!CX144="X","X"," ")</f>
        <v xml:space="preserve"> </v>
      </c>
      <c r="CP17" s="76" t="str">
        <f>IF('PFM NON-SELL (Draft Layers)'!CY144="X","X"," ")</f>
        <v xml:space="preserve"> </v>
      </c>
      <c r="CQ17" s="76" t="str">
        <f>IF('PFM NON-SELL (Draft Layers)'!CZ144="X","X"," ")</f>
        <v xml:space="preserve"> </v>
      </c>
      <c r="CR17" s="76" t="str">
        <f>IF('PFM NON-SELL (Draft Layers)'!DA144="X","X"," ")</f>
        <v xml:space="preserve"> </v>
      </c>
      <c r="CS17" s="76" t="str">
        <f>IF('PFM NON-SELL (Draft Layers)'!DB144="X","X"," ")</f>
        <v xml:space="preserve"> </v>
      </c>
      <c r="CT17" s="76" t="str">
        <f>IF('PFM NON-SELL (Draft Layers)'!DC144="X","X"," ")</f>
        <v xml:space="preserve"> </v>
      </c>
      <c r="CU17" s="76" t="str">
        <f>IF('PFM NON-SELL (Draft Layers)'!DD144="X","X"," ")</f>
        <v xml:space="preserve"> </v>
      </c>
      <c r="CV17" s="76" t="str">
        <f>IF('PFM NON-SELL (Draft Layers)'!DE144="X","X"," ")</f>
        <v xml:space="preserve"> </v>
      </c>
      <c r="CW17" s="76" t="str">
        <f>IF('PFM NON-SELL (Draft Layers)'!DF144="X","X"," ")</f>
        <v xml:space="preserve"> </v>
      </c>
      <c r="CX17" s="76" t="str">
        <f>IF('PFM NON-SELL (Draft Layers)'!DG144="X","X"," ")</f>
        <v>X</v>
      </c>
      <c r="CY17" s="96" t="str">
        <f>IF('PFM NON-SELL (Draft Layers)'!DH144="X","X"," ")</f>
        <v>X</v>
      </c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95"/>
      <c r="DO17" s="90">
        <f t="shared" si="6"/>
        <v>10</v>
      </c>
      <c r="DP17" s="21"/>
      <c r="DQ17" s="21"/>
    </row>
    <row r="18" spans="1:121" x14ac:dyDescent="0.3">
      <c r="A18" s="4" t="s">
        <v>70</v>
      </c>
      <c r="B18" s="4" t="s">
        <v>70</v>
      </c>
      <c r="C18" s="4" t="s">
        <v>82</v>
      </c>
      <c r="D18" s="4" t="s">
        <v>83</v>
      </c>
      <c r="E18" s="12">
        <v>120.2</v>
      </c>
      <c r="F18" s="34">
        <f t="shared" si="0"/>
        <v>360.6</v>
      </c>
      <c r="G18" s="28">
        <f t="shared" si="1"/>
        <v>3</v>
      </c>
      <c r="H18" s="28">
        <f t="shared" si="2"/>
        <v>1</v>
      </c>
      <c r="I18" s="26">
        <f t="shared" si="3"/>
        <v>0</v>
      </c>
      <c r="J18" s="24">
        <f t="shared" si="4"/>
        <v>0</v>
      </c>
      <c r="K18" s="31">
        <f t="shared" si="5"/>
        <v>0</v>
      </c>
      <c r="L18" s="9">
        <v>0</v>
      </c>
      <c r="M18" s="9">
        <v>3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E18" s="6">
        <v>0</v>
      </c>
      <c r="AF18" s="6">
        <v>360.6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93" t="str">
        <f>IF('PFM NON-SELL (Draft Layers)'!AW155="X","X"," ")</f>
        <v xml:space="preserve"> </v>
      </c>
      <c r="AX18" s="76" t="str">
        <f>IF('PFM NON-SELL (Draft Layers)'!AX155="X","X"," ")</f>
        <v xml:space="preserve"> </v>
      </c>
      <c r="AY18" s="76" t="str">
        <f>IF('PFM NON-SELL (Draft Layers)'!AY155="X","X"," ")</f>
        <v>X</v>
      </c>
      <c r="AZ18" s="76" t="str">
        <f>IF('PFM NON-SELL (Draft Layers)'!AZ155="X","X"," ")</f>
        <v xml:space="preserve"> </v>
      </c>
      <c r="BA18" s="76" t="str">
        <f>IF('PFM NON-SELL (Draft Layers)'!BA155="X","X"," ")</f>
        <v xml:space="preserve"> </v>
      </c>
      <c r="BB18" s="76" t="str">
        <f>IF('PFM NON-SELL (Draft Layers)'!BB155="X","X"," ")</f>
        <v xml:space="preserve"> </v>
      </c>
      <c r="BC18" s="76" t="str">
        <f>IF('PFM NON-SELL (Draft Layers)'!BC155="X","X"," ")</f>
        <v xml:space="preserve"> </v>
      </c>
      <c r="BD18" s="76" t="str">
        <f>IF('PFM NON-SELL (Draft Layers)'!BD155="X","X"," ")</f>
        <v xml:space="preserve"> </v>
      </c>
      <c r="BE18" s="76" t="str">
        <f>IF('PFM NON-SELL (Draft Layers)'!BE155="X","X"," ")</f>
        <v xml:space="preserve"> </v>
      </c>
      <c r="BF18" s="76" t="str">
        <f>IF('PFM NON-SELL (Draft Layers)'!BF155="X","X"," ")</f>
        <v xml:space="preserve"> </v>
      </c>
      <c r="BG18" s="76"/>
      <c r="BH18" s="76"/>
      <c r="BI18" s="76" t="str">
        <f>IF('PFM NON-SELL (Draft Layers)'!BG155="X","X"," ")</f>
        <v xml:space="preserve"> </v>
      </c>
      <c r="BJ18" s="76" t="str">
        <f>IF('PFM NON-SELL (Draft Layers)'!BJ155="X","X"," ")</f>
        <v xml:space="preserve"> </v>
      </c>
      <c r="BK18" s="76" t="str">
        <f>IF('PFM NON-SELL (Draft Layers)'!BK155="X","X"," ")</f>
        <v xml:space="preserve"> </v>
      </c>
      <c r="BL18" s="76" t="str">
        <f>IF('PFM NON-SELL (Draft Layers)'!BM155="X","X"," ")</f>
        <v xml:space="preserve"> </v>
      </c>
      <c r="BM18" s="76" t="str">
        <f>IF('PFM NON-SELL (Draft Layers)'!BN155="X","X"," ")</f>
        <v xml:space="preserve"> </v>
      </c>
      <c r="BN18" s="76" t="str">
        <f>IF('PFM NON-SELL (Draft Layers)'!BO155="X","X"," ")</f>
        <v xml:space="preserve"> </v>
      </c>
      <c r="BO18" s="76" t="str">
        <f>IF('PFM NON-SELL (Draft Layers)'!BP155="X","X"," ")</f>
        <v>X</v>
      </c>
      <c r="BP18" s="76" t="str">
        <f>IF('PFM NON-SELL (Draft Layers)'!BQ155="X","X"," ")</f>
        <v xml:space="preserve"> </v>
      </c>
      <c r="BQ18" s="76" t="str">
        <f>IF('PFM NON-SELL (Draft Layers)'!BR155="X","X"," ")</f>
        <v xml:space="preserve"> </v>
      </c>
      <c r="BR18" s="76"/>
      <c r="BS18" s="76"/>
      <c r="BT18" s="76"/>
      <c r="BU18" s="76"/>
      <c r="BV18" s="76" t="str">
        <f>IF('PFM NON-SELL (Draft Layers)'!BW155="X","X"," ")</f>
        <v xml:space="preserve"> </v>
      </c>
      <c r="BW18" s="76"/>
      <c r="BX18" s="76" t="str">
        <f>IF('PFM NON-SELL (Draft Layers)'!BZ155="X","X"," ")</f>
        <v xml:space="preserve"> </v>
      </c>
      <c r="BY18" s="76" t="str">
        <f>IF('PFM NON-SELL (Draft Layers)'!CA155="X","X"," ")</f>
        <v xml:space="preserve"> </v>
      </c>
      <c r="BZ18" s="76" t="str">
        <f>IF('PFM NON-SELL (Draft Layers)'!CB155="X","X"," ")</f>
        <v xml:space="preserve"> </v>
      </c>
      <c r="CA18" s="76" t="str">
        <f>IF('PFM NON-SELL (Draft Layers)'!CC155="X","X"," ")</f>
        <v xml:space="preserve"> </v>
      </c>
      <c r="CB18" s="76" t="str">
        <f>IF('PFM NON-SELL (Draft Layers)'!CD155="X","X"," ")</f>
        <v>X</v>
      </c>
      <c r="CC18" s="76" t="str">
        <f>IF('PFM NON-SELL (Draft Layers)'!CE155="X","X"," ")</f>
        <v xml:space="preserve"> </v>
      </c>
      <c r="CD18" s="76" t="str">
        <f>IF('PFM NON-SELL (Draft Layers)'!CF155="X","X"," ")</f>
        <v>X</v>
      </c>
      <c r="CE18" s="76" t="str">
        <f>IF('PFM NON-SELL (Draft Layers)'!CG155="X","X"," ")</f>
        <v xml:space="preserve"> </v>
      </c>
      <c r="CF18" s="76" t="str">
        <f>IF('PFM NON-SELL (Draft Layers)'!CH155="X","X"," ")</f>
        <v>X</v>
      </c>
      <c r="CG18" s="94" t="str">
        <f>IF('PFM NON-SELL (Draft Layers)'!CI155="X","X"," ")</f>
        <v>X</v>
      </c>
      <c r="CH18" s="76" t="str">
        <f>IF('PFM NON-SELL (Draft Layers)'!CJ155="X","X"," ")</f>
        <v xml:space="preserve"> </v>
      </c>
      <c r="CI18" s="76"/>
      <c r="CJ18" s="76"/>
      <c r="CK18" s="76"/>
      <c r="CL18" s="76"/>
      <c r="CM18" s="76" t="str">
        <f>IF('PFM NON-SELL (Draft Layers)'!CV155="X","X"," ")</f>
        <v xml:space="preserve"> </v>
      </c>
      <c r="CN18" s="76" t="str">
        <f>IF('PFM NON-SELL (Draft Layers)'!CW155="X","X"," ")</f>
        <v xml:space="preserve"> </v>
      </c>
      <c r="CO18" s="76" t="str">
        <f>IF('PFM NON-SELL (Draft Layers)'!CX155="X","X"," ")</f>
        <v xml:space="preserve"> </v>
      </c>
      <c r="CP18" s="76" t="str">
        <f>IF('PFM NON-SELL (Draft Layers)'!CY155="X","X"," ")</f>
        <v xml:space="preserve"> </v>
      </c>
      <c r="CQ18" s="76" t="str">
        <f>IF('PFM NON-SELL (Draft Layers)'!CZ155="X","X"," ")</f>
        <v xml:space="preserve"> </v>
      </c>
      <c r="CR18" s="76" t="str">
        <f>IF('PFM NON-SELL (Draft Layers)'!DA155="X","X"," ")</f>
        <v xml:space="preserve"> </v>
      </c>
      <c r="CS18" s="76" t="str">
        <f>IF('PFM NON-SELL (Draft Layers)'!DB155="X","X"," ")</f>
        <v xml:space="preserve"> </v>
      </c>
      <c r="CT18" s="76" t="str">
        <f>IF('PFM NON-SELL (Draft Layers)'!DC155="X","X"," ")</f>
        <v xml:space="preserve"> </v>
      </c>
      <c r="CU18" s="76" t="str">
        <f>IF('PFM NON-SELL (Draft Layers)'!DD155="X","X"," ")</f>
        <v xml:space="preserve"> </v>
      </c>
      <c r="CV18" s="76" t="str">
        <f>IF('PFM NON-SELL (Draft Layers)'!DE155="X","X"," ")</f>
        <v xml:space="preserve"> </v>
      </c>
      <c r="CW18" s="76" t="str">
        <f>IF('PFM NON-SELL (Draft Layers)'!DF155="X","X"," ")</f>
        <v xml:space="preserve"> </v>
      </c>
      <c r="CX18" s="76" t="str">
        <f>IF('PFM NON-SELL (Draft Layers)'!DG155="X","X"," ")</f>
        <v>X</v>
      </c>
      <c r="CY18" s="96" t="str">
        <f>IF('PFM NON-SELL (Draft Layers)'!DH155="X","X"," ")</f>
        <v>X</v>
      </c>
      <c r="CZ18" s="76" t="str">
        <f>IF('PFM NON-SELL (Draft Layers)'!DI155="X","X"," ")</f>
        <v xml:space="preserve"> </v>
      </c>
      <c r="DA18" s="76" t="str">
        <f>IF('PFM NON-SELL (Draft Layers)'!DJ155="X","X"," ")</f>
        <v xml:space="preserve"> </v>
      </c>
      <c r="DB18" s="76" t="str">
        <f>IF('PFM NON-SELL (Draft Layers)'!DK155="X","X"," ")</f>
        <v xml:space="preserve"> </v>
      </c>
      <c r="DC18" s="76" t="str">
        <f>IF('PFM NON-SELL (Draft Layers)'!DL155="X","X"," ")</f>
        <v xml:space="preserve"> </v>
      </c>
      <c r="DD18" s="76" t="str">
        <f>IF('PFM NON-SELL (Draft Layers)'!DM155="X","X"," ")</f>
        <v xml:space="preserve"> </v>
      </c>
      <c r="DE18" s="76" t="str">
        <f>IF('PFM NON-SELL (Draft Layers)'!DN155="X","X"," ")</f>
        <v xml:space="preserve"> </v>
      </c>
      <c r="DF18" s="76" t="str">
        <f>IF('PFM NON-SELL (Draft Layers)'!DO155="X","X"," ")</f>
        <v xml:space="preserve"> </v>
      </c>
      <c r="DG18" s="76" t="str">
        <f>IF('PFM NON-SELL (Draft Layers)'!DP155="X","X"," ")</f>
        <v xml:space="preserve"> </v>
      </c>
      <c r="DH18" s="76" t="str">
        <f>IF('PFM NON-SELL (Draft Layers)'!DQ155="X","X"," ")</f>
        <v xml:space="preserve"> </v>
      </c>
      <c r="DI18" s="76" t="str">
        <f>IF('PFM NON-SELL (Draft Layers)'!DR155="X","X"," ")</f>
        <v xml:space="preserve"> </v>
      </c>
      <c r="DJ18" s="76" t="str">
        <f>IF('PFM NON-SELL (Draft Layers)'!DS155="X","X"," ")</f>
        <v xml:space="preserve"> </v>
      </c>
      <c r="DK18" s="76" t="str">
        <f>IF('PFM NON-SELL (Draft Layers)'!DT155="X","X"," ")</f>
        <v xml:space="preserve"> </v>
      </c>
      <c r="DL18" s="76" t="str">
        <f>IF('PFM NON-SELL (Draft Layers)'!DU155="X","X"," ")</f>
        <v xml:space="preserve"> </v>
      </c>
      <c r="DM18" s="76"/>
      <c r="DN18" s="95"/>
      <c r="DO18" s="90">
        <f t="shared" si="6"/>
        <v>8</v>
      </c>
      <c r="DP18" s="21"/>
      <c r="DQ18" s="21"/>
    </row>
    <row r="19" spans="1:121" x14ac:dyDescent="0.3">
      <c r="A19" s="4" t="s">
        <v>70</v>
      </c>
      <c r="B19" s="4" t="s">
        <v>70</v>
      </c>
      <c r="C19" s="4" t="s">
        <v>86</v>
      </c>
      <c r="D19" s="4" t="s">
        <v>87</v>
      </c>
      <c r="E19" s="12">
        <v>511.04</v>
      </c>
      <c r="F19" s="34">
        <f t="shared" si="0"/>
        <v>1533.1200000000001</v>
      </c>
      <c r="G19" s="28">
        <f t="shared" si="1"/>
        <v>3</v>
      </c>
      <c r="H19" s="28">
        <f t="shared" si="2"/>
        <v>1</v>
      </c>
      <c r="I19" s="26">
        <f t="shared" si="3"/>
        <v>0</v>
      </c>
      <c r="J19" s="24">
        <f t="shared" si="4"/>
        <v>0</v>
      </c>
      <c r="K19" s="31">
        <f t="shared" si="5"/>
        <v>0</v>
      </c>
      <c r="L19" s="9">
        <v>0</v>
      </c>
      <c r="M19" s="9">
        <v>3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E19" s="6">
        <v>0</v>
      </c>
      <c r="AF19" s="6">
        <v>1533.1200000000001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93" t="str">
        <f>IF('PFM NON-SELL (Draft Layers)'!AW156="X","X"," ")</f>
        <v xml:space="preserve"> </v>
      </c>
      <c r="AX19" s="76" t="str">
        <f>IF('PFM NON-SELL (Draft Layers)'!AX156="X","X"," ")</f>
        <v xml:space="preserve"> </v>
      </c>
      <c r="AY19" s="76" t="str">
        <f>IF('PFM NON-SELL (Draft Layers)'!AY156="X","X"," ")</f>
        <v>X</v>
      </c>
      <c r="AZ19" s="76" t="str">
        <f>IF('PFM NON-SELL (Draft Layers)'!AZ156="X","X"," ")</f>
        <v xml:space="preserve"> </v>
      </c>
      <c r="BA19" s="76" t="str">
        <f>IF('PFM NON-SELL (Draft Layers)'!BA156="X","X"," ")</f>
        <v xml:space="preserve"> </v>
      </c>
      <c r="BB19" s="76" t="str">
        <f>IF('PFM NON-SELL (Draft Layers)'!BB156="X","X"," ")</f>
        <v xml:space="preserve"> </v>
      </c>
      <c r="BC19" s="76" t="str">
        <f>IF('PFM NON-SELL (Draft Layers)'!BC156="X","X"," ")</f>
        <v xml:space="preserve"> </v>
      </c>
      <c r="BD19" s="76" t="str">
        <f>IF('PFM NON-SELL (Draft Layers)'!BD156="X","X"," ")</f>
        <v xml:space="preserve"> </v>
      </c>
      <c r="BE19" s="76" t="str">
        <f>IF('PFM NON-SELL (Draft Layers)'!BE156="X","X"," ")</f>
        <v xml:space="preserve"> </v>
      </c>
      <c r="BF19" s="76" t="str">
        <f>IF('PFM NON-SELL (Draft Layers)'!BF156="X","X"," ")</f>
        <v xml:space="preserve"> </v>
      </c>
      <c r="BG19" s="76"/>
      <c r="BH19" s="76"/>
      <c r="BI19" s="76" t="str">
        <f>IF('PFM NON-SELL (Draft Layers)'!BG156="X","X"," ")</f>
        <v xml:space="preserve"> </v>
      </c>
      <c r="BJ19" s="76" t="str">
        <f>IF('PFM NON-SELL (Draft Layers)'!BJ156="X","X"," ")</f>
        <v xml:space="preserve"> </v>
      </c>
      <c r="BK19" s="76" t="str">
        <f>IF('PFM NON-SELL (Draft Layers)'!BK156="X","X"," ")</f>
        <v xml:space="preserve"> </v>
      </c>
      <c r="BL19" s="76" t="str">
        <f>IF('PFM NON-SELL (Draft Layers)'!BM156="X","X"," ")</f>
        <v xml:space="preserve"> </v>
      </c>
      <c r="BM19" s="76" t="str">
        <f>IF('PFM NON-SELL (Draft Layers)'!BN156="X","X"," ")</f>
        <v xml:space="preserve"> </v>
      </c>
      <c r="BN19" s="76" t="str">
        <f>IF('PFM NON-SELL (Draft Layers)'!BO156="X","X"," ")</f>
        <v>X</v>
      </c>
      <c r="BO19" s="76" t="str">
        <f>IF('PFM NON-SELL (Draft Layers)'!BP156="X","X"," ")</f>
        <v>X</v>
      </c>
      <c r="BP19" s="76" t="str">
        <f>IF('PFM NON-SELL (Draft Layers)'!BQ156="X","X"," ")</f>
        <v xml:space="preserve"> </v>
      </c>
      <c r="BQ19" s="76" t="str">
        <f>IF('PFM NON-SELL (Draft Layers)'!BR156="X","X"," ")</f>
        <v xml:space="preserve"> </v>
      </c>
      <c r="BR19" s="76"/>
      <c r="BS19" s="76"/>
      <c r="BT19" s="76"/>
      <c r="BU19" s="76"/>
      <c r="BV19" s="76" t="str">
        <f>IF('PFM NON-SELL (Draft Layers)'!BW156="X","X"," ")</f>
        <v xml:space="preserve"> </v>
      </c>
      <c r="BW19" s="76"/>
      <c r="BX19" s="76" t="str">
        <f>IF('PFM NON-SELL (Draft Layers)'!BZ156="X","X"," ")</f>
        <v xml:space="preserve"> </v>
      </c>
      <c r="BY19" s="76" t="str">
        <f>IF('PFM NON-SELL (Draft Layers)'!CA156="X","X"," ")</f>
        <v xml:space="preserve"> </v>
      </c>
      <c r="BZ19" s="76" t="str">
        <f>IF('PFM NON-SELL (Draft Layers)'!CB156="X","X"," ")</f>
        <v>X</v>
      </c>
      <c r="CA19" s="76" t="str">
        <f>IF('PFM NON-SELL (Draft Layers)'!CC156="X","X"," ")</f>
        <v xml:space="preserve"> </v>
      </c>
      <c r="CB19" s="76" t="str">
        <f>IF('PFM NON-SELL (Draft Layers)'!CD156="X","X"," ")</f>
        <v>X</v>
      </c>
      <c r="CC19" s="76" t="str">
        <f>IF('PFM NON-SELL (Draft Layers)'!CE156="X","X"," ")</f>
        <v xml:space="preserve"> </v>
      </c>
      <c r="CD19" s="76" t="str">
        <f>IF('PFM NON-SELL (Draft Layers)'!CF156="X","X"," ")</f>
        <v>X</v>
      </c>
      <c r="CE19" s="76" t="str">
        <f>IF('PFM NON-SELL (Draft Layers)'!CG156="X","X"," ")</f>
        <v xml:space="preserve"> </v>
      </c>
      <c r="CF19" s="76" t="str">
        <f>IF('PFM NON-SELL (Draft Layers)'!CH156="X","X"," ")</f>
        <v>X</v>
      </c>
      <c r="CG19" s="76" t="str">
        <f>IF('PFM NON-SELL (Draft Layers)'!CI156="X","X"," ")</f>
        <v>X</v>
      </c>
      <c r="CH19" s="76" t="str">
        <f>IF('PFM NON-SELL (Draft Layers)'!CJ156="X","X"," ")</f>
        <v xml:space="preserve"> </v>
      </c>
      <c r="CI19" s="76"/>
      <c r="CJ19" s="76"/>
      <c r="CK19" s="76"/>
      <c r="CL19" s="76"/>
      <c r="CM19" s="76" t="str">
        <f>IF('PFM NON-SELL (Draft Layers)'!CV156="X","X"," ")</f>
        <v xml:space="preserve"> </v>
      </c>
      <c r="CN19" s="76" t="str">
        <f>IF('PFM NON-SELL (Draft Layers)'!CW156="X","X"," ")</f>
        <v xml:space="preserve"> </v>
      </c>
      <c r="CO19" s="76" t="str">
        <f>IF('PFM NON-SELL (Draft Layers)'!CX156="X","X"," ")</f>
        <v xml:space="preserve"> </v>
      </c>
      <c r="CP19" s="76" t="str">
        <f>IF('PFM NON-SELL (Draft Layers)'!CY156="X","X"," ")</f>
        <v xml:space="preserve"> </v>
      </c>
      <c r="CQ19" s="76" t="str">
        <f>IF('PFM NON-SELL (Draft Layers)'!CZ156="X","X"," ")</f>
        <v xml:space="preserve"> </v>
      </c>
      <c r="CR19" s="76" t="str">
        <f>IF('PFM NON-SELL (Draft Layers)'!DA156="X","X"," ")</f>
        <v xml:space="preserve"> </v>
      </c>
      <c r="CS19" s="76" t="str">
        <f>IF('PFM NON-SELL (Draft Layers)'!DB156="X","X"," ")</f>
        <v xml:space="preserve"> </v>
      </c>
      <c r="CT19" s="76" t="str">
        <f>IF('PFM NON-SELL (Draft Layers)'!DC156="X","X"," ")</f>
        <v xml:space="preserve"> </v>
      </c>
      <c r="CU19" s="76" t="str">
        <f>IF('PFM NON-SELL (Draft Layers)'!DD156="X","X"," ")</f>
        <v xml:space="preserve"> </v>
      </c>
      <c r="CV19" s="76" t="str">
        <f>IF('PFM NON-SELL (Draft Layers)'!DE156="X","X"," ")</f>
        <v xml:space="preserve"> </v>
      </c>
      <c r="CW19" s="76" t="str">
        <f>IF('PFM NON-SELL (Draft Layers)'!DF156="X","X"," ")</f>
        <v xml:space="preserve"> </v>
      </c>
      <c r="CX19" s="76" t="str">
        <f>IF('PFM NON-SELL (Draft Layers)'!DG156="X","X"," ")</f>
        <v>X</v>
      </c>
      <c r="CY19" s="96" t="str">
        <f>IF('PFM NON-SELL (Draft Layers)'!DH156="X","X"," ")</f>
        <v>X</v>
      </c>
      <c r="CZ19" s="76" t="str">
        <f>IF('PFM NON-SELL (Draft Layers)'!DI156="X","X"," ")</f>
        <v xml:space="preserve"> </v>
      </c>
      <c r="DA19" s="76" t="str">
        <f>IF('PFM NON-SELL (Draft Layers)'!DJ156="X","X"," ")</f>
        <v xml:space="preserve"> </v>
      </c>
      <c r="DB19" s="76" t="str">
        <f>IF('PFM NON-SELL (Draft Layers)'!DK156="X","X"," ")</f>
        <v xml:space="preserve"> </v>
      </c>
      <c r="DC19" s="76" t="str">
        <f>IF('PFM NON-SELL (Draft Layers)'!DL156="X","X"," ")</f>
        <v xml:space="preserve"> </v>
      </c>
      <c r="DD19" s="76" t="str">
        <f>IF('PFM NON-SELL (Draft Layers)'!DM156="X","X"," ")</f>
        <v xml:space="preserve"> </v>
      </c>
      <c r="DE19" s="76" t="str">
        <f>IF('PFM NON-SELL (Draft Layers)'!DN156="X","X"," ")</f>
        <v xml:space="preserve"> </v>
      </c>
      <c r="DF19" s="76" t="str">
        <f>IF('PFM NON-SELL (Draft Layers)'!DO156="X","X"," ")</f>
        <v xml:space="preserve"> </v>
      </c>
      <c r="DG19" s="76" t="str">
        <f>IF('PFM NON-SELL (Draft Layers)'!DP156="X","X"," ")</f>
        <v xml:space="preserve"> </v>
      </c>
      <c r="DH19" s="76" t="str">
        <f>IF('PFM NON-SELL (Draft Layers)'!DQ156="X","X"," ")</f>
        <v xml:space="preserve"> </v>
      </c>
      <c r="DI19" s="76" t="str">
        <f>IF('PFM NON-SELL (Draft Layers)'!DR156="X","X"," ")</f>
        <v xml:space="preserve"> </v>
      </c>
      <c r="DJ19" s="76" t="str">
        <f>IF('PFM NON-SELL (Draft Layers)'!DS156="X","X"," ")</f>
        <v xml:space="preserve"> </v>
      </c>
      <c r="DK19" s="76" t="str">
        <f>IF('PFM NON-SELL (Draft Layers)'!DT156="X","X"," ")</f>
        <v xml:space="preserve"> </v>
      </c>
      <c r="DL19" s="76" t="str">
        <f>IF('PFM NON-SELL (Draft Layers)'!DU156="X","X"," ")</f>
        <v xml:space="preserve"> </v>
      </c>
      <c r="DM19" s="76"/>
      <c r="DN19" s="95"/>
      <c r="DO19" s="90">
        <f t="shared" si="6"/>
        <v>10</v>
      </c>
      <c r="DP19" s="21"/>
      <c r="DQ19" s="21"/>
    </row>
    <row r="20" spans="1:121" x14ac:dyDescent="0.3">
      <c r="A20" s="4" t="s">
        <v>70</v>
      </c>
      <c r="B20" s="4" t="s">
        <v>70</v>
      </c>
      <c r="C20" s="4" t="s">
        <v>92</v>
      </c>
      <c r="D20" s="4" t="s">
        <v>93</v>
      </c>
      <c r="E20" s="12">
        <v>762.75</v>
      </c>
      <c r="F20" s="34">
        <f t="shared" si="0"/>
        <v>2288.25</v>
      </c>
      <c r="G20" s="28">
        <f t="shared" si="1"/>
        <v>3</v>
      </c>
      <c r="H20" s="28">
        <f t="shared" si="2"/>
        <v>1</v>
      </c>
      <c r="I20" s="26">
        <f t="shared" si="3"/>
        <v>0</v>
      </c>
      <c r="J20" s="24">
        <f t="shared" si="4"/>
        <v>0</v>
      </c>
      <c r="K20" s="31">
        <f t="shared" si="5"/>
        <v>0</v>
      </c>
      <c r="L20" s="9">
        <v>0</v>
      </c>
      <c r="M20" s="9">
        <v>3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E20" s="6">
        <v>0</v>
      </c>
      <c r="AF20" s="6">
        <v>2288.25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93" t="str">
        <f>IF('PFM NON-SELL (Draft Layers)'!AW157="X","X"," ")</f>
        <v xml:space="preserve"> </v>
      </c>
      <c r="AX20" s="76" t="str">
        <f>IF('PFM NON-SELL (Draft Layers)'!AX157="X","X"," ")</f>
        <v xml:space="preserve"> </v>
      </c>
      <c r="AY20" s="76" t="str">
        <f>IF('PFM NON-SELL (Draft Layers)'!AY157="X","X"," ")</f>
        <v>X</v>
      </c>
      <c r="AZ20" s="76" t="str">
        <f>IF('PFM NON-SELL (Draft Layers)'!AZ157="X","X"," ")</f>
        <v xml:space="preserve"> </v>
      </c>
      <c r="BA20" s="76" t="str">
        <f>IF('PFM NON-SELL (Draft Layers)'!BA157="X","X"," ")</f>
        <v xml:space="preserve"> </v>
      </c>
      <c r="BB20" s="76" t="str">
        <f>IF('PFM NON-SELL (Draft Layers)'!BB157="X","X"," ")</f>
        <v xml:space="preserve"> </v>
      </c>
      <c r="BC20" s="76" t="str">
        <f>IF('PFM NON-SELL (Draft Layers)'!BC157="X","X"," ")</f>
        <v xml:space="preserve"> </v>
      </c>
      <c r="BD20" s="76" t="str">
        <f>IF('PFM NON-SELL (Draft Layers)'!BD157="X","X"," ")</f>
        <v xml:space="preserve"> </v>
      </c>
      <c r="BE20" s="76" t="str">
        <f>IF('PFM NON-SELL (Draft Layers)'!BE157="X","X"," ")</f>
        <v xml:space="preserve"> </v>
      </c>
      <c r="BF20" s="76" t="str">
        <f>IF('PFM NON-SELL (Draft Layers)'!BF157="X","X"," ")</f>
        <v xml:space="preserve"> </v>
      </c>
      <c r="BG20" s="76"/>
      <c r="BH20" s="76"/>
      <c r="BI20" s="76" t="str">
        <f>IF('PFM NON-SELL (Draft Layers)'!BG157="X","X"," ")</f>
        <v xml:space="preserve"> </v>
      </c>
      <c r="BJ20" s="76" t="str">
        <f>IF('PFM NON-SELL (Draft Layers)'!BJ157="X","X"," ")</f>
        <v xml:space="preserve"> </v>
      </c>
      <c r="BK20" s="76" t="str">
        <f>IF('PFM NON-SELL (Draft Layers)'!BK157="X","X"," ")</f>
        <v xml:space="preserve"> </v>
      </c>
      <c r="BL20" s="76" t="str">
        <f>IF('PFM NON-SELL (Draft Layers)'!BM157="X","X"," ")</f>
        <v xml:space="preserve"> </v>
      </c>
      <c r="BM20" s="76" t="str">
        <f>IF('PFM NON-SELL (Draft Layers)'!BN157="X","X"," ")</f>
        <v xml:space="preserve"> </v>
      </c>
      <c r="BN20" s="76" t="str">
        <f>IF('PFM NON-SELL (Draft Layers)'!BO157="X","X"," ")</f>
        <v>X</v>
      </c>
      <c r="BO20" s="76" t="str">
        <f>IF('PFM NON-SELL (Draft Layers)'!BP157="X","X"," ")</f>
        <v>X</v>
      </c>
      <c r="BP20" s="76" t="str">
        <f>IF('PFM NON-SELL (Draft Layers)'!BQ157="X","X"," ")</f>
        <v xml:space="preserve"> </v>
      </c>
      <c r="BQ20" s="76" t="str">
        <f>IF('PFM NON-SELL (Draft Layers)'!BR157="X","X"," ")</f>
        <v xml:space="preserve"> </v>
      </c>
      <c r="BR20" s="76"/>
      <c r="BS20" s="76"/>
      <c r="BT20" s="76"/>
      <c r="BU20" s="76"/>
      <c r="BV20" s="76" t="str">
        <f>IF('PFM NON-SELL (Draft Layers)'!BW157="X","X"," ")</f>
        <v xml:space="preserve"> </v>
      </c>
      <c r="BW20" s="76"/>
      <c r="BX20" s="76" t="str">
        <f>IF('PFM NON-SELL (Draft Layers)'!BZ157="X","X"," ")</f>
        <v xml:space="preserve"> </v>
      </c>
      <c r="BY20" s="76" t="str">
        <f>IF('PFM NON-SELL (Draft Layers)'!CA157="X","X"," ")</f>
        <v xml:space="preserve"> </v>
      </c>
      <c r="BZ20" s="76" t="str">
        <f>IF('PFM NON-SELL (Draft Layers)'!CB157="X","X"," ")</f>
        <v xml:space="preserve"> </v>
      </c>
      <c r="CA20" s="76" t="str">
        <f>IF('PFM NON-SELL (Draft Layers)'!CC157="X","X"," ")</f>
        <v xml:space="preserve"> </v>
      </c>
      <c r="CB20" s="76" t="str">
        <f>IF('PFM NON-SELL (Draft Layers)'!CD157="X","X"," ")</f>
        <v>X</v>
      </c>
      <c r="CC20" s="76" t="str">
        <f>IF('PFM NON-SELL (Draft Layers)'!CE157="X","X"," ")</f>
        <v xml:space="preserve"> </v>
      </c>
      <c r="CD20" s="76" t="str">
        <f>IF('PFM NON-SELL (Draft Layers)'!CF157="X","X"," ")</f>
        <v xml:space="preserve"> </v>
      </c>
      <c r="CE20" s="76" t="str">
        <f>IF('PFM NON-SELL (Draft Layers)'!CG157="X","X"," ")</f>
        <v xml:space="preserve"> </v>
      </c>
      <c r="CF20" s="76" t="str">
        <f>IF('PFM NON-SELL (Draft Layers)'!CH157="X","X"," ")</f>
        <v>X</v>
      </c>
      <c r="CG20" s="76" t="str">
        <f>IF('PFM NON-SELL (Draft Layers)'!CI157="X","X"," ")</f>
        <v>X</v>
      </c>
      <c r="CH20" s="76" t="str">
        <f>IF('PFM NON-SELL (Draft Layers)'!CJ157="X","X"," ")</f>
        <v xml:space="preserve"> </v>
      </c>
      <c r="CI20" s="76"/>
      <c r="CJ20" s="76"/>
      <c r="CK20" s="76"/>
      <c r="CL20" s="76"/>
      <c r="CM20" s="76" t="str">
        <f>IF('PFM NON-SELL (Draft Layers)'!CV157="X","X"," ")</f>
        <v xml:space="preserve"> </v>
      </c>
      <c r="CN20" s="76" t="str">
        <f>IF('PFM NON-SELL (Draft Layers)'!CW157="X","X"," ")</f>
        <v>X</v>
      </c>
      <c r="CO20" s="76" t="str">
        <f>IF('PFM NON-SELL (Draft Layers)'!CX157="X","X"," ")</f>
        <v xml:space="preserve"> </v>
      </c>
      <c r="CP20" s="76" t="str">
        <f>IF('PFM NON-SELL (Draft Layers)'!CY157="X","X"," ")</f>
        <v xml:space="preserve"> </v>
      </c>
      <c r="CQ20" s="76" t="str">
        <f>IF('PFM NON-SELL (Draft Layers)'!CZ157="X","X"," ")</f>
        <v xml:space="preserve"> </v>
      </c>
      <c r="CR20" s="76" t="str">
        <f>IF('PFM NON-SELL (Draft Layers)'!DA157="X","X"," ")</f>
        <v xml:space="preserve"> </v>
      </c>
      <c r="CS20" s="76" t="str">
        <f>IF('PFM NON-SELL (Draft Layers)'!DB157="X","X"," ")</f>
        <v xml:space="preserve"> </v>
      </c>
      <c r="CT20" s="76" t="str">
        <f>IF('PFM NON-SELL (Draft Layers)'!DC157="X","X"," ")</f>
        <v xml:space="preserve"> </v>
      </c>
      <c r="CU20" s="76" t="str">
        <f>IF('PFM NON-SELL (Draft Layers)'!DD157="X","X"," ")</f>
        <v xml:space="preserve"> </v>
      </c>
      <c r="CV20" s="76" t="str">
        <f>IF('PFM NON-SELL (Draft Layers)'!DE157="X","X"," ")</f>
        <v xml:space="preserve"> </v>
      </c>
      <c r="CW20" s="76" t="str">
        <f>IF('PFM NON-SELL (Draft Layers)'!DF157="X","X"," ")</f>
        <v xml:space="preserve"> </v>
      </c>
      <c r="CX20" s="76" t="str">
        <f>IF('PFM NON-SELL (Draft Layers)'!DG157="X","X"," ")</f>
        <v>X</v>
      </c>
      <c r="CY20" s="96" t="str">
        <f>IF('PFM NON-SELL (Draft Layers)'!DH157="X","X"," ")</f>
        <v>X</v>
      </c>
      <c r="CZ20" s="76" t="str">
        <f>IF('PFM NON-SELL (Draft Layers)'!DI157="X","X"," ")</f>
        <v xml:space="preserve"> </v>
      </c>
      <c r="DA20" s="76" t="str">
        <f>IF('PFM NON-SELL (Draft Layers)'!DJ157="X","X"," ")</f>
        <v xml:space="preserve"> </v>
      </c>
      <c r="DB20" s="76" t="str">
        <f>IF('PFM NON-SELL (Draft Layers)'!DK157="X","X"," ")</f>
        <v xml:space="preserve"> </v>
      </c>
      <c r="DC20" s="76" t="str">
        <f>IF('PFM NON-SELL (Draft Layers)'!DL157="X","X"," ")</f>
        <v xml:space="preserve"> </v>
      </c>
      <c r="DD20" s="76" t="str">
        <f>IF('PFM NON-SELL (Draft Layers)'!DM157="X","X"," ")</f>
        <v xml:space="preserve"> </v>
      </c>
      <c r="DE20" s="76" t="str">
        <f>IF('PFM NON-SELL (Draft Layers)'!DN157="X","X"," ")</f>
        <v xml:space="preserve"> </v>
      </c>
      <c r="DF20" s="76" t="str">
        <f>IF('PFM NON-SELL (Draft Layers)'!DO157="X","X"," ")</f>
        <v xml:space="preserve"> </v>
      </c>
      <c r="DG20" s="76" t="str">
        <f>IF('PFM NON-SELL (Draft Layers)'!DP157="X","X"," ")</f>
        <v xml:space="preserve"> </v>
      </c>
      <c r="DH20" s="76" t="str">
        <f>IF('PFM NON-SELL (Draft Layers)'!DQ157="X","X"," ")</f>
        <v xml:space="preserve"> </v>
      </c>
      <c r="DI20" s="76" t="str">
        <f>IF('PFM NON-SELL (Draft Layers)'!DR157="X","X"," ")</f>
        <v xml:space="preserve"> </v>
      </c>
      <c r="DJ20" s="76" t="str">
        <f>IF('PFM NON-SELL (Draft Layers)'!DS157="X","X"," ")</f>
        <v xml:space="preserve"> </v>
      </c>
      <c r="DK20" s="76" t="str">
        <f>IF('PFM NON-SELL (Draft Layers)'!DT157="X","X"," ")</f>
        <v xml:space="preserve"> </v>
      </c>
      <c r="DL20" s="76" t="str">
        <f>IF('PFM NON-SELL (Draft Layers)'!DU157="X","X"," ")</f>
        <v xml:space="preserve"> </v>
      </c>
      <c r="DM20" s="76"/>
      <c r="DN20" s="95"/>
      <c r="DO20" s="90">
        <f t="shared" si="6"/>
        <v>9</v>
      </c>
      <c r="DP20" s="21"/>
      <c r="DQ20" s="21"/>
    </row>
    <row r="21" spans="1:121" x14ac:dyDescent="0.3">
      <c r="A21" s="4" t="s">
        <v>70</v>
      </c>
      <c r="B21" s="4" t="s">
        <v>70</v>
      </c>
      <c r="C21" s="4" t="s">
        <v>98</v>
      </c>
      <c r="D21" s="4" t="s">
        <v>99</v>
      </c>
      <c r="E21" s="12">
        <v>10</v>
      </c>
      <c r="F21" s="34">
        <f t="shared" si="0"/>
        <v>1940</v>
      </c>
      <c r="G21" s="28">
        <f t="shared" si="1"/>
        <v>194</v>
      </c>
      <c r="H21" s="28">
        <f t="shared" si="2"/>
        <v>17</v>
      </c>
      <c r="I21" s="26">
        <f t="shared" si="3"/>
        <v>0</v>
      </c>
      <c r="J21" s="24">
        <f t="shared" si="4"/>
        <v>0</v>
      </c>
      <c r="K21" s="31">
        <f t="shared" si="5"/>
        <v>0</v>
      </c>
      <c r="L21" s="9">
        <v>3</v>
      </c>
      <c r="M21" s="9">
        <v>97</v>
      </c>
      <c r="N21" s="9">
        <v>0</v>
      </c>
      <c r="O21" s="9">
        <v>97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E21" s="6">
        <v>30</v>
      </c>
      <c r="AF21" s="6">
        <v>970</v>
      </c>
      <c r="AG21" s="6">
        <v>0</v>
      </c>
      <c r="AH21" s="6">
        <v>970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93" t="str">
        <f>IF('PFM NON-SELL (Draft Layers)'!AW160="X","X"," ")</f>
        <v xml:space="preserve"> </v>
      </c>
      <c r="AX21" s="76" t="str">
        <f>IF('PFM NON-SELL (Draft Layers)'!AX160="X","X"," ")</f>
        <v xml:space="preserve"> </v>
      </c>
      <c r="AY21" s="76" t="str">
        <f>IF('PFM NON-SELL (Draft Layers)'!AY160="X","X"," ")</f>
        <v>X</v>
      </c>
      <c r="AZ21" s="76" t="str">
        <f>IF('PFM NON-SELL (Draft Layers)'!AZ160="X","X"," ")</f>
        <v xml:space="preserve"> </v>
      </c>
      <c r="BA21" s="76" t="str">
        <f>IF('PFM NON-SELL (Draft Layers)'!BA160="X","X"," ")</f>
        <v xml:space="preserve"> </v>
      </c>
      <c r="BB21" s="76" t="str">
        <f>IF('PFM NON-SELL (Draft Layers)'!BB160="X","X"," ")</f>
        <v xml:space="preserve"> </v>
      </c>
      <c r="BC21" s="76" t="str">
        <f>IF('PFM NON-SELL (Draft Layers)'!BC160="X","X"," ")</f>
        <v xml:space="preserve"> </v>
      </c>
      <c r="BD21" s="76" t="str">
        <f>IF('PFM NON-SELL (Draft Layers)'!BD160="X","X"," ")</f>
        <v xml:space="preserve"> </v>
      </c>
      <c r="BE21" s="76" t="str">
        <f>IF('PFM NON-SELL (Draft Layers)'!BE160="X","X"," ")</f>
        <v xml:space="preserve"> </v>
      </c>
      <c r="BF21" s="76" t="str">
        <f>IF('PFM NON-SELL (Draft Layers)'!BF160="X","X"," ")</f>
        <v xml:space="preserve"> </v>
      </c>
      <c r="BG21" s="76"/>
      <c r="BH21" s="76"/>
      <c r="BI21" s="76" t="str">
        <f>IF('PFM NON-SELL (Draft Layers)'!BG160="X","X"," ")</f>
        <v xml:space="preserve"> </v>
      </c>
      <c r="BJ21" s="76" t="str">
        <f>IF('PFM NON-SELL (Draft Layers)'!BJ160="X","X"," ")</f>
        <v xml:space="preserve"> </v>
      </c>
      <c r="BK21" s="76" t="str">
        <f>IF('PFM NON-SELL (Draft Layers)'!BK160="X","X"," ")</f>
        <v xml:space="preserve"> </v>
      </c>
      <c r="BL21" s="76" t="str">
        <f>IF('PFM NON-SELL (Draft Layers)'!BM160="X","X"," ")</f>
        <v xml:space="preserve"> </v>
      </c>
      <c r="BM21" s="76" t="str">
        <f>IF('PFM NON-SELL (Draft Layers)'!BN160="X","X"," ")</f>
        <v xml:space="preserve"> </v>
      </c>
      <c r="BN21" s="76" t="str">
        <f>IF('PFM NON-SELL (Draft Layers)'!BO160="X","X"," ")</f>
        <v>X</v>
      </c>
      <c r="BO21" s="76" t="str">
        <f>IF('PFM NON-SELL (Draft Layers)'!BP160="X","X"," ")</f>
        <v>X</v>
      </c>
      <c r="BP21" s="76" t="str">
        <f>IF('PFM NON-SELL (Draft Layers)'!BQ160="X","X"," ")</f>
        <v xml:space="preserve"> </v>
      </c>
      <c r="BQ21" s="76" t="str">
        <f>IF('PFM NON-SELL (Draft Layers)'!BR160="X","X"," ")</f>
        <v xml:space="preserve"> </v>
      </c>
      <c r="BR21" s="76"/>
      <c r="BS21" s="76"/>
      <c r="BT21" s="76"/>
      <c r="BU21" s="76"/>
      <c r="BV21" s="76" t="str">
        <f>IF('PFM NON-SELL (Draft Layers)'!BW160="X","X"," ")</f>
        <v xml:space="preserve"> </v>
      </c>
      <c r="BW21" s="76"/>
      <c r="BX21" s="76" t="str">
        <f>IF('PFM NON-SELL (Draft Layers)'!BZ160="X","X"," ")</f>
        <v xml:space="preserve"> </v>
      </c>
      <c r="BY21" s="76" t="str">
        <f>IF('PFM NON-SELL (Draft Layers)'!CA160="X","X"," ")</f>
        <v xml:space="preserve"> </v>
      </c>
      <c r="BZ21" s="76" t="str">
        <f>IF('PFM NON-SELL (Draft Layers)'!CB160="X","X"," ")</f>
        <v xml:space="preserve"> </v>
      </c>
      <c r="CA21" s="76" t="str">
        <f>IF('PFM NON-SELL (Draft Layers)'!CC160="X","X"," ")</f>
        <v xml:space="preserve"> </v>
      </c>
      <c r="CB21" s="76" t="str">
        <f>IF('PFM NON-SELL (Draft Layers)'!CD160="X","X"," ")</f>
        <v xml:space="preserve"> </v>
      </c>
      <c r="CC21" s="76" t="str">
        <f>IF('PFM NON-SELL (Draft Layers)'!CE160="X","X"," ")</f>
        <v xml:space="preserve"> </v>
      </c>
      <c r="CD21" s="76" t="str">
        <f>IF('PFM NON-SELL (Draft Layers)'!CF160="X","X"," ")</f>
        <v xml:space="preserve"> </v>
      </c>
      <c r="CE21" s="76" t="str">
        <f>IF('PFM NON-SELL (Draft Layers)'!CG160="X","X"," ")</f>
        <v xml:space="preserve"> </v>
      </c>
      <c r="CF21" s="76" t="str">
        <f>IF('PFM NON-SELL (Draft Layers)'!CH160="X","X"," ")</f>
        <v>X</v>
      </c>
      <c r="CG21" s="76" t="str">
        <f>IF('PFM NON-SELL (Draft Layers)'!CI160="X","X"," ")</f>
        <v>X</v>
      </c>
      <c r="CH21" s="76" t="str">
        <f>IF('PFM NON-SELL (Draft Layers)'!CJ160="X","X"," ")</f>
        <v xml:space="preserve"> </v>
      </c>
      <c r="CI21" s="76"/>
      <c r="CJ21" s="76"/>
      <c r="CK21" s="76"/>
      <c r="CL21" s="76"/>
      <c r="CM21" s="76" t="str">
        <f>IF('PFM NON-SELL (Draft Layers)'!CV160="X","X"," ")</f>
        <v xml:space="preserve"> </v>
      </c>
      <c r="CN21" s="76" t="str">
        <f>IF('PFM NON-SELL (Draft Layers)'!CW160="X","X"," ")</f>
        <v xml:space="preserve"> </v>
      </c>
      <c r="CO21" s="76" t="str">
        <f>IF('PFM NON-SELL (Draft Layers)'!CX160="X","X"," ")</f>
        <v xml:space="preserve"> </v>
      </c>
      <c r="CP21" s="76" t="str">
        <f>IF('PFM NON-SELL (Draft Layers)'!CY160="X","X"," ")</f>
        <v xml:space="preserve"> </v>
      </c>
      <c r="CQ21" s="76" t="str">
        <f>IF('PFM NON-SELL (Draft Layers)'!CZ160="X","X"," ")</f>
        <v xml:space="preserve"> </v>
      </c>
      <c r="CR21" s="76" t="str">
        <f>IF('PFM NON-SELL (Draft Layers)'!DA160="X","X"," ")</f>
        <v xml:space="preserve"> </v>
      </c>
      <c r="CS21" s="76" t="str">
        <f>IF('PFM NON-SELL (Draft Layers)'!DB160="X","X"," ")</f>
        <v xml:space="preserve"> </v>
      </c>
      <c r="CT21" s="76" t="str">
        <f>IF('PFM NON-SELL (Draft Layers)'!DC160="X","X"," ")</f>
        <v xml:space="preserve"> </v>
      </c>
      <c r="CU21" s="76" t="str">
        <f>IF('PFM NON-SELL (Draft Layers)'!DD160="X","X"," ")</f>
        <v xml:space="preserve"> </v>
      </c>
      <c r="CV21" s="76" t="str">
        <f>IF('PFM NON-SELL (Draft Layers)'!DE160="X","X"," ")</f>
        <v xml:space="preserve"> </v>
      </c>
      <c r="CW21" s="76" t="str">
        <f>IF('PFM NON-SELL (Draft Layers)'!DF160="X","X"," ")</f>
        <v xml:space="preserve"> </v>
      </c>
      <c r="CX21" s="76" t="str">
        <f>IF('PFM NON-SELL (Draft Layers)'!DG160="X","X"," ")</f>
        <v>X</v>
      </c>
      <c r="CY21" s="96" t="str">
        <f>IF('PFM NON-SELL (Draft Layers)'!DH160="X","X"," ")</f>
        <v>X</v>
      </c>
      <c r="CZ21" s="76" t="str">
        <f>IF('PFM NON-SELL (Draft Layers)'!DI160="X","X"," ")</f>
        <v xml:space="preserve"> </v>
      </c>
      <c r="DA21" s="76" t="str">
        <f>IF('PFM NON-SELL (Draft Layers)'!DJ160="X","X"," ")</f>
        <v xml:space="preserve"> </v>
      </c>
      <c r="DB21" s="76" t="str">
        <f>IF('PFM NON-SELL (Draft Layers)'!DK160="X","X"," ")</f>
        <v xml:space="preserve"> </v>
      </c>
      <c r="DC21" s="76" t="str">
        <f>IF('PFM NON-SELL (Draft Layers)'!DL160="X","X"," ")</f>
        <v xml:space="preserve"> </v>
      </c>
      <c r="DD21" s="76" t="str">
        <f>IF('PFM NON-SELL (Draft Layers)'!DM160="X","X"," ")</f>
        <v xml:space="preserve"> </v>
      </c>
      <c r="DE21" s="76" t="str">
        <f>IF('PFM NON-SELL (Draft Layers)'!DN160="X","X"," ")</f>
        <v xml:space="preserve"> </v>
      </c>
      <c r="DF21" s="76" t="str">
        <f>IF('PFM NON-SELL (Draft Layers)'!DO160="X","X"," ")</f>
        <v xml:space="preserve"> </v>
      </c>
      <c r="DG21" s="76" t="str">
        <f>IF('PFM NON-SELL (Draft Layers)'!DP160="X","X"," ")</f>
        <v xml:space="preserve"> </v>
      </c>
      <c r="DH21" s="76" t="str">
        <f>IF('PFM NON-SELL (Draft Layers)'!DQ160="X","X"," ")</f>
        <v xml:space="preserve"> </v>
      </c>
      <c r="DI21" s="76" t="str">
        <f>IF('PFM NON-SELL (Draft Layers)'!DR160="X","X"," ")</f>
        <v xml:space="preserve"> </v>
      </c>
      <c r="DJ21" s="76" t="str">
        <f>IF('PFM NON-SELL (Draft Layers)'!DS160="X","X"," ")</f>
        <v xml:space="preserve"> </v>
      </c>
      <c r="DK21" s="76" t="str">
        <f>IF('PFM NON-SELL (Draft Layers)'!DT160="X","X"," ")</f>
        <v xml:space="preserve"> </v>
      </c>
      <c r="DL21" s="76" t="str">
        <f>IF('PFM NON-SELL (Draft Layers)'!DU160="X","X"," ")</f>
        <v xml:space="preserve"> </v>
      </c>
      <c r="DM21" s="76"/>
      <c r="DN21" s="95"/>
      <c r="DO21" s="90">
        <f t="shared" si="6"/>
        <v>7</v>
      </c>
      <c r="DP21" s="21"/>
      <c r="DQ21" s="21"/>
    </row>
    <row r="22" spans="1:121" x14ac:dyDescent="0.3">
      <c r="A22" s="4" t="s">
        <v>70</v>
      </c>
      <c r="B22" s="4" t="s">
        <v>70</v>
      </c>
      <c r="C22" s="4" t="s">
        <v>100</v>
      </c>
      <c r="D22" s="4" t="s">
        <v>99</v>
      </c>
      <c r="E22" s="12">
        <v>10</v>
      </c>
      <c r="F22" s="34">
        <f t="shared" si="0"/>
        <v>970</v>
      </c>
      <c r="G22" s="28">
        <f t="shared" si="1"/>
        <v>97</v>
      </c>
      <c r="H22" s="28">
        <f t="shared" si="2"/>
        <v>9</v>
      </c>
      <c r="I22" s="26">
        <f t="shared" si="3"/>
        <v>0</v>
      </c>
      <c r="J22" s="24">
        <f t="shared" si="4"/>
        <v>0</v>
      </c>
      <c r="K22" s="31">
        <f t="shared" si="5"/>
        <v>0</v>
      </c>
      <c r="L22" s="9">
        <v>3</v>
      </c>
      <c r="M22" s="9">
        <v>97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E22" s="6">
        <v>30</v>
      </c>
      <c r="AF22" s="6">
        <v>970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93" t="str">
        <f>IF('PFM NON-SELL (Draft Layers)'!AW161="X","X"," ")</f>
        <v xml:space="preserve"> </v>
      </c>
      <c r="AX22" s="76" t="str">
        <f>IF('PFM NON-SELL (Draft Layers)'!AX161="X","X"," ")</f>
        <v xml:space="preserve"> </v>
      </c>
      <c r="AY22" s="76" t="str">
        <f>IF('PFM NON-SELL (Draft Layers)'!AY161="X","X"," ")</f>
        <v>X</v>
      </c>
      <c r="AZ22" s="76" t="str">
        <f>IF('PFM NON-SELL (Draft Layers)'!AZ161="X","X"," ")</f>
        <v xml:space="preserve"> </v>
      </c>
      <c r="BA22" s="76" t="str">
        <f>IF('PFM NON-SELL (Draft Layers)'!BA161="X","X"," ")</f>
        <v xml:space="preserve"> </v>
      </c>
      <c r="BB22" s="76" t="str">
        <f>IF('PFM NON-SELL (Draft Layers)'!BB161="X","X"," ")</f>
        <v xml:space="preserve"> </v>
      </c>
      <c r="BC22" s="76" t="str">
        <f>IF('PFM NON-SELL (Draft Layers)'!BC161="X","X"," ")</f>
        <v xml:space="preserve"> </v>
      </c>
      <c r="BD22" s="76" t="str">
        <f>IF('PFM NON-SELL (Draft Layers)'!BD161="X","X"," ")</f>
        <v xml:space="preserve"> </v>
      </c>
      <c r="BE22" s="76" t="str">
        <f>IF('PFM NON-SELL (Draft Layers)'!BE161="X","X"," ")</f>
        <v xml:space="preserve"> </v>
      </c>
      <c r="BF22" s="76" t="str">
        <f>IF('PFM NON-SELL (Draft Layers)'!BF161="X","X"," ")</f>
        <v xml:space="preserve"> </v>
      </c>
      <c r="BG22" s="76"/>
      <c r="BH22" s="76"/>
      <c r="BI22" s="76" t="str">
        <f>IF('PFM NON-SELL (Draft Layers)'!BG161="X","X"," ")</f>
        <v xml:space="preserve"> </v>
      </c>
      <c r="BJ22" s="76" t="str">
        <f>IF('PFM NON-SELL (Draft Layers)'!BJ161="X","X"," ")</f>
        <v xml:space="preserve"> </v>
      </c>
      <c r="BK22" s="76" t="str">
        <f>IF('PFM NON-SELL (Draft Layers)'!BK161="X","X"," ")</f>
        <v xml:space="preserve"> </v>
      </c>
      <c r="BL22" s="76" t="str">
        <f>IF('PFM NON-SELL (Draft Layers)'!BM161="X","X"," ")</f>
        <v xml:space="preserve"> </v>
      </c>
      <c r="BM22" s="76" t="str">
        <f>IF('PFM NON-SELL (Draft Layers)'!BN161="X","X"," ")</f>
        <v xml:space="preserve"> </v>
      </c>
      <c r="BN22" s="76" t="str">
        <f>IF('PFM NON-SELL (Draft Layers)'!BO161="X","X"," ")</f>
        <v>X</v>
      </c>
      <c r="BO22" s="76" t="str">
        <f>IF('PFM NON-SELL (Draft Layers)'!BP161="X","X"," ")</f>
        <v>X</v>
      </c>
      <c r="BP22" s="76" t="str">
        <f>IF('PFM NON-SELL (Draft Layers)'!BQ161="X","X"," ")</f>
        <v xml:space="preserve"> </v>
      </c>
      <c r="BQ22" s="76" t="str">
        <f>IF('PFM NON-SELL (Draft Layers)'!BR161="X","X"," ")</f>
        <v xml:space="preserve"> </v>
      </c>
      <c r="BR22" s="76"/>
      <c r="BS22" s="76"/>
      <c r="BT22" s="76"/>
      <c r="BU22" s="76"/>
      <c r="BV22" s="76" t="str">
        <f>IF('PFM NON-SELL (Draft Layers)'!BW161="X","X"," ")</f>
        <v xml:space="preserve"> </v>
      </c>
      <c r="BW22" s="76"/>
      <c r="BX22" s="76" t="str">
        <f>IF('PFM NON-SELL (Draft Layers)'!BZ161="X","X"," ")</f>
        <v xml:space="preserve"> </v>
      </c>
      <c r="BY22" s="76" t="str">
        <f>IF('PFM NON-SELL (Draft Layers)'!CA161="X","X"," ")</f>
        <v xml:space="preserve"> </v>
      </c>
      <c r="BZ22" s="76" t="str">
        <f>IF('PFM NON-SELL (Draft Layers)'!CB161="X","X"," ")</f>
        <v xml:space="preserve"> </v>
      </c>
      <c r="CA22" s="76" t="str">
        <f>IF('PFM NON-SELL (Draft Layers)'!CC161="X","X"," ")</f>
        <v xml:space="preserve"> </v>
      </c>
      <c r="CB22" s="76" t="str">
        <f>IF('PFM NON-SELL (Draft Layers)'!CD161="X","X"," ")</f>
        <v xml:space="preserve"> </v>
      </c>
      <c r="CC22" s="76" t="str">
        <f>IF('PFM NON-SELL (Draft Layers)'!CE161="X","X"," ")</f>
        <v xml:space="preserve"> </v>
      </c>
      <c r="CD22" s="76" t="str">
        <f>IF('PFM NON-SELL (Draft Layers)'!CF161="X","X"," ")</f>
        <v xml:space="preserve"> </v>
      </c>
      <c r="CE22" s="76" t="str">
        <f>IF('PFM NON-SELL (Draft Layers)'!CG161="X","X"," ")</f>
        <v xml:space="preserve"> </v>
      </c>
      <c r="CF22" s="76" t="str">
        <f>IF('PFM NON-SELL (Draft Layers)'!CH161="X","X"," ")</f>
        <v>X</v>
      </c>
      <c r="CG22" s="76" t="str">
        <f>IF('PFM NON-SELL (Draft Layers)'!CI161="X","X"," ")</f>
        <v>X</v>
      </c>
      <c r="CH22" s="76" t="str">
        <f>IF('PFM NON-SELL (Draft Layers)'!CJ161="X","X"," ")</f>
        <v xml:space="preserve"> </v>
      </c>
      <c r="CI22" s="76"/>
      <c r="CJ22" s="76"/>
      <c r="CK22" s="76"/>
      <c r="CL22" s="76"/>
      <c r="CM22" s="76" t="str">
        <f>IF('PFM NON-SELL (Draft Layers)'!CV161="X","X"," ")</f>
        <v xml:space="preserve"> </v>
      </c>
      <c r="CN22" s="76" t="str">
        <f>IF('PFM NON-SELL (Draft Layers)'!CW161="X","X"," ")</f>
        <v xml:space="preserve"> </v>
      </c>
      <c r="CO22" s="76" t="str">
        <f>IF('PFM NON-SELL (Draft Layers)'!CX161="X","X"," ")</f>
        <v xml:space="preserve"> </v>
      </c>
      <c r="CP22" s="76" t="str">
        <f>IF('PFM NON-SELL (Draft Layers)'!CY161="X","X"," ")</f>
        <v xml:space="preserve"> </v>
      </c>
      <c r="CQ22" s="76" t="str">
        <f>IF('PFM NON-SELL (Draft Layers)'!CZ161="X","X"," ")</f>
        <v xml:space="preserve"> </v>
      </c>
      <c r="CR22" s="76" t="str">
        <f>IF('PFM NON-SELL (Draft Layers)'!DA161="X","X"," ")</f>
        <v xml:space="preserve"> </v>
      </c>
      <c r="CS22" s="76" t="str">
        <f>IF('PFM NON-SELL (Draft Layers)'!DB161="X","X"," ")</f>
        <v xml:space="preserve"> </v>
      </c>
      <c r="CT22" s="76" t="str">
        <f>IF('PFM NON-SELL (Draft Layers)'!DC161="X","X"," ")</f>
        <v xml:space="preserve"> </v>
      </c>
      <c r="CU22" s="76" t="str">
        <f>IF('PFM NON-SELL (Draft Layers)'!DD161="X","X"," ")</f>
        <v xml:space="preserve"> </v>
      </c>
      <c r="CV22" s="76" t="str">
        <f>IF('PFM NON-SELL (Draft Layers)'!DE161="X","X"," ")</f>
        <v xml:space="preserve"> </v>
      </c>
      <c r="CW22" s="76" t="str">
        <f>IF('PFM NON-SELL (Draft Layers)'!DF161="X","X"," ")</f>
        <v xml:space="preserve"> </v>
      </c>
      <c r="CX22" s="76" t="str">
        <f>IF('PFM NON-SELL (Draft Layers)'!DG161="X","X"," ")</f>
        <v>X</v>
      </c>
      <c r="CY22" s="96" t="str">
        <f>IF('PFM NON-SELL (Draft Layers)'!DH161="X","X"," ")</f>
        <v>X</v>
      </c>
      <c r="CZ22" s="76" t="str">
        <f>IF('PFM NON-SELL (Draft Layers)'!DI161="X","X"," ")</f>
        <v xml:space="preserve"> </v>
      </c>
      <c r="DA22" s="76" t="str">
        <f>IF('PFM NON-SELL (Draft Layers)'!DJ161="X","X"," ")</f>
        <v xml:space="preserve"> </v>
      </c>
      <c r="DB22" s="76" t="str">
        <f>IF('PFM NON-SELL (Draft Layers)'!DK161="X","X"," ")</f>
        <v xml:space="preserve"> </v>
      </c>
      <c r="DC22" s="76" t="str">
        <f>IF('PFM NON-SELL (Draft Layers)'!DL161="X","X"," ")</f>
        <v xml:space="preserve"> </v>
      </c>
      <c r="DD22" s="76" t="str">
        <f>IF('PFM NON-SELL (Draft Layers)'!DM161="X","X"," ")</f>
        <v xml:space="preserve"> </v>
      </c>
      <c r="DE22" s="76" t="str">
        <f>IF('PFM NON-SELL (Draft Layers)'!DN161="X","X"," ")</f>
        <v xml:space="preserve"> </v>
      </c>
      <c r="DF22" s="76" t="str">
        <f>IF('PFM NON-SELL (Draft Layers)'!DO161="X","X"," ")</f>
        <v xml:space="preserve"> </v>
      </c>
      <c r="DG22" s="76" t="str">
        <f>IF('PFM NON-SELL (Draft Layers)'!DP161="X","X"," ")</f>
        <v xml:space="preserve"> </v>
      </c>
      <c r="DH22" s="76" t="str">
        <f>IF('PFM NON-SELL (Draft Layers)'!DQ161="X","X"," ")</f>
        <v xml:space="preserve"> </v>
      </c>
      <c r="DI22" s="76" t="str">
        <f>IF('PFM NON-SELL (Draft Layers)'!DR161="X","X"," ")</f>
        <v xml:space="preserve"> </v>
      </c>
      <c r="DJ22" s="76" t="str">
        <f>IF('PFM NON-SELL (Draft Layers)'!DS161="X","X"," ")</f>
        <v xml:space="preserve"> </v>
      </c>
      <c r="DK22" s="76" t="str">
        <f>IF('PFM NON-SELL (Draft Layers)'!DT161="X","X"," ")</f>
        <v xml:space="preserve"> </v>
      </c>
      <c r="DL22" s="76" t="str">
        <f>IF('PFM NON-SELL (Draft Layers)'!DU161="X","X"," ")</f>
        <v xml:space="preserve"> </v>
      </c>
      <c r="DM22" s="76"/>
      <c r="DN22" s="95"/>
      <c r="DO22" s="90">
        <f t="shared" si="6"/>
        <v>7</v>
      </c>
      <c r="DP22" s="21"/>
      <c r="DQ22" s="21"/>
    </row>
    <row r="23" spans="1:121" x14ac:dyDescent="0.3">
      <c r="A23" s="4" t="s">
        <v>70</v>
      </c>
      <c r="B23" s="4" t="s">
        <v>70</v>
      </c>
      <c r="C23" s="4" t="s">
        <v>101</v>
      </c>
      <c r="D23" s="4" t="s">
        <v>102</v>
      </c>
      <c r="E23" s="12">
        <v>40.409999999999997</v>
      </c>
      <c r="F23" s="34">
        <f t="shared" si="0"/>
        <v>808.19999999999993</v>
      </c>
      <c r="G23" s="28">
        <f t="shared" si="1"/>
        <v>20</v>
      </c>
      <c r="H23" s="28">
        <f t="shared" si="2"/>
        <v>2</v>
      </c>
      <c r="I23" s="26">
        <f t="shared" si="3"/>
        <v>0</v>
      </c>
      <c r="J23" s="24">
        <f t="shared" si="4"/>
        <v>0</v>
      </c>
      <c r="K23" s="31">
        <f t="shared" si="5"/>
        <v>0</v>
      </c>
      <c r="L23" s="9">
        <v>0</v>
      </c>
      <c r="M23" s="9">
        <v>20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E23" s="6">
        <v>0</v>
      </c>
      <c r="AF23" s="6">
        <v>808.19999999999993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93" t="str">
        <f>IF('PFM NON-SELL (Draft Layers)'!AW162="X","X"," ")</f>
        <v xml:space="preserve"> </v>
      </c>
      <c r="AX23" s="76" t="str">
        <f>IF('PFM NON-SELL (Draft Layers)'!AX162="X","X"," ")</f>
        <v xml:space="preserve"> </v>
      </c>
      <c r="AY23" s="76" t="str">
        <f>IF('PFM NON-SELL (Draft Layers)'!AY162="X","X"," ")</f>
        <v>X</v>
      </c>
      <c r="AZ23" s="76" t="str">
        <f>IF('PFM NON-SELL (Draft Layers)'!AZ162="X","X"," ")</f>
        <v xml:space="preserve"> </v>
      </c>
      <c r="BA23" s="76" t="str">
        <f>IF('PFM NON-SELL (Draft Layers)'!BA162="X","X"," ")</f>
        <v xml:space="preserve"> </v>
      </c>
      <c r="BB23" s="76" t="str">
        <f>IF('PFM NON-SELL (Draft Layers)'!BB162="X","X"," ")</f>
        <v xml:space="preserve"> </v>
      </c>
      <c r="BC23" s="76" t="str">
        <f>IF('PFM NON-SELL (Draft Layers)'!BC162="X","X"," ")</f>
        <v xml:space="preserve"> </v>
      </c>
      <c r="BD23" s="76" t="str">
        <f>IF('PFM NON-SELL (Draft Layers)'!BD162="X","X"," ")</f>
        <v xml:space="preserve"> </v>
      </c>
      <c r="BE23" s="76" t="str">
        <f>IF('PFM NON-SELL (Draft Layers)'!BE162="X","X"," ")</f>
        <v xml:space="preserve"> </v>
      </c>
      <c r="BF23" s="76" t="str">
        <f>IF('PFM NON-SELL (Draft Layers)'!BF162="X","X"," ")</f>
        <v xml:space="preserve"> </v>
      </c>
      <c r="BG23" s="76"/>
      <c r="BH23" s="76"/>
      <c r="BI23" s="76" t="str">
        <f>IF('PFM NON-SELL (Draft Layers)'!BG162="X","X"," ")</f>
        <v xml:space="preserve"> </v>
      </c>
      <c r="BJ23" s="76" t="str">
        <f>IF('PFM NON-SELL (Draft Layers)'!BJ162="X","X"," ")</f>
        <v xml:space="preserve"> </v>
      </c>
      <c r="BK23" s="76" t="str">
        <f>IF('PFM NON-SELL (Draft Layers)'!BK162="X","X"," ")</f>
        <v xml:space="preserve"> </v>
      </c>
      <c r="BL23" s="76" t="str">
        <f>IF('PFM NON-SELL (Draft Layers)'!BM162="X","X"," ")</f>
        <v xml:space="preserve"> </v>
      </c>
      <c r="BM23" s="76" t="str">
        <f>IF('PFM NON-SELL (Draft Layers)'!BN162="X","X"," ")</f>
        <v xml:space="preserve"> </v>
      </c>
      <c r="BN23" s="76" t="str">
        <f>IF('PFM NON-SELL (Draft Layers)'!BO162="X","X"," ")</f>
        <v>X</v>
      </c>
      <c r="BO23" s="76" t="str">
        <f>IF('PFM NON-SELL (Draft Layers)'!BP162="X","X"," ")</f>
        <v xml:space="preserve"> </v>
      </c>
      <c r="BP23" s="76" t="str">
        <f>IF('PFM NON-SELL (Draft Layers)'!BQ162="X","X"," ")</f>
        <v xml:space="preserve"> </v>
      </c>
      <c r="BQ23" s="76" t="str">
        <f>IF('PFM NON-SELL (Draft Layers)'!BR162="X","X"," ")</f>
        <v xml:space="preserve"> </v>
      </c>
      <c r="BR23" s="76"/>
      <c r="BS23" s="76"/>
      <c r="BT23" s="76"/>
      <c r="BU23" s="76"/>
      <c r="BV23" s="76" t="str">
        <f>IF('PFM NON-SELL (Draft Layers)'!BW162="X","X"," ")</f>
        <v xml:space="preserve"> </v>
      </c>
      <c r="BW23" s="76"/>
      <c r="BX23" s="76" t="str">
        <f>IF('PFM NON-SELL (Draft Layers)'!BZ162="X","X"," ")</f>
        <v xml:space="preserve"> </v>
      </c>
      <c r="BY23" s="76" t="str">
        <f>IF('PFM NON-SELL (Draft Layers)'!CA162="X","X"," ")</f>
        <v xml:space="preserve"> </v>
      </c>
      <c r="BZ23" s="76" t="str">
        <f>IF('PFM NON-SELL (Draft Layers)'!CB162="X","X"," ")</f>
        <v xml:space="preserve"> </v>
      </c>
      <c r="CA23" s="76" t="str">
        <f>IF('PFM NON-SELL (Draft Layers)'!CC162="X","X"," ")</f>
        <v xml:space="preserve"> </v>
      </c>
      <c r="CB23" s="76" t="str">
        <f>IF('PFM NON-SELL (Draft Layers)'!CD162="X","X"," ")</f>
        <v xml:space="preserve"> </v>
      </c>
      <c r="CC23" s="76" t="str">
        <f>IF('PFM NON-SELL (Draft Layers)'!CE162="X","X"," ")</f>
        <v xml:space="preserve"> </v>
      </c>
      <c r="CD23" s="76" t="str">
        <f>IF('PFM NON-SELL (Draft Layers)'!CF162="X","X"," ")</f>
        <v xml:space="preserve"> </v>
      </c>
      <c r="CE23" s="76" t="str">
        <f>IF('PFM NON-SELL (Draft Layers)'!CG162="X","X"," ")</f>
        <v xml:space="preserve"> </v>
      </c>
      <c r="CF23" s="76" t="str">
        <f>IF('PFM NON-SELL (Draft Layers)'!CH162="X","X"," ")</f>
        <v>X</v>
      </c>
      <c r="CG23" s="76" t="str">
        <f>IF('PFM NON-SELL (Draft Layers)'!CI162="X","X"," ")</f>
        <v>X</v>
      </c>
      <c r="CH23" s="76" t="str">
        <f>IF('PFM NON-SELL (Draft Layers)'!CJ162="X","X"," ")</f>
        <v xml:space="preserve"> </v>
      </c>
      <c r="CI23" s="76"/>
      <c r="CJ23" s="76"/>
      <c r="CK23" s="76"/>
      <c r="CL23" s="76"/>
      <c r="CM23" s="76" t="str">
        <f>IF('PFM NON-SELL (Draft Layers)'!CV162="X","X"," ")</f>
        <v xml:space="preserve"> </v>
      </c>
      <c r="CN23" s="76" t="str">
        <f>IF('PFM NON-SELL (Draft Layers)'!CW162="X","X"," ")</f>
        <v xml:space="preserve"> </v>
      </c>
      <c r="CO23" s="76" t="str">
        <f>IF('PFM NON-SELL (Draft Layers)'!CX162="X","X"," ")</f>
        <v xml:space="preserve"> </v>
      </c>
      <c r="CP23" s="76" t="str">
        <f>IF('PFM NON-SELL (Draft Layers)'!CY162="X","X"," ")</f>
        <v xml:space="preserve"> </v>
      </c>
      <c r="CQ23" s="76" t="str">
        <f>IF('PFM NON-SELL (Draft Layers)'!CZ162="X","X"," ")</f>
        <v xml:space="preserve"> </v>
      </c>
      <c r="CR23" s="76" t="str">
        <f>IF('PFM NON-SELL (Draft Layers)'!DA162="X","X"," ")</f>
        <v xml:space="preserve"> </v>
      </c>
      <c r="CS23" s="76" t="str">
        <f>IF('PFM NON-SELL (Draft Layers)'!DB162="X","X"," ")</f>
        <v xml:space="preserve"> </v>
      </c>
      <c r="CT23" s="76" t="str">
        <f>IF('PFM NON-SELL (Draft Layers)'!DC162="X","X"," ")</f>
        <v xml:space="preserve"> </v>
      </c>
      <c r="CU23" s="76" t="str">
        <f>IF('PFM NON-SELL (Draft Layers)'!DD162="X","X"," ")</f>
        <v xml:space="preserve"> </v>
      </c>
      <c r="CV23" s="76" t="str">
        <f>IF('PFM NON-SELL (Draft Layers)'!DE162="X","X"," ")</f>
        <v xml:space="preserve"> </v>
      </c>
      <c r="CW23" s="76" t="str">
        <f>IF('PFM NON-SELL (Draft Layers)'!DF162="X","X"," ")</f>
        <v xml:space="preserve"> </v>
      </c>
      <c r="CX23" s="76" t="str">
        <f>IF('PFM NON-SELL (Draft Layers)'!DG162="X","X"," ")</f>
        <v>X</v>
      </c>
      <c r="CY23" s="76" t="str">
        <f>IF('PFM NON-SELL (Draft Layers)'!DH162="X","X"," ")</f>
        <v>X</v>
      </c>
      <c r="CZ23" s="76" t="str">
        <f>IF('PFM NON-SELL (Draft Layers)'!DI162="X","X"," ")</f>
        <v xml:space="preserve"> </v>
      </c>
      <c r="DA23" s="76" t="str">
        <f>IF('PFM NON-SELL (Draft Layers)'!DJ162="X","X"," ")</f>
        <v xml:space="preserve"> </v>
      </c>
      <c r="DB23" s="76" t="str">
        <f>IF('PFM NON-SELL (Draft Layers)'!DK162="X","X"," ")</f>
        <v xml:space="preserve"> </v>
      </c>
      <c r="DC23" s="76" t="str">
        <f>IF('PFM NON-SELL (Draft Layers)'!DL162="X","X"," ")</f>
        <v xml:space="preserve"> </v>
      </c>
      <c r="DD23" s="76" t="str">
        <f>IF('PFM NON-SELL (Draft Layers)'!DM162="X","X"," ")</f>
        <v xml:space="preserve"> </v>
      </c>
      <c r="DE23" s="76" t="str">
        <f>IF('PFM NON-SELL (Draft Layers)'!DN162="X","X"," ")</f>
        <v xml:space="preserve"> </v>
      </c>
      <c r="DF23" s="76" t="str">
        <f>IF('PFM NON-SELL (Draft Layers)'!DO162="X","X"," ")</f>
        <v xml:space="preserve"> </v>
      </c>
      <c r="DG23" s="76" t="str">
        <f>IF('PFM NON-SELL (Draft Layers)'!DP162="X","X"," ")</f>
        <v xml:space="preserve"> </v>
      </c>
      <c r="DH23" s="76" t="str">
        <f>IF('PFM NON-SELL (Draft Layers)'!DQ162="X","X"," ")</f>
        <v xml:space="preserve"> </v>
      </c>
      <c r="DI23" s="76" t="str">
        <f>IF('PFM NON-SELL (Draft Layers)'!DR162="X","X"," ")</f>
        <v xml:space="preserve"> </v>
      </c>
      <c r="DJ23" s="76" t="str">
        <f>IF('PFM NON-SELL (Draft Layers)'!DS162="X","X"," ")</f>
        <v xml:space="preserve"> </v>
      </c>
      <c r="DK23" s="76" t="str">
        <f>IF('PFM NON-SELL (Draft Layers)'!DT162="X","X"," ")</f>
        <v xml:space="preserve"> </v>
      </c>
      <c r="DL23" s="76" t="str">
        <f>IF('PFM NON-SELL (Draft Layers)'!DU162="X","X"," ")</f>
        <v xml:space="preserve"> </v>
      </c>
      <c r="DM23" s="76"/>
      <c r="DN23" s="95"/>
      <c r="DO23" s="90">
        <f t="shared" si="6"/>
        <v>6</v>
      </c>
      <c r="DP23" s="21"/>
      <c r="DQ23" s="21"/>
    </row>
    <row r="24" spans="1:121" x14ac:dyDescent="0.3">
      <c r="A24" s="4" t="s">
        <v>70</v>
      </c>
      <c r="B24" s="4" t="s">
        <v>70</v>
      </c>
      <c r="C24" s="4" t="s">
        <v>103</v>
      </c>
      <c r="D24" s="4" t="s">
        <v>104</v>
      </c>
      <c r="E24" s="12">
        <v>59.58</v>
      </c>
      <c r="F24" s="34">
        <f t="shared" si="0"/>
        <v>2800.2599999999998</v>
      </c>
      <c r="G24" s="28">
        <f t="shared" si="1"/>
        <v>47</v>
      </c>
      <c r="H24" s="28">
        <f t="shared" si="2"/>
        <v>4</v>
      </c>
      <c r="I24" s="26">
        <f t="shared" si="3"/>
        <v>0</v>
      </c>
      <c r="J24" s="24">
        <f t="shared" si="4"/>
        <v>0</v>
      </c>
      <c r="K24" s="31">
        <f t="shared" si="5"/>
        <v>0</v>
      </c>
      <c r="L24" s="9">
        <v>0</v>
      </c>
      <c r="M24" s="9">
        <v>3</v>
      </c>
      <c r="N24" s="9">
        <v>22</v>
      </c>
      <c r="O24" s="9">
        <v>22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E24" s="6">
        <v>0</v>
      </c>
      <c r="AF24" s="6">
        <v>178.74</v>
      </c>
      <c r="AG24" s="6">
        <v>1310.76</v>
      </c>
      <c r="AH24" s="6">
        <v>1310.76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93" t="str">
        <f>IF('PFM NON-SELL (Draft Layers)'!AW163="X","X"," ")</f>
        <v xml:space="preserve"> </v>
      </c>
      <c r="AX24" s="76" t="str">
        <f>IF('PFM NON-SELL (Draft Layers)'!AX163="X","X"," ")</f>
        <v xml:space="preserve"> </v>
      </c>
      <c r="AY24" s="76" t="str">
        <f>IF('PFM NON-SELL (Draft Layers)'!AY163="X","X"," ")</f>
        <v xml:space="preserve"> </v>
      </c>
      <c r="AZ24" s="76" t="str">
        <f>IF('PFM NON-SELL (Draft Layers)'!AZ163="X","X"," ")</f>
        <v xml:space="preserve"> </v>
      </c>
      <c r="BA24" s="76" t="str">
        <f>IF('PFM NON-SELL (Draft Layers)'!BA163="X","X"," ")</f>
        <v xml:space="preserve"> </v>
      </c>
      <c r="BB24" s="76" t="str">
        <f>IF('PFM NON-SELL (Draft Layers)'!BB163="X","X"," ")</f>
        <v xml:space="preserve"> </v>
      </c>
      <c r="BC24" s="76" t="str">
        <f>IF('PFM NON-SELL (Draft Layers)'!BC163="X","X"," ")</f>
        <v xml:space="preserve"> </v>
      </c>
      <c r="BD24" s="76" t="str">
        <f>IF('PFM NON-SELL (Draft Layers)'!BD163="X","X"," ")</f>
        <v xml:space="preserve"> </v>
      </c>
      <c r="BE24" s="76" t="str">
        <f>IF('PFM NON-SELL (Draft Layers)'!BE163="X","X"," ")</f>
        <v xml:space="preserve"> </v>
      </c>
      <c r="BF24" s="76" t="str">
        <f>IF('PFM NON-SELL (Draft Layers)'!BF163="X","X"," ")</f>
        <v xml:space="preserve"> </v>
      </c>
      <c r="BG24" s="76"/>
      <c r="BH24" s="76"/>
      <c r="BI24" s="76" t="str">
        <f>IF('PFM NON-SELL (Draft Layers)'!BG163="X","X"," ")</f>
        <v xml:space="preserve"> </v>
      </c>
      <c r="BJ24" s="76" t="str">
        <f>IF('PFM NON-SELL (Draft Layers)'!BJ163="X","X"," ")</f>
        <v xml:space="preserve"> </v>
      </c>
      <c r="BK24" s="76" t="str">
        <f>IF('PFM NON-SELL (Draft Layers)'!BK163="X","X"," ")</f>
        <v xml:space="preserve"> </v>
      </c>
      <c r="BL24" s="76" t="str">
        <f>IF('PFM NON-SELL (Draft Layers)'!BM163="X","X"," ")</f>
        <v xml:space="preserve"> </v>
      </c>
      <c r="BM24" s="76" t="str">
        <f>IF('PFM NON-SELL (Draft Layers)'!BN163="X","X"," ")</f>
        <v xml:space="preserve"> </v>
      </c>
      <c r="BN24" s="76" t="str">
        <f>IF('PFM NON-SELL (Draft Layers)'!BO163="X","X"," ")</f>
        <v xml:space="preserve"> </v>
      </c>
      <c r="BO24" s="76" t="str">
        <f>IF('PFM NON-SELL (Draft Layers)'!BP163="X","X"," ")</f>
        <v xml:space="preserve"> </v>
      </c>
      <c r="BP24" s="76" t="str">
        <f>IF('PFM NON-SELL (Draft Layers)'!BQ163="X","X"," ")</f>
        <v xml:space="preserve"> </v>
      </c>
      <c r="BQ24" s="76" t="str">
        <f>IF('PFM NON-SELL (Draft Layers)'!BR163="X","X"," ")</f>
        <v xml:space="preserve"> </v>
      </c>
      <c r="BR24" s="76"/>
      <c r="BS24" s="76"/>
      <c r="BT24" s="76"/>
      <c r="BU24" s="76"/>
      <c r="BV24" s="76" t="str">
        <f>IF('PFM NON-SELL (Draft Layers)'!BW163="X","X"," ")</f>
        <v xml:space="preserve"> </v>
      </c>
      <c r="BW24" s="76"/>
      <c r="BX24" s="76" t="str">
        <f>IF('PFM NON-SELL (Draft Layers)'!BZ163="X","X"," ")</f>
        <v xml:space="preserve"> </v>
      </c>
      <c r="BY24" s="76" t="str">
        <f>IF('PFM NON-SELL (Draft Layers)'!CA163="X","X"," ")</f>
        <v xml:space="preserve"> </v>
      </c>
      <c r="BZ24" s="76" t="str">
        <f>IF('PFM NON-SELL (Draft Layers)'!CB163="X","X"," ")</f>
        <v xml:space="preserve"> </v>
      </c>
      <c r="CA24" s="76" t="str">
        <f>IF('PFM NON-SELL (Draft Layers)'!CC163="X","X"," ")</f>
        <v xml:space="preserve"> </v>
      </c>
      <c r="CB24" s="76" t="str">
        <f>IF('PFM NON-SELL (Draft Layers)'!CD163="X","X"," ")</f>
        <v>X</v>
      </c>
      <c r="CC24" s="76" t="str">
        <f>IF('PFM NON-SELL (Draft Layers)'!CE163="X","X"," ")</f>
        <v xml:space="preserve"> </v>
      </c>
      <c r="CD24" s="76" t="str">
        <f>IF('PFM NON-SELL (Draft Layers)'!CF163="X","X"," ")</f>
        <v xml:space="preserve"> </v>
      </c>
      <c r="CE24" s="76" t="str">
        <f>IF('PFM NON-SELL (Draft Layers)'!CG163="X","X"," ")</f>
        <v xml:space="preserve"> </v>
      </c>
      <c r="CF24" s="76" t="str">
        <f>IF('PFM NON-SELL (Draft Layers)'!CH163="X","X"," ")</f>
        <v>X</v>
      </c>
      <c r="CG24" s="76" t="str">
        <f>IF('PFM NON-SELL (Draft Layers)'!CI163="X","X"," ")</f>
        <v>X</v>
      </c>
      <c r="CH24" s="76" t="str">
        <f>IF('PFM NON-SELL (Draft Layers)'!CJ163="X","X"," ")</f>
        <v xml:space="preserve"> </v>
      </c>
      <c r="CI24" s="76"/>
      <c r="CJ24" s="76"/>
      <c r="CK24" s="76"/>
      <c r="CL24" s="76"/>
      <c r="CM24" s="76" t="str">
        <f>IF('PFM NON-SELL (Draft Layers)'!CV163="X","X"," ")</f>
        <v xml:space="preserve"> </v>
      </c>
      <c r="CN24" s="76" t="str">
        <f>IF('PFM NON-SELL (Draft Layers)'!CW163="X","X"," ")</f>
        <v xml:space="preserve"> </v>
      </c>
      <c r="CO24" s="76" t="str">
        <f>IF('PFM NON-SELL (Draft Layers)'!CX163="X","X"," ")</f>
        <v xml:space="preserve"> </v>
      </c>
      <c r="CP24" s="76" t="str">
        <f>IF('PFM NON-SELL (Draft Layers)'!CY163="X","X"," ")</f>
        <v xml:space="preserve"> </v>
      </c>
      <c r="CQ24" s="76" t="str">
        <f>IF('PFM NON-SELL (Draft Layers)'!CZ163="X","X"," ")</f>
        <v xml:space="preserve"> </v>
      </c>
      <c r="CR24" s="76" t="str">
        <f>IF('PFM NON-SELL (Draft Layers)'!DA163="X","X"," ")</f>
        <v xml:space="preserve"> </v>
      </c>
      <c r="CS24" s="76" t="str">
        <f>IF('PFM NON-SELL (Draft Layers)'!DB163="X","X"," ")</f>
        <v xml:space="preserve"> </v>
      </c>
      <c r="CT24" s="76" t="str">
        <f>IF('PFM NON-SELL (Draft Layers)'!DC163="X","X"," ")</f>
        <v xml:space="preserve"> </v>
      </c>
      <c r="CU24" s="76" t="str">
        <f>IF('PFM NON-SELL (Draft Layers)'!DD163="X","X"," ")</f>
        <v xml:space="preserve"> </v>
      </c>
      <c r="CV24" s="76" t="str">
        <f>IF('PFM NON-SELL (Draft Layers)'!DE163="X","X"," ")</f>
        <v xml:space="preserve"> </v>
      </c>
      <c r="CW24" s="76" t="str">
        <f>IF('PFM NON-SELL (Draft Layers)'!DF163="X","X"," ")</f>
        <v xml:space="preserve"> </v>
      </c>
      <c r="CX24" s="76" t="str">
        <f>IF('PFM NON-SELL (Draft Layers)'!DG163="X","X"," ")</f>
        <v>X</v>
      </c>
      <c r="CY24" s="76" t="str">
        <f>IF('PFM NON-SELL (Draft Layers)'!DH163="X","X"," ")</f>
        <v>X</v>
      </c>
      <c r="CZ24" s="76" t="str">
        <f>IF('PFM NON-SELL (Draft Layers)'!DI163="X","X"," ")</f>
        <v xml:space="preserve"> </v>
      </c>
      <c r="DA24" s="76" t="str">
        <f>IF('PFM NON-SELL (Draft Layers)'!DJ163="X","X"," ")</f>
        <v xml:space="preserve"> </v>
      </c>
      <c r="DB24" s="76" t="str">
        <f>IF('PFM NON-SELL (Draft Layers)'!DK163="X","X"," ")</f>
        <v xml:space="preserve"> </v>
      </c>
      <c r="DC24" s="76" t="str">
        <f>IF('PFM NON-SELL (Draft Layers)'!DL163="X","X"," ")</f>
        <v xml:space="preserve"> </v>
      </c>
      <c r="DD24" s="76" t="str">
        <f>IF('PFM NON-SELL (Draft Layers)'!DM163="X","X"," ")</f>
        <v xml:space="preserve"> </v>
      </c>
      <c r="DE24" s="76" t="str">
        <f>IF('PFM NON-SELL (Draft Layers)'!DN163="X","X"," ")</f>
        <v xml:space="preserve"> </v>
      </c>
      <c r="DF24" s="76" t="str">
        <f>IF('PFM NON-SELL (Draft Layers)'!DO163="X","X"," ")</f>
        <v xml:space="preserve"> </v>
      </c>
      <c r="DG24" s="76" t="str">
        <f>IF('PFM NON-SELL (Draft Layers)'!DP163="X","X"," ")</f>
        <v xml:space="preserve"> </v>
      </c>
      <c r="DH24" s="76" t="str">
        <f>IF('PFM NON-SELL (Draft Layers)'!DQ163="X","X"," ")</f>
        <v xml:space="preserve"> </v>
      </c>
      <c r="DI24" s="76" t="str">
        <f>IF('PFM NON-SELL (Draft Layers)'!DR163="X","X"," ")</f>
        <v xml:space="preserve"> </v>
      </c>
      <c r="DJ24" s="76" t="str">
        <f>IF('PFM NON-SELL (Draft Layers)'!DS163="X","X"," ")</f>
        <v xml:space="preserve"> </v>
      </c>
      <c r="DK24" s="76" t="str">
        <f>IF('PFM NON-SELL (Draft Layers)'!DT163="X","X"," ")</f>
        <v xml:space="preserve"> </v>
      </c>
      <c r="DL24" s="76" t="str">
        <f>IF('PFM NON-SELL (Draft Layers)'!DU163="X","X"," ")</f>
        <v xml:space="preserve"> </v>
      </c>
      <c r="DM24" s="76"/>
      <c r="DN24" s="95"/>
      <c r="DO24" s="90">
        <f t="shared" si="6"/>
        <v>5</v>
      </c>
      <c r="DP24" s="21"/>
      <c r="DQ24" s="21"/>
    </row>
    <row r="25" spans="1:121" x14ac:dyDescent="0.3">
      <c r="A25" s="4" t="s">
        <v>70</v>
      </c>
      <c r="B25" s="4" t="s">
        <v>70</v>
      </c>
      <c r="C25" s="4" t="s">
        <v>105</v>
      </c>
      <c r="D25" s="4" t="s">
        <v>106</v>
      </c>
      <c r="E25" s="12">
        <v>44.23</v>
      </c>
      <c r="F25" s="34">
        <f t="shared" si="0"/>
        <v>1105.75</v>
      </c>
      <c r="G25" s="28">
        <f t="shared" si="1"/>
        <v>25</v>
      </c>
      <c r="H25" s="28">
        <f t="shared" si="2"/>
        <v>3</v>
      </c>
      <c r="I25" s="26">
        <f t="shared" si="3"/>
        <v>2211.5</v>
      </c>
      <c r="J25" s="24">
        <f t="shared" si="4"/>
        <v>50</v>
      </c>
      <c r="K25" s="31">
        <f t="shared" si="5"/>
        <v>10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25</v>
      </c>
      <c r="Y25" s="9">
        <v>25</v>
      </c>
      <c r="Z25" s="9">
        <v>25</v>
      </c>
      <c r="AA25" s="9">
        <v>0</v>
      </c>
      <c r="AB25" s="9">
        <v>0</v>
      </c>
      <c r="AC25" s="9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1105.75</v>
      </c>
      <c r="AR25" s="6">
        <v>1105.75</v>
      </c>
      <c r="AS25" s="6">
        <v>1105.75</v>
      </c>
      <c r="AT25" s="6">
        <v>0</v>
      </c>
      <c r="AU25" s="6">
        <v>0</v>
      </c>
      <c r="AV25" s="6">
        <v>0</v>
      </c>
      <c r="AW25" s="93" t="str">
        <f>IF('PFM NON-SELL (Draft Layers)'!AW167="X","X"," ")</f>
        <v xml:space="preserve"> </v>
      </c>
      <c r="AX25" s="76" t="str">
        <f>IF('PFM NON-SELL (Draft Layers)'!AX167="X","X"," ")</f>
        <v xml:space="preserve"> </v>
      </c>
      <c r="AY25" s="76" t="str">
        <f>IF('PFM NON-SELL (Draft Layers)'!AY167="X","X"," ")</f>
        <v>X</v>
      </c>
      <c r="AZ25" s="76" t="str">
        <f>IF('PFM NON-SELL (Draft Layers)'!AZ167="X","X"," ")</f>
        <v xml:space="preserve"> </v>
      </c>
      <c r="BA25" s="76" t="str">
        <f>IF('PFM NON-SELL (Draft Layers)'!BA167="X","X"," ")</f>
        <v xml:space="preserve"> </v>
      </c>
      <c r="BB25" s="76" t="str">
        <f>IF('PFM NON-SELL (Draft Layers)'!BB167="X","X"," ")</f>
        <v xml:space="preserve"> </v>
      </c>
      <c r="BC25" s="76" t="str">
        <f>IF('PFM NON-SELL (Draft Layers)'!BC167="X","X"," ")</f>
        <v xml:space="preserve"> </v>
      </c>
      <c r="BD25" s="76" t="str">
        <f>IF('PFM NON-SELL (Draft Layers)'!BD167="X","X"," ")</f>
        <v xml:space="preserve"> </v>
      </c>
      <c r="BE25" s="76" t="str">
        <f>IF('PFM NON-SELL (Draft Layers)'!BE167="X","X"," ")</f>
        <v xml:space="preserve"> </v>
      </c>
      <c r="BF25" s="76" t="str">
        <f>IF('PFM NON-SELL (Draft Layers)'!BF167="X","X"," ")</f>
        <v xml:space="preserve"> </v>
      </c>
      <c r="BG25" s="76"/>
      <c r="BH25" s="76"/>
      <c r="BI25" s="76" t="str">
        <f>IF('PFM NON-SELL (Draft Layers)'!BG167="X","X"," ")</f>
        <v xml:space="preserve"> </v>
      </c>
      <c r="BJ25" s="76" t="str">
        <f>IF('PFM NON-SELL (Draft Layers)'!BJ167="X","X"," ")</f>
        <v xml:space="preserve"> </v>
      </c>
      <c r="BK25" s="76" t="str">
        <f>IF('PFM NON-SELL (Draft Layers)'!BK167="X","X"," ")</f>
        <v xml:space="preserve"> </v>
      </c>
      <c r="BL25" s="76" t="str">
        <f>IF('PFM NON-SELL (Draft Layers)'!BM167="X","X"," ")</f>
        <v xml:space="preserve"> </v>
      </c>
      <c r="BM25" s="76" t="str">
        <f>IF('PFM NON-SELL (Draft Layers)'!BN167="X","X"," ")</f>
        <v xml:space="preserve"> </v>
      </c>
      <c r="BN25" s="76" t="str">
        <f>IF('PFM NON-SELL (Draft Layers)'!BO167="X","X"," ")</f>
        <v>X</v>
      </c>
      <c r="BO25" s="76" t="str">
        <f>IF('PFM NON-SELL (Draft Layers)'!BP167="X","X"," ")</f>
        <v>X</v>
      </c>
      <c r="BP25" s="76" t="str">
        <f>IF('PFM NON-SELL (Draft Layers)'!BQ167="X","X"," ")</f>
        <v xml:space="preserve"> </v>
      </c>
      <c r="BQ25" s="76" t="str">
        <f>IF('PFM NON-SELL (Draft Layers)'!BR167="X","X"," ")</f>
        <v xml:space="preserve"> </v>
      </c>
      <c r="BR25" s="76"/>
      <c r="BS25" s="76"/>
      <c r="BT25" s="76"/>
      <c r="BU25" s="76"/>
      <c r="BV25" s="76" t="str">
        <f>IF('PFM NON-SELL (Draft Layers)'!BW167="X","X"," ")</f>
        <v xml:space="preserve"> </v>
      </c>
      <c r="BW25" s="76"/>
      <c r="BX25" s="76" t="str">
        <f>IF('PFM NON-SELL (Draft Layers)'!BZ167="X","X"," ")</f>
        <v xml:space="preserve"> </v>
      </c>
      <c r="BY25" s="76" t="str">
        <f>IF('PFM NON-SELL (Draft Layers)'!CA167="X","X"," ")</f>
        <v xml:space="preserve"> </v>
      </c>
      <c r="BZ25" s="76" t="str">
        <f>IF('PFM NON-SELL (Draft Layers)'!CB167="X","X"," ")</f>
        <v xml:space="preserve"> </v>
      </c>
      <c r="CA25" s="76" t="str">
        <f>IF('PFM NON-SELL (Draft Layers)'!CC167="X","X"," ")</f>
        <v xml:space="preserve"> </v>
      </c>
      <c r="CB25" s="76" t="str">
        <f>IF('PFM NON-SELL (Draft Layers)'!CD167="X","X"," ")</f>
        <v xml:space="preserve"> </v>
      </c>
      <c r="CC25" s="76" t="str">
        <f>IF('PFM NON-SELL (Draft Layers)'!CE167="X","X"," ")</f>
        <v xml:space="preserve"> </v>
      </c>
      <c r="CD25" s="76" t="str">
        <f>IF('PFM NON-SELL (Draft Layers)'!CF167="X","X"," ")</f>
        <v xml:space="preserve"> </v>
      </c>
      <c r="CE25" s="76" t="str">
        <f>IF('PFM NON-SELL (Draft Layers)'!CG167="X","X"," ")</f>
        <v xml:space="preserve"> </v>
      </c>
      <c r="CF25" s="76" t="str">
        <f>IF('PFM NON-SELL (Draft Layers)'!CH167="X","X"," ")</f>
        <v>X</v>
      </c>
      <c r="CG25" s="76" t="str">
        <f>IF('PFM NON-SELL (Draft Layers)'!CI167="X","X"," ")</f>
        <v>X</v>
      </c>
      <c r="CH25" s="76" t="str">
        <f>IF('PFM NON-SELL (Draft Layers)'!CJ167="X","X"," ")</f>
        <v xml:space="preserve"> </v>
      </c>
      <c r="CI25" s="76"/>
      <c r="CJ25" s="76"/>
      <c r="CK25" s="76"/>
      <c r="CL25" s="76"/>
      <c r="CM25" s="76" t="str">
        <f>IF('PFM NON-SELL (Draft Layers)'!CV167="X","X"," ")</f>
        <v xml:space="preserve"> </v>
      </c>
      <c r="CN25" s="76" t="str">
        <f>IF('PFM NON-SELL (Draft Layers)'!CW167="X","X"," ")</f>
        <v xml:space="preserve"> </v>
      </c>
      <c r="CO25" s="76" t="str">
        <f>IF('PFM NON-SELL (Draft Layers)'!CX167="X","X"," ")</f>
        <v xml:space="preserve"> </v>
      </c>
      <c r="CP25" s="76" t="str">
        <f>IF('PFM NON-SELL (Draft Layers)'!CY167="X","X"," ")</f>
        <v xml:space="preserve"> </v>
      </c>
      <c r="CQ25" s="76" t="str">
        <f>IF('PFM NON-SELL (Draft Layers)'!CZ167="X","X"," ")</f>
        <v xml:space="preserve"> </v>
      </c>
      <c r="CR25" s="76" t="str">
        <f>IF('PFM NON-SELL (Draft Layers)'!DA167="X","X"," ")</f>
        <v xml:space="preserve"> </v>
      </c>
      <c r="CS25" s="76" t="str">
        <f>IF('PFM NON-SELL (Draft Layers)'!DB167="X","X"," ")</f>
        <v xml:space="preserve"> </v>
      </c>
      <c r="CT25" s="76" t="str">
        <f>IF('PFM NON-SELL (Draft Layers)'!DC167="X","X"," ")</f>
        <v xml:space="preserve"> </v>
      </c>
      <c r="CU25" s="76" t="str">
        <f>IF('PFM NON-SELL (Draft Layers)'!DD167="X","X"," ")</f>
        <v xml:space="preserve"> </v>
      </c>
      <c r="CV25" s="76" t="str">
        <f>IF('PFM NON-SELL (Draft Layers)'!DE167="X","X"," ")</f>
        <v xml:space="preserve"> </v>
      </c>
      <c r="CW25" s="76" t="str">
        <f>IF('PFM NON-SELL (Draft Layers)'!DF167="X","X"," ")</f>
        <v xml:space="preserve"> </v>
      </c>
      <c r="CX25" s="76" t="str">
        <f>IF('PFM NON-SELL (Draft Layers)'!DG167="X","X"," ")</f>
        <v>X</v>
      </c>
      <c r="CY25" s="76" t="str">
        <f>IF('PFM NON-SELL (Draft Layers)'!DH167="X","X"," ")</f>
        <v>X</v>
      </c>
      <c r="CZ25" s="76" t="str">
        <f>IF('PFM NON-SELL (Draft Layers)'!DI167="X","X"," ")</f>
        <v xml:space="preserve"> </v>
      </c>
      <c r="DA25" s="76" t="str">
        <f>IF('PFM NON-SELL (Draft Layers)'!DJ167="X","X"," ")</f>
        <v xml:space="preserve"> </v>
      </c>
      <c r="DB25" s="76" t="str">
        <f>IF('PFM NON-SELL (Draft Layers)'!DK167="X","X"," ")</f>
        <v xml:space="preserve"> </v>
      </c>
      <c r="DC25" s="76" t="str">
        <f>IF('PFM NON-SELL (Draft Layers)'!DL167="X","X"," ")</f>
        <v xml:space="preserve"> </v>
      </c>
      <c r="DD25" s="76" t="str">
        <f>IF('PFM NON-SELL (Draft Layers)'!DM167="X","X"," ")</f>
        <v xml:space="preserve"> </v>
      </c>
      <c r="DE25" s="76" t="str">
        <f>IF('PFM NON-SELL (Draft Layers)'!DN167="X","X"," ")</f>
        <v xml:space="preserve"> </v>
      </c>
      <c r="DF25" s="76" t="str">
        <f>IF('PFM NON-SELL (Draft Layers)'!DO167="X","X"," ")</f>
        <v xml:space="preserve"> </v>
      </c>
      <c r="DG25" s="76" t="str">
        <f>IF('PFM NON-SELL (Draft Layers)'!DP167="X","X"," ")</f>
        <v xml:space="preserve"> </v>
      </c>
      <c r="DH25" s="76" t="str">
        <f>IF('PFM NON-SELL (Draft Layers)'!DQ167="X","X"," ")</f>
        <v xml:space="preserve"> </v>
      </c>
      <c r="DI25" s="76" t="str">
        <f>IF('PFM NON-SELL (Draft Layers)'!DR167="X","X"," ")</f>
        <v xml:space="preserve"> </v>
      </c>
      <c r="DJ25" s="76" t="str">
        <f>IF('PFM NON-SELL (Draft Layers)'!DS167="X","X"," ")</f>
        <v xml:space="preserve"> </v>
      </c>
      <c r="DK25" s="76" t="str">
        <f>IF('PFM NON-SELL (Draft Layers)'!DT167="X","X"," ")</f>
        <v xml:space="preserve"> </v>
      </c>
      <c r="DL25" s="76" t="str">
        <f>IF('PFM NON-SELL (Draft Layers)'!DU167="X","X"," ")</f>
        <v xml:space="preserve"> </v>
      </c>
      <c r="DM25" s="76"/>
      <c r="DN25" s="95"/>
      <c r="DO25" s="90">
        <f t="shared" si="6"/>
        <v>7</v>
      </c>
      <c r="DP25" s="21"/>
      <c r="DQ25" s="21"/>
    </row>
    <row r="26" spans="1:121" x14ac:dyDescent="0.3">
      <c r="A26" s="4" t="s">
        <v>70</v>
      </c>
      <c r="B26" s="4" t="s">
        <v>70</v>
      </c>
      <c r="C26" s="4" t="s">
        <v>109</v>
      </c>
      <c r="D26" s="4" t="s">
        <v>110</v>
      </c>
      <c r="E26" s="12">
        <v>420.07</v>
      </c>
      <c r="F26" s="34">
        <f t="shared" si="0"/>
        <v>42007</v>
      </c>
      <c r="G26" s="28">
        <f t="shared" si="1"/>
        <v>100</v>
      </c>
      <c r="H26" s="28">
        <f t="shared" si="2"/>
        <v>9</v>
      </c>
      <c r="I26" s="26">
        <f t="shared" si="3"/>
        <v>0</v>
      </c>
      <c r="J26" s="24">
        <f t="shared" si="4"/>
        <v>0</v>
      </c>
      <c r="K26" s="31">
        <f t="shared" si="5"/>
        <v>0</v>
      </c>
      <c r="L26" s="9">
        <v>0</v>
      </c>
      <c r="M26" s="9">
        <v>0</v>
      </c>
      <c r="N26" s="9">
        <v>0</v>
      </c>
      <c r="O26" s="9">
        <v>0</v>
      </c>
      <c r="P26" s="9">
        <v>50</v>
      </c>
      <c r="Q26" s="9">
        <v>50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E26" s="6">
        <v>0</v>
      </c>
      <c r="AF26" s="6">
        <v>0</v>
      </c>
      <c r="AG26" s="6">
        <v>0</v>
      </c>
      <c r="AH26" s="6">
        <v>0</v>
      </c>
      <c r="AI26" s="6">
        <v>21003.5</v>
      </c>
      <c r="AJ26" s="6">
        <v>21003.5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93" t="str">
        <f>IF('PFM NON-SELL (Draft Layers)'!AW168="X","X"," ")</f>
        <v xml:space="preserve"> </v>
      </c>
      <c r="AX26" s="76" t="str">
        <f>IF('PFM NON-SELL (Draft Layers)'!AX168="X","X"," ")</f>
        <v>X</v>
      </c>
      <c r="AY26" s="76" t="str">
        <f>IF('PFM NON-SELL (Draft Layers)'!AY168="X","X"," ")</f>
        <v xml:space="preserve"> </v>
      </c>
      <c r="AZ26" s="76" t="str">
        <f>IF('PFM NON-SELL (Draft Layers)'!AZ168="X","X"," ")</f>
        <v xml:space="preserve"> </v>
      </c>
      <c r="BA26" s="76" t="str">
        <f>IF('PFM NON-SELL (Draft Layers)'!BA168="X","X"," ")</f>
        <v xml:space="preserve"> </v>
      </c>
      <c r="BB26" s="76" t="str">
        <f>IF('PFM NON-SELL (Draft Layers)'!BB168="X","X"," ")</f>
        <v xml:space="preserve"> </v>
      </c>
      <c r="BC26" s="76" t="str">
        <f>IF('PFM NON-SELL (Draft Layers)'!BC168="X","X"," ")</f>
        <v xml:space="preserve"> </v>
      </c>
      <c r="BD26" s="76" t="str">
        <f>IF('PFM NON-SELL (Draft Layers)'!BD168="X","X"," ")</f>
        <v xml:space="preserve"> </v>
      </c>
      <c r="BE26" s="76" t="str">
        <f>IF('PFM NON-SELL (Draft Layers)'!BE168="X","X"," ")</f>
        <v xml:space="preserve"> </v>
      </c>
      <c r="BF26" s="76" t="str">
        <f>IF('PFM NON-SELL (Draft Layers)'!BF168="X","X"," ")</f>
        <v xml:space="preserve"> </v>
      </c>
      <c r="BG26" s="76"/>
      <c r="BH26" s="76"/>
      <c r="BI26" s="76" t="str">
        <f>IF('PFM NON-SELL (Draft Layers)'!BG168="X","X"," ")</f>
        <v xml:space="preserve"> </v>
      </c>
      <c r="BJ26" s="76" t="str">
        <f>IF('PFM NON-SELL (Draft Layers)'!BJ168="X","X"," ")</f>
        <v>X</v>
      </c>
      <c r="BK26" s="76" t="str">
        <f>IF('PFM NON-SELL (Draft Layers)'!BK168="X","X"," ")</f>
        <v xml:space="preserve"> </v>
      </c>
      <c r="BL26" s="76" t="str">
        <f>IF('PFM NON-SELL (Draft Layers)'!BM168="X","X"," ")</f>
        <v xml:space="preserve"> </v>
      </c>
      <c r="BM26" s="76" t="str">
        <f>IF('PFM NON-SELL (Draft Layers)'!BN168="X","X"," ")</f>
        <v xml:space="preserve"> </v>
      </c>
      <c r="BN26" s="76" t="str">
        <f>IF('PFM NON-SELL (Draft Layers)'!BO168="X","X"," ")</f>
        <v>X</v>
      </c>
      <c r="BO26" s="76" t="str">
        <f>IF('PFM NON-SELL (Draft Layers)'!BP168="X","X"," ")</f>
        <v>X</v>
      </c>
      <c r="BP26" s="76" t="str">
        <f>IF('PFM NON-SELL (Draft Layers)'!BQ168="X","X"," ")</f>
        <v xml:space="preserve"> </v>
      </c>
      <c r="BQ26" s="76" t="str">
        <f>IF('PFM NON-SELL (Draft Layers)'!BR168="X","X"," ")</f>
        <v xml:space="preserve"> </v>
      </c>
      <c r="BR26" s="76"/>
      <c r="BS26" s="76"/>
      <c r="BT26" s="76"/>
      <c r="BU26" s="76"/>
      <c r="BV26" s="76" t="str">
        <f>IF('PFM NON-SELL (Draft Layers)'!BW168="X","X"," ")</f>
        <v xml:space="preserve"> </v>
      </c>
      <c r="BW26" s="76"/>
      <c r="BX26" s="76" t="str">
        <f>IF('PFM NON-SELL (Draft Layers)'!BZ168="X","X"," ")</f>
        <v xml:space="preserve"> </v>
      </c>
      <c r="BY26" s="76" t="str">
        <f>IF('PFM NON-SELL (Draft Layers)'!CA168="X","X"," ")</f>
        <v xml:space="preserve"> </v>
      </c>
      <c r="BZ26" s="76" t="str">
        <f>IF('PFM NON-SELL (Draft Layers)'!CB168="X","X"," ")</f>
        <v xml:space="preserve"> </v>
      </c>
      <c r="CA26" s="76" t="str">
        <f>IF('PFM NON-SELL (Draft Layers)'!CC168="X","X"," ")</f>
        <v xml:space="preserve"> </v>
      </c>
      <c r="CB26" s="76" t="str">
        <f>IF('PFM NON-SELL (Draft Layers)'!CD168="X","X"," ")</f>
        <v xml:space="preserve"> </v>
      </c>
      <c r="CC26" s="76" t="str">
        <f>IF('PFM NON-SELL (Draft Layers)'!CE168="X","X"," ")</f>
        <v xml:space="preserve"> </v>
      </c>
      <c r="CD26" s="76" t="str">
        <f>IF('PFM NON-SELL (Draft Layers)'!CF168="X","X"," ")</f>
        <v xml:space="preserve"> </v>
      </c>
      <c r="CE26" s="76" t="str">
        <f>IF('PFM NON-SELL (Draft Layers)'!CG168="X","X"," ")</f>
        <v xml:space="preserve"> </v>
      </c>
      <c r="CF26" s="76" t="str">
        <f>IF('PFM NON-SELL (Draft Layers)'!CH168="X","X"," ")</f>
        <v>X</v>
      </c>
      <c r="CG26" s="76" t="str">
        <f>IF('PFM NON-SELL (Draft Layers)'!CI168="X","X"," ")</f>
        <v>X</v>
      </c>
      <c r="CH26" s="76" t="str">
        <f>IF('PFM NON-SELL (Draft Layers)'!CJ168="X","X"," ")</f>
        <v xml:space="preserve"> </v>
      </c>
      <c r="CI26" s="76"/>
      <c r="CJ26" s="76"/>
      <c r="CK26" s="76"/>
      <c r="CL26" s="76"/>
      <c r="CM26" s="76" t="str">
        <f>IF('PFM NON-SELL (Draft Layers)'!CV168="X","X"," ")</f>
        <v xml:space="preserve"> </v>
      </c>
      <c r="CN26" s="76" t="str">
        <f>IF('PFM NON-SELL (Draft Layers)'!CW168="X","X"," ")</f>
        <v>X</v>
      </c>
      <c r="CO26" s="76" t="str">
        <f>IF('PFM NON-SELL (Draft Layers)'!CX168="X","X"," ")</f>
        <v xml:space="preserve"> </v>
      </c>
      <c r="CP26" s="76" t="str">
        <f>IF('PFM NON-SELL (Draft Layers)'!CY168="X","X"," ")</f>
        <v xml:space="preserve"> </v>
      </c>
      <c r="CQ26" s="76" t="str">
        <f>IF('PFM NON-SELL (Draft Layers)'!CZ168="X","X"," ")</f>
        <v xml:space="preserve"> </v>
      </c>
      <c r="CR26" s="76" t="str">
        <f>IF('PFM NON-SELL (Draft Layers)'!DA168="X","X"," ")</f>
        <v xml:space="preserve"> </v>
      </c>
      <c r="CS26" s="76" t="str">
        <f>IF('PFM NON-SELL (Draft Layers)'!DB168="X","X"," ")</f>
        <v xml:space="preserve"> </v>
      </c>
      <c r="CT26" s="76" t="str">
        <f>IF('PFM NON-SELL (Draft Layers)'!DC168="X","X"," ")</f>
        <v xml:space="preserve"> </v>
      </c>
      <c r="CU26" s="76" t="str">
        <f>IF('PFM NON-SELL (Draft Layers)'!DD168="X","X"," ")</f>
        <v xml:space="preserve"> </v>
      </c>
      <c r="CV26" s="76" t="str">
        <f>IF('PFM NON-SELL (Draft Layers)'!DE168="X","X"," ")</f>
        <v xml:space="preserve"> </v>
      </c>
      <c r="CW26" s="76" t="str">
        <f>IF('PFM NON-SELL (Draft Layers)'!DF168="X","X"," ")</f>
        <v xml:space="preserve"> </v>
      </c>
      <c r="CX26" s="76" t="str">
        <f>IF('PFM NON-SELL (Draft Layers)'!DG168="X","X"," ")</f>
        <v>X</v>
      </c>
      <c r="CY26" s="76" t="str">
        <f>IF('PFM NON-SELL (Draft Layers)'!DH168="X","X"," ")</f>
        <v>X</v>
      </c>
      <c r="CZ26" s="76" t="str">
        <f>IF('PFM NON-SELL (Draft Layers)'!DI168="X","X"," ")</f>
        <v xml:space="preserve"> </v>
      </c>
      <c r="DA26" s="76" t="str">
        <f>IF('PFM NON-SELL (Draft Layers)'!DJ168="X","X"," ")</f>
        <v xml:space="preserve"> </v>
      </c>
      <c r="DB26" s="76" t="str">
        <f>IF('PFM NON-SELL (Draft Layers)'!DK168="X","X"," ")</f>
        <v xml:space="preserve"> </v>
      </c>
      <c r="DC26" s="76" t="str">
        <f>IF('PFM NON-SELL (Draft Layers)'!DL168="X","X"," ")</f>
        <v xml:space="preserve"> </v>
      </c>
      <c r="DD26" s="76" t="str">
        <f>IF('PFM NON-SELL (Draft Layers)'!DM168="X","X"," ")</f>
        <v xml:space="preserve"> </v>
      </c>
      <c r="DE26" s="76" t="str">
        <f>IF('PFM NON-SELL (Draft Layers)'!DN168="X","X"," ")</f>
        <v xml:space="preserve"> </v>
      </c>
      <c r="DF26" s="76" t="str">
        <f>IF('PFM NON-SELL (Draft Layers)'!DO168="X","X"," ")</f>
        <v xml:space="preserve"> </v>
      </c>
      <c r="DG26" s="76" t="str">
        <f>IF('PFM NON-SELL (Draft Layers)'!DP168="X","X"," ")</f>
        <v xml:space="preserve"> </v>
      </c>
      <c r="DH26" s="76" t="str">
        <f>IF('PFM NON-SELL (Draft Layers)'!DQ168="X","X"," ")</f>
        <v xml:space="preserve"> </v>
      </c>
      <c r="DI26" s="76" t="str">
        <f>IF('PFM NON-SELL (Draft Layers)'!DR168="X","X"," ")</f>
        <v xml:space="preserve"> </v>
      </c>
      <c r="DJ26" s="76" t="str">
        <f>IF('PFM NON-SELL (Draft Layers)'!DS168="X","X"," ")</f>
        <v xml:space="preserve"> </v>
      </c>
      <c r="DK26" s="76" t="str">
        <f>IF('PFM NON-SELL (Draft Layers)'!DT168="X","X"," ")</f>
        <v xml:space="preserve"> </v>
      </c>
      <c r="DL26" s="76" t="str">
        <f>IF('PFM NON-SELL (Draft Layers)'!DU168="X","X"," ")</f>
        <v xml:space="preserve"> </v>
      </c>
      <c r="DM26" s="76"/>
      <c r="DN26" s="95"/>
      <c r="DO26" s="90">
        <f t="shared" si="6"/>
        <v>9</v>
      </c>
      <c r="DP26" s="21"/>
      <c r="DQ26" s="21"/>
    </row>
    <row r="27" spans="1:121" x14ac:dyDescent="0.3">
      <c r="A27" s="4" t="s">
        <v>70</v>
      </c>
      <c r="B27" s="4" t="s">
        <v>70</v>
      </c>
      <c r="C27" s="4" t="s">
        <v>115</v>
      </c>
      <c r="D27" s="4" t="s">
        <v>116</v>
      </c>
      <c r="E27" s="12">
        <v>744.82</v>
      </c>
      <c r="F27" s="34">
        <f t="shared" si="0"/>
        <v>2234.46</v>
      </c>
      <c r="G27" s="28">
        <f t="shared" si="1"/>
        <v>3</v>
      </c>
      <c r="H27" s="28">
        <f t="shared" si="2"/>
        <v>1</v>
      </c>
      <c r="I27" s="26">
        <f t="shared" si="3"/>
        <v>0</v>
      </c>
      <c r="J27" s="24">
        <f t="shared" si="4"/>
        <v>0</v>
      </c>
      <c r="K27" s="31">
        <f t="shared" si="5"/>
        <v>0</v>
      </c>
      <c r="L27" s="9">
        <v>0</v>
      </c>
      <c r="M27" s="9">
        <v>3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E27" s="6">
        <v>0</v>
      </c>
      <c r="AF27" s="6">
        <v>2234.46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93" t="str">
        <f>IF('PFM NON-SELL (Draft Layers)'!AW173="X","X"," ")</f>
        <v xml:space="preserve"> </v>
      </c>
      <c r="AX27" s="76" t="str">
        <f>IF('PFM NON-SELL (Draft Layers)'!AX173="X","X"," ")</f>
        <v xml:space="preserve"> </v>
      </c>
      <c r="AY27" s="76" t="str">
        <f>IF('PFM NON-SELL (Draft Layers)'!AY173="X","X"," ")</f>
        <v>X</v>
      </c>
      <c r="AZ27" s="76" t="str">
        <f>IF('PFM NON-SELL (Draft Layers)'!AZ173="X","X"," ")</f>
        <v xml:space="preserve"> </v>
      </c>
      <c r="BA27" s="76" t="str">
        <f>IF('PFM NON-SELL (Draft Layers)'!BA173="X","X"," ")</f>
        <v xml:space="preserve"> </v>
      </c>
      <c r="BB27" s="76" t="str">
        <f>IF('PFM NON-SELL (Draft Layers)'!BB173="X","X"," ")</f>
        <v xml:space="preserve"> </v>
      </c>
      <c r="BC27" s="76" t="str">
        <f>IF('PFM NON-SELL (Draft Layers)'!BC173="X","X"," ")</f>
        <v xml:space="preserve"> </v>
      </c>
      <c r="BD27" s="76" t="str">
        <f>IF('PFM NON-SELL (Draft Layers)'!BD173="X","X"," ")</f>
        <v xml:space="preserve"> </v>
      </c>
      <c r="BE27" s="76" t="str">
        <f>IF('PFM NON-SELL (Draft Layers)'!BE173="X","X"," ")</f>
        <v xml:space="preserve"> </v>
      </c>
      <c r="BF27" s="76" t="str">
        <f>IF('PFM NON-SELL (Draft Layers)'!BF173="X","X"," ")</f>
        <v xml:space="preserve"> </v>
      </c>
      <c r="BG27" s="76"/>
      <c r="BH27" s="76"/>
      <c r="BI27" s="76" t="str">
        <f>IF('PFM NON-SELL (Draft Layers)'!BG173="X","X"," ")</f>
        <v xml:space="preserve"> </v>
      </c>
      <c r="BJ27" s="76" t="str">
        <f>IF('PFM NON-SELL (Draft Layers)'!BJ173="X","X"," ")</f>
        <v>X</v>
      </c>
      <c r="BK27" s="76" t="str">
        <f>IF('PFM NON-SELL (Draft Layers)'!BK173="X","X"," ")</f>
        <v xml:space="preserve"> </v>
      </c>
      <c r="BL27" s="76" t="str">
        <f>IF('PFM NON-SELL (Draft Layers)'!BM173="X","X"," ")</f>
        <v xml:space="preserve"> </v>
      </c>
      <c r="BM27" s="76" t="str">
        <f>IF('PFM NON-SELL (Draft Layers)'!BN173="X","X"," ")</f>
        <v xml:space="preserve"> </v>
      </c>
      <c r="BN27" s="76" t="str">
        <f>IF('PFM NON-SELL (Draft Layers)'!BO173="X","X"," ")</f>
        <v xml:space="preserve"> </v>
      </c>
      <c r="BO27" s="76" t="str">
        <f>IF('PFM NON-SELL (Draft Layers)'!BP173="X","X"," ")</f>
        <v>X</v>
      </c>
      <c r="BP27" s="76" t="str">
        <f>IF('PFM NON-SELL (Draft Layers)'!BQ173="X","X"," ")</f>
        <v xml:space="preserve"> </v>
      </c>
      <c r="BQ27" s="76" t="str">
        <f>IF('PFM NON-SELL (Draft Layers)'!BR173="X","X"," ")</f>
        <v xml:space="preserve"> </v>
      </c>
      <c r="BR27" s="76"/>
      <c r="BS27" s="76"/>
      <c r="BT27" s="76"/>
      <c r="BU27" s="76"/>
      <c r="BV27" s="76" t="str">
        <f>IF('PFM NON-SELL (Draft Layers)'!BW173="X","X"," ")</f>
        <v xml:space="preserve"> </v>
      </c>
      <c r="BW27" s="76"/>
      <c r="BX27" s="76" t="str">
        <f>IF('PFM NON-SELL (Draft Layers)'!BZ173="X","X"," ")</f>
        <v>X</v>
      </c>
      <c r="BY27" s="76" t="str">
        <f>IF('PFM NON-SELL (Draft Layers)'!CA173="X","X"," ")</f>
        <v xml:space="preserve"> </v>
      </c>
      <c r="BZ27" s="76" t="str">
        <f>IF('PFM NON-SELL (Draft Layers)'!CB173="X","X"," ")</f>
        <v xml:space="preserve"> </v>
      </c>
      <c r="CA27" s="76" t="str">
        <f>IF('PFM NON-SELL (Draft Layers)'!CC173="X","X"," ")</f>
        <v xml:space="preserve"> </v>
      </c>
      <c r="CB27" s="76" t="str">
        <f>IF('PFM NON-SELL (Draft Layers)'!CD173="X","X"," ")</f>
        <v>X</v>
      </c>
      <c r="CC27" s="76" t="str">
        <f>IF('PFM NON-SELL (Draft Layers)'!CE173="X","X"," ")</f>
        <v xml:space="preserve"> </v>
      </c>
      <c r="CD27" s="76" t="str">
        <f>IF('PFM NON-SELL (Draft Layers)'!CF173="X","X"," ")</f>
        <v xml:space="preserve"> </v>
      </c>
      <c r="CE27" s="76" t="str">
        <f>IF('PFM NON-SELL (Draft Layers)'!CG173="X","X"," ")</f>
        <v xml:space="preserve"> </v>
      </c>
      <c r="CF27" s="76" t="str">
        <f>IF('PFM NON-SELL (Draft Layers)'!CH173="X","X"," ")</f>
        <v>X</v>
      </c>
      <c r="CG27" s="76" t="str">
        <f>IF('PFM NON-SELL (Draft Layers)'!CI173="X","X"," ")</f>
        <v>X</v>
      </c>
      <c r="CH27" s="76" t="str">
        <f>IF('PFM NON-SELL (Draft Layers)'!CJ173="X","X"," ")</f>
        <v xml:space="preserve"> </v>
      </c>
      <c r="CI27" s="76"/>
      <c r="CJ27" s="76"/>
      <c r="CK27" s="76"/>
      <c r="CL27" s="76"/>
      <c r="CM27" s="76" t="str">
        <f>IF('PFM NON-SELL (Draft Layers)'!CV173="X","X"," ")</f>
        <v xml:space="preserve"> </v>
      </c>
      <c r="CN27" s="76" t="str">
        <f>IF('PFM NON-SELL (Draft Layers)'!CW173="X","X"," ")</f>
        <v xml:space="preserve"> </v>
      </c>
      <c r="CO27" s="76" t="str">
        <f>IF('PFM NON-SELL (Draft Layers)'!CX173="X","X"," ")</f>
        <v xml:space="preserve"> </v>
      </c>
      <c r="CP27" s="76" t="str">
        <f>IF('PFM NON-SELL (Draft Layers)'!CY173="X","X"," ")</f>
        <v xml:space="preserve"> </v>
      </c>
      <c r="CQ27" s="76" t="str">
        <f>IF('PFM NON-SELL (Draft Layers)'!CZ173="X","X"," ")</f>
        <v xml:space="preserve"> </v>
      </c>
      <c r="CR27" s="76" t="str">
        <f>IF('PFM NON-SELL (Draft Layers)'!DA173="X","X"," ")</f>
        <v xml:space="preserve"> </v>
      </c>
      <c r="CS27" s="76" t="str">
        <f>IF('PFM NON-SELL (Draft Layers)'!DB173="X","X"," ")</f>
        <v xml:space="preserve"> </v>
      </c>
      <c r="CT27" s="76" t="str">
        <f>IF('PFM NON-SELL (Draft Layers)'!DC173="X","X"," ")</f>
        <v xml:space="preserve"> </v>
      </c>
      <c r="CU27" s="76" t="str">
        <f>IF('PFM NON-SELL (Draft Layers)'!DD173="X","X"," ")</f>
        <v xml:space="preserve"> </v>
      </c>
      <c r="CV27" s="76" t="str">
        <f>IF('PFM NON-SELL (Draft Layers)'!DE173="X","X"," ")</f>
        <v xml:space="preserve"> </v>
      </c>
      <c r="CW27" s="76" t="str">
        <f>IF('PFM NON-SELL (Draft Layers)'!DF173="X","X"," ")</f>
        <v xml:space="preserve"> </v>
      </c>
      <c r="CX27" s="76" t="str">
        <f>IF('PFM NON-SELL (Draft Layers)'!DG173="X","X"," ")</f>
        <v>X</v>
      </c>
      <c r="CY27" s="76" t="str">
        <f>IF('PFM NON-SELL (Draft Layers)'!DH173="X","X"," ")</f>
        <v>X</v>
      </c>
      <c r="CZ27" s="76" t="str">
        <f>IF('PFM NON-SELL (Draft Layers)'!DI173="X","X"," ")</f>
        <v xml:space="preserve"> </v>
      </c>
      <c r="DA27" s="76" t="str">
        <f>IF('PFM NON-SELL (Draft Layers)'!DJ173="X","X"," ")</f>
        <v xml:space="preserve"> </v>
      </c>
      <c r="DB27" s="76" t="str">
        <f>IF('PFM NON-SELL (Draft Layers)'!DK173="X","X"," ")</f>
        <v xml:space="preserve"> </v>
      </c>
      <c r="DC27" s="76" t="str">
        <f>IF('PFM NON-SELL (Draft Layers)'!DL173="X","X"," ")</f>
        <v xml:space="preserve"> </v>
      </c>
      <c r="DD27" s="76" t="str">
        <f>IF('PFM NON-SELL (Draft Layers)'!DM173="X","X"," ")</f>
        <v xml:space="preserve"> </v>
      </c>
      <c r="DE27" s="76" t="str">
        <f>IF('PFM NON-SELL (Draft Layers)'!DN173="X","X"," ")</f>
        <v xml:space="preserve"> </v>
      </c>
      <c r="DF27" s="76" t="str">
        <f>IF('PFM NON-SELL (Draft Layers)'!DO173="X","X"," ")</f>
        <v xml:space="preserve"> </v>
      </c>
      <c r="DG27" s="76" t="str">
        <f>IF('PFM NON-SELL (Draft Layers)'!DP173="X","X"," ")</f>
        <v xml:space="preserve"> </v>
      </c>
      <c r="DH27" s="76" t="str">
        <f>IF('PFM NON-SELL (Draft Layers)'!DQ173="X","X"," ")</f>
        <v xml:space="preserve"> </v>
      </c>
      <c r="DI27" s="76" t="str">
        <f>IF('PFM NON-SELL (Draft Layers)'!DR173="X","X"," ")</f>
        <v xml:space="preserve"> </v>
      </c>
      <c r="DJ27" s="76" t="str">
        <f>IF('PFM NON-SELL (Draft Layers)'!DS173="X","X"," ")</f>
        <v xml:space="preserve"> </v>
      </c>
      <c r="DK27" s="76" t="str">
        <f>IF('PFM NON-SELL (Draft Layers)'!DT173="X","X"," ")</f>
        <v xml:space="preserve"> </v>
      </c>
      <c r="DL27" s="76" t="str">
        <f>IF('PFM NON-SELL (Draft Layers)'!DU173="X","X"," ")</f>
        <v xml:space="preserve"> </v>
      </c>
      <c r="DM27" s="76"/>
      <c r="DN27" s="95"/>
      <c r="DO27" s="90">
        <f t="shared" si="6"/>
        <v>9</v>
      </c>
      <c r="DP27" s="21"/>
      <c r="DQ27" s="21"/>
    </row>
    <row r="28" spans="1:121" x14ac:dyDescent="0.3">
      <c r="A28" s="4" t="s">
        <v>70</v>
      </c>
      <c r="B28" s="4" t="s">
        <v>70</v>
      </c>
      <c r="C28" s="4" t="s">
        <v>117</v>
      </c>
      <c r="D28" s="4" t="s">
        <v>116</v>
      </c>
      <c r="E28" s="12">
        <v>753.18</v>
      </c>
      <c r="F28" s="34">
        <f t="shared" si="0"/>
        <v>2259.54</v>
      </c>
      <c r="G28" s="28">
        <f t="shared" si="1"/>
        <v>3</v>
      </c>
      <c r="H28" s="28">
        <f t="shared" si="2"/>
        <v>1</v>
      </c>
      <c r="I28" s="26">
        <f t="shared" si="3"/>
        <v>0</v>
      </c>
      <c r="J28" s="24">
        <f t="shared" si="4"/>
        <v>0</v>
      </c>
      <c r="K28" s="31">
        <f t="shared" si="5"/>
        <v>0</v>
      </c>
      <c r="L28" s="9">
        <v>0</v>
      </c>
      <c r="M28" s="9">
        <v>3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E28" s="6">
        <v>0</v>
      </c>
      <c r="AF28" s="6">
        <v>2259.54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93" t="str">
        <f>IF('PFM NON-SELL (Draft Layers)'!AW178="X","X"," ")</f>
        <v xml:space="preserve"> </v>
      </c>
      <c r="AX28" s="76" t="str">
        <f>IF('PFM NON-SELL (Draft Layers)'!AX178="X","X"," ")</f>
        <v xml:space="preserve"> </v>
      </c>
      <c r="AY28" s="76" t="str">
        <f>IF('PFM NON-SELL (Draft Layers)'!AY178="X","X"," ")</f>
        <v>X</v>
      </c>
      <c r="AZ28" s="76" t="str">
        <f>IF('PFM NON-SELL (Draft Layers)'!AZ178="X","X"," ")</f>
        <v xml:space="preserve"> </v>
      </c>
      <c r="BA28" s="76" t="str">
        <f>IF('PFM NON-SELL (Draft Layers)'!BA178="X","X"," ")</f>
        <v xml:space="preserve"> </v>
      </c>
      <c r="BB28" s="76" t="str">
        <f>IF('PFM NON-SELL (Draft Layers)'!BB178="X","X"," ")</f>
        <v xml:space="preserve"> </v>
      </c>
      <c r="BC28" s="76" t="str">
        <f>IF('PFM NON-SELL (Draft Layers)'!BC178="X","X"," ")</f>
        <v xml:space="preserve"> </v>
      </c>
      <c r="BD28" s="76" t="str">
        <f>IF('PFM NON-SELL (Draft Layers)'!BD178="X","X"," ")</f>
        <v xml:space="preserve"> </v>
      </c>
      <c r="BE28" s="76" t="str">
        <f>IF('PFM NON-SELL (Draft Layers)'!BE178="X","X"," ")</f>
        <v xml:space="preserve"> </v>
      </c>
      <c r="BF28" s="76" t="str">
        <f>IF('PFM NON-SELL (Draft Layers)'!BF178="X","X"," ")</f>
        <v xml:space="preserve"> </v>
      </c>
      <c r="BG28" s="76"/>
      <c r="BH28" s="76"/>
      <c r="BI28" s="76" t="str">
        <f>IF('PFM NON-SELL (Draft Layers)'!BG178="X","X"," ")</f>
        <v xml:space="preserve"> </v>
      </c>
      <c r="BJ28" s="76" t="str">
        <f>IF('PFM NON-SELL (Draft Layers)'!BJ178="X","X"," ")</f>
        <v xml:space="preserve"> </v>
      </c>
      <c r="BK28" s="76" t="str">
        <f>IF('PFM NON-SELL (Draft Layers)'!BK178="X","X"," ")</f>
        <v xml:space="preserve"> </v>
      </c>
      <c r="BL28" s="76" t="str">
        <f>IF('PFM NON-SELL (Draft Layers)'!BM178="X","X"," ")</f>
        <v xml:space="preserve"> </v>
      </c>
      <c r="BM28" s="76" t="str">
        <f>IF('PFM NON-SELL (Draft Layers)'!BN178="X","X"," ")</f>
        <v xml:space="preserve"> </v>
      </c>
      <c r="BN28" s="76" t="str">
        <f>IF('PFM NON-SELL (Draft Layers)'!BO178="X","X"," ")</f>
        <v>X</v>
      </c>
      <c r="BO28" s="76" t="str">
        <f>IF('PFM NON-SELL (Draft Layers)'!BP178="X","X"," ")</f>
        <v>X</v>
      </c>
      <c r="BP28" s="76" t="str">
        <f>IF('PFM NON-SELL (Draft Layers)'!BQ178="X","X"," ")</f>
        <v xml:space="preserve"> </v>
      </c>
      <c r="BQ28" s="76" t="str">
        <f>IF('PFM NON-SELL (Draft Layers)'!BR178="X","X"," ")</f>
        <v xml:space="preserve"> </v>
      </c>
      <c r="BR28" s="76"/>
      <c r="BS28" s="76"/>
      <c r="BT28" s="76"/>
      <c r="BU28" s="76"/>
      <c r="BV28" s="76" t="str">
        <f>IF('PFM NON-SELL (Draft Layers)'!BW178="X","X"," ")</f>
        <v xml:space="preserve"> </v>
      </c>
      <c r="BW28" s="76"/>
      <c r="BX28" s="76" t="str">
        <f>IF('PFM NON-SELL (Draft Layers)'!BZ178="X","X"," ")</f>
        <v xml:space="preserve"> </v>
      </c>
      <c r="BY28" s="76" t="str">
        <f>IF('PFM NON-SELL (Draft Layers)'!CA178="X","X"," ")</f>
        <v xml:space="preserve"> </v>
      </c>
      <c r="BZ28" s="76" t="str">
        <f>IF('PFM NON-SELL (Draft Layers)'!CB178="X","X"," ")</f>
        <v xml:space="preserve"> </v>
      </c>
      <c r="CA28" s="76" t="str">
        <f>IF('PFM NON-SELL (Draft Layers)'!CC178="X","X"," ")</f>
        <v xml:space="preserve"> </v>
      </c>
      <c r="CB28" s="76" t="str">
        <f>IF('PFM NON-SELL (Draft Layers)'!CD178="X","X"," ")</f>
        <v>X</v>
      </c>
      <c r="CC28" s="76" t="str">
        <f>IF('PFM NON-SELL (Draft Layers)'!CE178="X","X"," ")</f>
        <v xml:space="preserve"> </v>
      </c>
      <c r="CD28" s="76" t="str">
        <f>IF('PFM NON-SELL (Draft Layers)'!CF178="X","X"," ")</f>
        <v xml:space="preserve"> </v>
      </c>
      <c r="CE28" s="76" t="str">
        <f>IF('PFM NON-SELL (Draft Layers)'!CG178="X","X"," ")</f>
        <v xml:space="preserve"> </v>
      </c>
      <c r="CF28" s="76" t="str">
        <f>IF('PFM NON-SELL (Draft Layers)'!CH178="X","X"," ")</f>
        <v>X</v>
      </c>
      <c r="CG28" s="76" t="str">
        <f>IF('PFM NON-SELL (Draft Layers)'!CI178="X","X"," ")</f>
        <v>X</v>
      </c>
      <c r="CH28" s="76" t="str">
        <f>IF('PFM NON-SELL (Draft Layers)'!CJ178="X","X"," ")</f>
        <v xml:space="preserve"> </v>
      </c>
      <c r="CI28" s="76"/>
      <c r="CJ28" s="76"/>
      <c r="CK28" s="76"/>
      <c r="CL28" s="76"/>
      <c r="CM28" s="76" t="str">
        <f>IF('PFM NON-SELL (Draft Layers)'!CV178="X","X"," ")</f>
        <v xml:space="preserve"> </v>
      </c>
      <c r="CN28" s="76" t="str">
        <f>IF('PFM NON-SELL (Draft Layers)'!CW178="X","X"," ")</f>
        <v xml:space="preserve"> </v>
      </c>
      <c r="CO28" s="76" t="str">
        <f>IF('PFM NON-SELL (Draft Layers)'!CX178="X","X"," ")</f>
        <v xml:space="preserve"> </v>
      </c>
      <c r="CP28" s="76" t="str">
        <f>IF('PFM NON-SELL (Draft Layers)'!CY178="X","X"," ")</f>
        <v xml:space="preserve"> </v>
      </c>
      <c r="CQ28" s="76" t="str">
        <f>IF('PFM NON-SELL (Draft Layers)'!CZ178="X","X"," ")</f>
        <v xml:space="preserve"> </v>
      </c>
      <c r="CR28" s="76" t="str">
        <f>IF('PFM NON-SELL (Draft Layers)'!DA178="X","X"," ")</f>
        <v xml:space="preserve"> </v>
      </c>
      <c r="CS28" s="76" t="str">
        <f>IF('PFM NON-SELL (Draft Layers)'!DB178="X","X"," ")</f>
        <v xml:space="preserve"> </v>
      </c>
      <c r="CT28" s="76" t="str">
        <f>IF('PFM NON-SELL (Draft Layers)'!DC178="X","X"," ")</f>
        <v xml:space="preserve"> </v>
      </c>
      <c r="CU28" s="76" t="str">
        <f>IF('PFM NON-SELL (Draft Layers)'!DD178="X","X"," ")</f>
        <v xml:space="preserve"> </v>
      </c>
      <c r="CV28" s="76" t="str">
        <f>IF('PFM NON-SELL (Draft Layers)'!DE178="X","X"," ")</f>
        <v xml:space="preserve"> </v>
      </c>
      <c r="CW28" s="76" t="str">
        <f>IF('PFM NON-SELL (Draft Layers)'!DF178="X","X"," ")</f>
        <v xml:space="preserve"> </v>
      </c>
      <c r="CX28" s="76" t="str">
        <f>IF('PFM NON-SELL (Draft Layers)'!DG178="X","X"," ")</f>
        <v>X</v>
      </c>
      <c r="CY28" s="76" t="str">
        <f>IF('PFM NON-SELL (Draft Layers)'!DH178="X","X"," ")</f>
        <v>X</v>
      </c>
      <c r="CZ28" s="76" t="str">
        <f>IF('PFM NON-SELL (Draft Layers)'!DI178="X","X"," ")</f>
        <v xml:space="preserve"> </v>
      </c>
      <c r="DA28" s="76" t="str">
        <f>IF('PFM NON-SELL (Draft Layers)'!DJ178="X","X"," ")</f>
        <v xml:space="preserve"> </v>
      </c>
      <c r="DB28" s="76" t="str">
        <f>IF('PFM NON-SELL (Draft Layers)'!DK178="X","X"," ")</f>
        <v xml:space="preserve"> </v>
      </c>
      <c r="DC28" s="76" t="str">
        <f>IF('PFM NON-SELL (Draft Layers)'!DL178="X","X"," ")</f>
        <v xml:space="preserve"> </v>
      </c>
      <c r="DD28" s="76" t="str">
        <f>IF('PFM NON-SELL (Draft Layers)'!DM178="X","X"," ")</f>
        <v xml:space="preserve"> </v>
      </c>
      <c r="DE28" s="76" t="str">
        <f>IF('PFM NON-SELL (Draft Layers)'!DN178="X","X"," ")</f>
        <v xml:space="preserve"> </v>
      </c>
      <c r="DF28" s="76" t="str">
        <f>IF('PFM NON-SELL (Draft Layers)'!DO178="X","X"," ")</f>
        <v xml:space="preserve"> </v>
      </c>
      <c r="DG28" s="76" t="str">
        <f>IF('PFM NON-SELL (Draft Layers)'!DP178="X","X"," ")</f>
        <v xml:space="preserve"> </v>
      </c>
      <c r="DH28" s="76" t="str">
        <f>IF('PFM NON-SELL (Draft Layers)'!DQ178="X","X"," ")</f>
        <v xml:space="preserve"> </v>
      </c>
      <c r="DI28" s="76" t="str">
        <f>IF('PFM NON-SELL (Draft Layers)'!DR178="X","X"," ")</f>
        <v xml:space="preserve"> </v>
      </c>
      <c r="DJ28" s="76" t="str">
        <f>IF('PFM NON-SELL (Draft Layers)'!DS178="X","X"," ")</f>
        <v xml:space="preserve"> </v>
      </c>
      <c r="DK28" s="76" t="str">
        <f>IF('PFM NON-SELL (Draft Layers)'!DT178="X","X"," ")</f>
        <v xml:space="preserve"> </v>
      </c>
      <c r="DL28" s="76" t="str">
        <f>IF('PFM NON-SELL (Draft Layers)'!DU178="X","X"," ")</f>
        <v xml:space="preserve"> </v>
      </c>
      <c r="DM28" s="76"/>
      <c r="DN28" s="95"/>
      <c r="DO28" s="90">
        <f t="shared" si="6"/>
        <v>8</v>
      </c>
      <c r="DP28" s="21"/>
      <c r="DQ28" s="21"/>
    </row>
    <row r="29" spans="1:121" x14ac:dyDescent="0.3">
      <c r="A29" s="4" t="s">
        <v>70</v>
      </c>
      <c r="B29" s="4" t="s">
        <v>118</v>
      </c>
      <c r="C29" s="4" t="s">
        <v>119</v>
      </c>
      <c r="D29" s="4" t="s">
        <v>102</v>
      </c>
      <c r="E29" s="12">
        <v>4.07</v>
      </c>
      <c r="F29" s="34">
        <f t="shared" si="0"/>
        <v>1005.2900000000001</v>
      </c>
      <c r="G29" s="28">
        <f t="shared" si="1"/>
        <v>247</v>
      </c>
      <c r="H29" s="28">
        <f t="shared" si="2"/>
        <v>21</v>
      </c>
      <c r="I29" s="26">
        <f t="shared" si="3"/>
        <v>0</v>
      </c>
      <c r="J29" s="24">
        <f t="shared" si="4"/>
        <v>0</v>
      </c>
      <c r="K29" s="31">
        <f t="shared" si="5"/>
        <v>0</v>
      </c>
      <c r="L29" s="9">
        <v>3</v>
      </c>
      <c r="M29" s="9">
        <v>247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E29" s="6">
        <v>12.21</v>
      </c>
      <c r="AF29" s="6">
        <v>1005.2900000000001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93" t="str">
        <f>IF('PFM NON-SELL (Draft Layers)'!AW181="X","X"," ")</f>
        <v xml:space="preserve"> </v>
      </c>
      <c r="AX29" s="76" t="str">
        <f>IF('PFM NON-SELL (Draft Layers)'!AX181="X","X"," ")</f>
        <v xml:space="preserve"> </v>
      </c>
      <c r="AY29" s="76" t="str">
        <f>IF('PFM NON-SELL (Draft Layers)'!AY181="X","X"," ")</f>
        <v>X</v>
      </c>
      <c r="AZ29" s="76" t="str">
        <f>IF('PFM NON-SELL (Draft Layers)'!AZ181="X","X"," ")</f>
        <v xml:space="preserve"> </v>
      </c>
      <c r="BA29" s="76" t="str">
        <f>IF('PFM NON-SELL (Draft Layers)'!BA181="X","X"," ")</f>
        <v xml:space="preserve"> </v>
      </c>
      <c r="BB29" s="76" t="str">
        <f>IF('PFM NON-SELL (Draft Layers)'!BB181="X","X"," ")</f>
        <v xml:space="preserve"> </v>
      </c>
      <c r="BC29" s="76" t="str">
        <f>IF('PFM NON-SELL (Draft Layers)'!BC181="X","X"," ")</f>
        <v xml:space="preserve"> </v>
      </c>
      <c r="BD29" s="76" t="str">
        <f>IF('PFM NON-SELL (Draft Layers)'!BD181="X","X"," ")</f>
        <v xml:space="preserve"> </v>
      </c>
      <c r="BE29" s="76" t="str">
        <f>IF('PFM NON-SELL (Draft Layers)'!BE181="X","X"," ")</f>
        <v xml:space="preserve"> </v>
      </c>
      <c r="BF29" s="76" t="str">
        <f>IF('PFM NON-SELL (Draft Layers)'!BF181="X","X"," ")</f>
        <v xml:space="preserve"> </v>
      </c>
      <c r="BG29" s="76"/>
      <c r="BH29" s="76"/>
      <c r="BI29" s="76" t="str">
        <f>IF('PFM NON-SELL (Draft Layers)'!BG181="X","X"," ")</f>
        <v xml:space="preserve"> </v>
      </c>
      <c r="BJ29" s="76" t="str">
        <f>IF('PFM NON-SELL (Draft Layers)'!BJ181="X","X"," ")</f>
        <v xml:space="preserve"> </v>
      </c>
      <c r="BK29" s="76" t="str">
        <f>IF('PFM NON-SELL (Draft Layers)'!BK181="X","X"," ")</f>
        <v xml:space="preserve"> </v>
      </c>
      <c r="BL29" s="76" t="str">
        <f>IF('PFM NON-SELL (Draft Layers)'!BM181="X","X"," ")</f>
        <v xml:space="preserve"> </v>
      </c>
      <c r="BM29" s="76" t="str">
        <f>IF('PFM NON-SELL (Draft Layers)'!BN181="X","X"," ")</f>
        <v xml:space="preserve"> </v>
      </c>
      <c r="BN29" s="76" t="str">
        <f>IF('PFM NON-SELL (Draft Layers)'!BO181="X","X"," ")</f>
        <v xml:space="preserve"> </v>
      </c>
      <c r="BO29" s="76" t="str">
        <f>IF('PFM NON-SELL (Draft Layers)'!BP181="X","X"," ")</f>
        <v>X</v>
      </c>
      <c r="BP29" s="76" t="str">
        <f>IF('PFM NON-SELL (Draft Layers)'!BQ181="X","X"," ")</f>
        <v xml:space="preserve"> </v>
      </c>
      <c r="BQ29" s="76" t="str">
        <f>IF('PFM NON-SELL (Draft Layers)'!BR181="X","X"," ")</f>
        <v xml:space="preserve"> </v>
      </c>
      <c r="BR29" s="76"/>
      <c r="BS29" s="76"/>
      <c r="BT29" s="76"/>
      <c r="BU29" s="76"/>
      <c r="BV29" s="76" t="str">
        <f>IF('PFM NON-SELL (Draft Layers)'!BW181="X","X"," ")</f>
        <v xml:space="preserve"> </v>
      </c>
      <c r="BW29" s="76"/>
      <c r="BX29" s="76" t="str">
        <f>IF('PFM NON-SELL (Draft Layers)'!BZ181="X","X"," ")</f>
        <v xml:space="preserve"> </v>
      </c>
      <c r="BY29" s="76" t="str">
        <f>IF('PFM NON-SELL (Draft Layers)'!CA181="X","X"," ")</f>
        <v xml:space="preserve"> </v>
      </c>
      <c r="BZ29" s="76" t="str">
        <f>IF('PFM NON-SELL (Draft Layers)'!CB181="X","X"," ")</f>
        <v xml:space="preserve"> </v>
      </c>
      <c r="CA29" s="76" t="str">
        <f>IF('PFM NON-SELL (Draft Layers)'!CC181="X","X"," ")</f>
        <v xml:space="preserve"> </v>
      </c>
      <c r="CB29" s="76" t="str">
        <f>IF('PFM NON-SELL (Draft Layers)'!CD181="X","X"," ")</f>
        <v xml:space="preserve"> </v>
      </c>
      <c r="CC29" s="76" t="str">
        <f>IF('PFM NON-SELL (Draft Layers)'!CE181="X","X"," ")</f>
        <v xml:space="preserve"> </v>
      </c>
      <c r="CD29" s="76" t="str">
        <f>IF('PFM NON-SELL (Draft Layers)'!CF181="X","X"," ")</f>
        <v xml:space="preserve"> </v>
      </c>
      <c r="CE29" s="76" t="str">
        <f>IF('PFM NON-SELL (Draft Layers)'!CG181="X","X"," ")</f>
        <v xml:space="preserve"> </v>
      </c>
      <c r="CF29" s="76" t="str">
        <f>IF('PFM NON-SELL (Draft Layers)'!CH181="X","X"," ")</f>
        <v>X</v>
      </c>
      <c r="CG29" s="76" t="str">
        <f>IF('PFM NON-SELL (Draft Layers)'!CI181="X","X"," ")</f>
        <v>X</v>
      </c>
      <c r="CH29" s="76" t="str">
        <f>IF('PFM NON-SELL (Draft Layers)'!CJ181="X","X"," ")</f>
        <v xml:space="preserve"> </v>
      </c>
      <c r="CI29" s="76"/>
      <c r="CJ29" s="76"/>
      <c r="CK29" s="76"/>
      <c r="CL29" s="76"/>
      <c r="CM29" s="76" t="str">
        <f>IF('PFM NON-SELL (Draft Layers)'!CV181="X","X"," ")</f>
        <v xml:space="preserve"> </v>
      </c>
      <c r="CN29" s="76" t="str">
        <f>IF('PFM NON-SELL (Draft Layers)'!CW181="X","X"," ")</f>
        <v xml:space="preserve"> </v>
      </c>
      <c r="CO29" s="76" t="str">
        <f>IF('PFM NON-SELL (Draft Layers)'!CX181="X","X"," ")</f>
        <v xml:space="preserve"> </v>
      </c>
      <c r="CP29" s="76" t="str">
        <f>IF('PFM NON-SELL (Draft Layers)'!CY181="X","X"," ")</f>
        <v xml:space="preserve"> </v>
      </c>
      <c r="CQ29" s="76" t="str">
        <f>IF('PFM NON-SELL (Draft Layers)'!CZ181="X","X"," ")</f>
        <v xml:space="preserve"> </v>
      </c>
      <c r="CR29" s="76" t="str">
        <f>IF('PFM NON-SELL (Draft Layers)'!DA181="X","X"," ")</f>
        <v xml:space="preserve"> </v>
      </c>
      <c r="CS29" s="76" t="str">
        <f>IF('PFM NON-SELL (Draft Layers)'!DB181="X","X"," ")</f>
        <v xml:space="preserve"> </v>
      </c>
      <c r="CT29" s="76" t="str">
        <f>IF('PFM NON-SELL (Draft Layers)'!DC181="X","X"," ")</f>
        <v xml:space="preserve"> </v>
      </c>
      <c r="CU29" s="76" t="str">
        <f>IF('PFM NON-SELL (Draft Layers)'!DD181="X","X"," ")</f>
        <v xml:space="preserve"> </v>
      </c>
      <c r="CV29" s="76" t="str">
        <f>IF('PFM NON-SELL (Draft Layers)'!DE181="X","X"," ")</f>
        <v xml:space="preserve"> </v>
      </c>
      <c r="CW29" s="76" t="str">
        <f>IF('PFM NON-SELL (Draft Layers)'!DF181="X","X"," ")</f>
        <v xml:space="preserve"> </v>
      </c>
      <c r="CX29" s="76" t="str">
        <f>IF('PFM NON-SELL (Draft Layers)'!DG181="X","X"," ")</f>
        <v>X</v>
      </c>
      <c r="CY29" s="76" t="str">
        <f>IF('PFM NON-SELL (Draft Layers)'!DH181="X","X"," ")</f>
        <v>X</v>
      </c>
      <c r="CZ29" s="76" t="str">
        <f>IF('PFM NON-SELL (Draft Layers)'!DI181="X","X"," ")</f>
        <v xml:space="preserve"> </v>
      </c>
      <c r="DA29" s="76" t="str">
        <f>IF('PFM NON-SELL (Draft Layers)'!DJ181="X","X"," ")</f>
        <v xml:space="preserve"> </v>
      </c>
      <c r="DB29" s="76" t="str">
        <f>IF('PFM NON-SELL (Draft Layers)'!DK181="X","X"," ")</f>
        <v xml:space="preserve"> </v>
      </c>
      <c r="DC29" s="76" t="str">
        <f>IF('PFM NON-SELL (Draft Layers)'!DL181="X","X"," ")</f>
        <v xml:space="preserve"> </v>
      </c>
      <c r="DD29" s="76" t="str">
        <f>IF('PFM NON-SELL (Draft Layers)'!DM181="X","X"," ")</f>
        <v xml:space="preserve"> </v>
      </c>
      <c r="DE29" s="76" t="str">
        <f>IF('PFM NON-SELL (Draft Layers)'!DN181="X","X"," ")</f>
        <v xml:space="preserve"> </v>
      </c>
      <c r="DF29" s="76" t="str">
        <f>IF('PFM NON-SELL (Draft Layers)'!DO181="X","X"," ")</f>
        <v xml:space="preserve"> </v>
      </c>
      <c r="DG29" s="76" t="str">
        <f>IF('PFM NON-SELL (Draft Layers)'!DP181="X","X"," ")</f>
        <v xml:space="preserve"> </v>
      </c>
      <c r="DH29" s="76" t="str">
        <f>IF('PFM NON-SELL (Draft Layers)'!DQ181="X","X"," ")</f>
        <v xml:space="preserve"> </v>
      </c>
      <c r="DI29" s="76" t="str">
        <f>IF('PFM NON-SELL (Draft Layers)'!DR181="X","X"," ")</f>
        <v xml:space="preserve"> </v>
      </c>
      <c r="DJ29" s="76" t="str">
        <f>IF('PFM NON-SELL (Draft Layers)'!DS181="X","X"," ")</f>
        <v xml:space="preserve"> </v>
      </c>
      <c r="DK29" s="76" t="str">
        <f>IF('PFM NON-SELL (Draft Layers)'!DT181="X","X"," ")</f>
        <v xml:space="preserve"> </v>
      </c>
      <c r="DL29" s="76" t="str">
        <f>IF('PFM NON-SELL (Draft Layers)'!DU181="X","X"," ")</f>
        <v xml:space="preserve"> </v>
      </c>
      <c r="DM29" s="76"/>
      <c r="DN29" s="95"/>
      <c r="DO29" s="90">
        <f t="shared" si="6"/>
        <v>6</v>
      </c>
      <c r="DP29" s="21"/>
      <c r="DQ29" s="21"/>
    </row>
    <row r="30" spans="1:121" x14ac:dyDescent="0.3">
      <c r="A30" s="4" t="s">
        <v>126</v>
      </c>
      <c r="B30" s="4" t="s">
        <v>127</v>
      </c>
      <c r="C30" s="4" t="s">
        <v>128</v>
      </c>
      <c r="D30" s="4" t="s">
        <v>129</v>
      </c>
      <c r="E30" s="12">
        <v>69.56</v>
      </c>
      <c r="F30" s="34">
        <f t="shared" si="0"/>
        <v>66012.44</v>
      </c>
      <c r="G30" s="28">
        <f t="shared" si="1"/>
        <v>949</v>
      </c>
      <c r="H30" s="28">
        <f t="shared" si="2"/>
        <v>80</v>
      </c>
      <c r="I30" s="26">
        <f t="shared" si="3"/>
        <v>0</v>
      </c>
      <c r="J30" s="24">
        <f t="shared" si="4"/>
        <v>0</v>
      </c>
      <c r="K30" s="31">
        <f t="shared" si="5"/>
        <v>0</v>
      </c>
      <c r="L30" s="9">
        <v>0</v>
      </c>
      <c r="M30" s="9">
        <v>476</v>
      </c>
      <c r="N30" s="9">
        <v>473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E30" s="6">
        <v>0</v>
      </c>
      <c r="AF30" s="6">
        <v>24856.720000000001</v>
      </c>
      <c r="AG30" s="6">
        <v>24700.059999999998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93" t="str">
        <f>IF('PFM NON-SELL (Draft Layers)'!AW182="X","X"," ")</f>
        <v>X</v>
      </c>
      <c r="AX30" s="76" t="str">
        <f>IF('PFM NON-SELL (Draft Layers)'!AX182="X","X"," ")</f>
        <v>X</v>
      </c>
      <c r="AY30" s="76" t="str">
        <f>IF('PFM NON-SELL (Draft Layers)'!AY182="X","X"," ")</f>
        <v xml:space="preserve"> </v>
      </c>
      <c r="AZ30" s="76" t="str">
        <f>IF('PFM NON-SELL (Draft Layers)'!AZ182="X","X"," ")</f>
        <v xml:space="preserve"> </v>
      </c>
      <c r="BA30" s="76" t="str">
        <f>IF('PFM NON-SELL (Draft Layers)'!BA182="X","X"," ")</f>
        <v xml:space="preserve"> </v>
      </c>
      <c r="BB30" s="76" t="str">
        <f>IF('PFM NON-SELL (Draft Layers)'!BB182="X","X"," ")</f>
        <v xml:space="preserve"> </v>
      </c>
      <c r="BC30" s="76" t="str">
        <f>IF('PFM NON-SELL (Draft Layers)'!BC182="X","X"," ")</f>
        <v xml:space="preserve"> </v>
      </c>
      <c r="BD30" s="76" t="str">
        <f>IF('PFM NON-SELL (Draft Layers)'!BD182="X","X"," ")</f>
        <v xml:space="preserve"> </v>
      </c>
      <c r="BE30" s="76" t="str">
        <f>IF('PFM NON-SELL (Draft Layers)'!BE182="X","X"," ")</f>
        <v xml:space="preserve"> </v>
      </c>
      <c r="BF30" s="76" t="str">
        <f>IF('PFM NON-SELL (Draft Layers)'!BF182="X","X"," ")</f>
        <v xml:space="preserve"> </v>
      </c>
      <c r="BG30" s="76"/>
      <c r="BH30" s="76"/>
      <c r="BI30" s="76" t="str">
        <f>IF('PFM NON-SELL (Draft Layers)'!BG182="X","X"," ")</f>
        <v xml:space="preserve"> </v>
      </c>
      <c r="BJ30" s="76" t="str">
        <f>IF('PFM NON-SELL (Draft Layers)'!BJ182="X","X"," ")</f>
        <v xml:space="preserve"> </v>
      </c>
      <c r="BK30" s="76" t="str">
        <f>IF('PFM NON-SELL (Draft Layers)'!BK182="X","X"," ")</f>
        <v xml:space="preserve"> </v>
      </c>
      <c r="BL30" s="76" t="str">
        <f>IF('PFM NON-SELL (Draft Layers)'!BM182="X","X"," ")</f>
        <v xml:space="preserve"> </v>
      </c>
      <c r="BM30" s="76" t="str">
        <f>IF('PFM NON-SELL (Draft Layers)'!BN182="X","X"," ")</f>
        <v xml:space="preserve"> </v>
      </c>
      <c r="BN30" s="76" t="str">
        <f>IF('PFM NON-SELL (Draft Layers)'!BO182="X","X"," ")</f>
        <v>X</v>
      </c>
      <c r="BO30" s="76" t="str">
        <f>IF('PFM NON-SELL (Draft Layers)'!BP182="X","X"," ")</f>
        <v>X</v>
      </c>
      <c r="BP30" s="76" t="str">
        <f>IF('PFM NON-SELL (Draft Layers)'!BQ182="X","X"," ")</f>
        <v xml:space="preserve"> </v>
      </c>
      <c r="BQ30" s="76" t="str">
        <f>IF('PFM NON-SELL (Draft Layers)'!BR182="X","X"," ")</f>
        <v xml:space="preserve"> </v>
      </c>
      <c r="BR30" s="76"/>
      <c r="BS30" s="76"/>
      <c r="BT30" s="76"/>
      <c r="BU30" s="76"/>
      <c r="BV30" s="76" t="str">
        <f>IF('PFM NON-SELL (Draft Layers)'!BW182="X","X"," ")</f>
        <v xml:space="preserve"> </v>
      </c>
      <c r="BW30" s="76"/>
      <c r="BX30" s="76" t="str">
        <f>IF('PFM NON-SELL (Draft Layers)'!BZ182="X","X"," ")</f>
        <v xml:space="preserve"> </v>
      </c>
      <c r="BY30" s="76" t="str">
        <f>IF('PFM NON-SELL (Draft Layers)'!CA182="X","X"," ")</f>
        <v xml:space="preserve"> </v>
      </c>
      <c r="BZ30" s="76" t="str">
        <f>IF('PFM NON-SELL (Draft Layers)'!CB182="X","X"," ")</f>
        <v xml:space="preserve"> </v>
      </c>
      <c r="CA30" s="76" t="str">
        <f>IF('PFM NON-SELL (Draft Layers)'!CC182="X","X"," ")</f>
        <v xml:space="preserve"> </v>
      </c>
      <c r="CB30" s="76" t="str">
        <f>IF('PFM NON-SELL (Draft Layers)'!CD182="X","X"," ")</f>
        <v xml:space="preserve"> </v>
      </c>
      <c r="CC30" s="76" t="str">
        <f>IF('PFM NON-SELL (Draft Layers)'!CE182="X","X"," ")</f>
        <v xml:space="preserve"> </v>
      </c>
      <c r="CD30" s="76" t="str">
        <f>IF('PFM NON-SELL (Draft Layers)'!CF182="X","X"," ")</f>
        <v xml:space="preserve"> </v>
      </c>
      <c r="CE30" s="76" t="str">
        <f>IF('PFM NON-SELL (Draft Layers)'!CG182="X","X"," ")</f>
        <v xml:space="preserve"> </v>
      </c>
      <c r="CF30" s="76" t="str">
        <f>IF('PFM NON-SELL (Draft Layers)'!CH182="X","X"," ")</f>
        <v xml:space="preserve"> </v>
      </c>
      <c r="CG30" s="76" t="str">
        <f>IF('PFM NON-SELL (Draft Layers)'!CI182="X","X"," ")</f>
        <v xml:space="preserve"> </v>
      </c>
      <c r="CH30" s="76" t="str">
        <f>IF('PFM NON-SELL (Draft Layers)'!CJ182="X","X"," ")</f>
        <v xml:space="preserve"> </v>
      </c>
      <c r="CI30" s="76"/>
      <c r="CJ30" s="76"/>
      <c r="CK30" s="76"/>
      <c r="CL30" s="76"/>
      <c r="CM30" s="76" t="str">
        <f>IF('PFM NON-SELL (Draft Layers)'!CV182="X","X"," ")</f>
        <v xml:space="preserve"> </v>
      </c>
      <c r="CN30" s="76" t="str">
        <f>IF('PFM NON-SELL (Draft Layers)'!CW182="X","X"," ")</f>
        <v xml:space="preserve"> </v>
      </c>
      <c r="CO30" s="76" t="str">
        <f>IF('PFM NON-SELL (Draft Layers)'!CX182="X","X"," ")</f>
        <v xml:space="preserve"> </v>
      </c>
      <c r="CP30" s="76" t="str">
        <f>IF('PFM NON-SELL (Draft Layers)'!CY182="X","X"," ")</f>
        <v xml:space="preserve"> </v>
      </c>
      <c r="CQ30" s="76" t="str">
        <f>IF('PFM NON-SELL (Draft Layers)'!CZ182="X","X"," ")</f>
        <v>X</v>
      </c>
      <c r="CR30" s="76" t="str">
        <f>IF('PFM NON-SELL (Draft Layers)'!DA182="X","X"," ")</f>
        <v xml:space="preserve"> </v>
      </c>
      <c r="CS30" s="76" t="str">
        <f>IF('PFM NON-SELL (Draft Layers)'!DB182="X","X"," ")</f>
        <v xml:space="preserve"> </v>
      </c>
      <c r="CT30" s="76" t="str">
        <f>IF('PFM NON-SELL (Draft Layers)'!DC182="X","X"," ")</f>
        <v xml:space="preserve"> </v>
      </c>
      <c r="CU30" s="76" t="str">
        <f>IF('PFM NON-SELL (Draft Layers)'!DD182="X","X"," ")</f>
        <v xml:space="preserve"> </v>
      </c>
      <c r="CV30" s="76" t="str">
        <f>IF('PFM NON-SELL (Draft Layers)'!DE182="X","X"," ")</f>
        <v xml:space="preserve"> </v>
      </c>
      <c r="CW30" s="76" t="str">
        <f>IF('PFM NON-SELL (Draft Layers)'!DF182="X","X"," ")</f>
        <v xml:space="preserve"> </v>
      </c>
      <c r="CX30" s="76" t="str">
        <f>IF('PFM NON-SELL (Draft Layers)'!DG182="X","X"," ")</f>
        <v xml:space="preserve"> </v>
      </c>
      <c r="CY30" s="76" t="str">
        <f>IF('PFM NON-SELL (Draft Layers)'!DH182="X","X"," ")</f>
        <v>X</v>
      </c>
      <c r="CZ30" s="76" t="str">
        <f>IF('PFM NON-SELL (Draft Layers)'!DI182="X","X"," ")</f>
        <v xml:space="preserve"> </v>
      </c>
      <c r="DA30" s="76" t="str">
        <f>IF('PFM NON-SELL (Draft Layers)'!DJ182="X","X"," ")</f>
        <v xml:space="preserve"> </v>
      </c>
      <c r="DB30" s="76" t="str">
        <f>IF('PFM NON-SELL (Draft Layers)'!DK182="X","X"," ")</f>
        <v xml:space="preserve"> </v>
      </c>
      <c r="DC30" s="76" t="str">
        <f>IF('PFM NON-SELL (Draft Layers)'!DL182="X","X"," ")</f>
        <v xml:space="preserve"> </v>
      </c>
      <c r="DD30" s="76" t="str">
        <f>IF('PFM NON-SELL (Draft Layers)'!DM182="X","X"," ")</f>
        <v xml:space="preserve"> </v>
      </c>
      <c r="DE30" s="76" t="str">
        <f>IF('PFM NON-SELL (Draft Layers)'!DN182="X","X"," ")</f>
        <v xml:space="preserve"> </v>
      </c>
      <c r="DF30" s="76" t="str">
        <f>IF('PFM NON-SELL (Draft Layers)'!DO182="X","X"," ")</f>
        <v xml:space="preserve"> </v>
      </c>
      <c r="DG30" s="76" t="str">
        <f>IF('PFM NON-SELL (Draft Layers)'!DP182="X","X"," ")</f>
        <v xml:space="preserve"> </v>
      </c>
      <c r="DH30" s="76" t="str">
        <f>IF('PFM NON-SELL (Draft Layers)'!DQ182="X","X"," ")</f>
        <v xml:space="preserve"> </v>
      </c>
      <c r="DI30" s="76" t="str">
        <f>IF('PFM NON-SELL (Draft Layers)'!DR182="X","X"," ")</f>
        <v xml:space="preserve"> </v>
      </c>
      <c r="DJ30" s="76" t="str">
        <f>IF('PFM NON-SELL (Draft Layers)'!DS182="X","X"," ")</f>
        <v xml:space="preserve"> </v>
      </c>
      <c r="DK30" s="76" t="str">
        <f>IF('PFM NON-SELL (Draft Layers)'!DT182="X","X"," ")</f>
        <v xml:space="preserve"> </v>
      </c>
      <c r="DL30" s="76" t="str">
        <f>IF('PFM NON-SELL (Draft Layers)'!DU182="X","X"," ")</f>
        <v xml:space="preserve"> </v>
      </c>
      <c r="DM30" s="76"/>
      <c r="DN30" s="95"/>
      <c r="DO30" s="90">
        <f t="shared" si="6"/>
        <v>6</v>
      </c>
      <c r="DP30" s="21"/>
      <c r="DQ30" s="21"/>
    </row>
    <row r="31" spans="1:121" x14ac:dyDescent="0.3">
      <c r="A31" s="4" t="s">
        <v>126</v>
      </c>
      <c r="B31" s="4" t="s">
        <v>127</v>
      </c>
      <c r="C31" s="4" t="s">
        <v>130</v>
      </c>
      <c r="D31" s="4" t="s">
        <v>131</v>
      </c>
      <c r="E31" s="12">
        <v>26.01</v>
      </c>
      <c r="F31" s="34">
        <f t="shared" si="0"/>
        <v>51811.920000000006</v>
      </c>
      <c r="G31" s="28">
        <f t="shared" si="1"/>
        <v>1992</v>
      </c>
      <c r="H31" s="28">
        <f t="shared" si="2"/>
        <v>166</v>
      </c>
      <c r="I31" s="26">
        <f t="shared" si="3"/>
        <v>0</v>
      </c>
      <c r="J31" s="24">
        <f t="shared" si="4"/>
        <v>0</v>
      </c>
      <c r="K31" s="31">
        <f t="shared" si="5"/>
        <v>0</v>
      </c>
      <c r="L31" s="9">
        <v>0</v>
      </c>
      <c r="M31" s="9">
        <v>1992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E31" s="6">
        <v>0</v>
      </c>
      <c r="AF31" s="6">
        <v>49461.36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93" t="str">
        <f>IF('PFM NON-SELL (Draft Layers)'!AW188="X","X"," ")</f>
        <v>X</v>
      </c>
      <c r="AX31" s="76" t="str">
        <f>IF('PFM NON-SELL (Draft Layers)'!AX188="X","X"," ")</f>
        <v>X</v>
      </c>
      <c r="AY31" s="76" t="str">
        <f>IF('PFM NON-SELL (Draft Layers)'!AY188="X","X"," ")</f>
        <v xml:space="preserve"> </v>
      </c>
      <c r="AZ31" s="76" t="str">
        <f>IF('PFM NON-SELL (Draft Layers)'!AZ188="X","X"," ")</f>
        <v xml:space="preserve"> </v>
      </c>
      <c r="BA31" s="76" t="str">
        <f>IF('PFM NON-SELL (Draft Layers)'!BA188="X","X"," ")</f>
        <v xml:space="preserve"> </v>
      </c>
      <c r="BB31" s="76" t="str">
        <f>IF('PFM NON-SELL (Draft Layers)'!BB188="X","X"," ")</f>
        <v xml:space="preserve"> </v>
      </c>
      <c r="BC31" s="76" t="str">
        <f>IF('PFM NON-SELL (Draft Layers)'!BC188="X","X"," ")</f>
        <v xml:space="preserve"> </v>
      </c>
      <c r="BD31" s="76" t="str">
        <f>IF('PFM NON-SELL (Draft Layers)'!BD188="X","X"," ")</f>
        <v xml:space="preserve"> </v>
      </c>
      <c r="BE31" s="76" t="str">
        <f>IF('PFM NON-SELL (Draft Layers)'!BE188="X","X"," ")</f>
        <v xml:space="preserve"> </v>
      </c>
      <c r="BF31" s="76" t="str">
        <f>IF('PFM NON-SELL (Draft Layers)'!BF188="X","X"," ")</f>
        <v xml:space="preserve"> </v>
      </c>
      <c r="BG31" s="76"/>
      <c r="BH31" s="76"/>
      <c r="BI31" s="76" t="str">
        <f>IF('PFM NON-SELL (Draft Layers)'!BG188="X","X"," ")</f>
        <v xml:space="preserve"> </v>
      </c>
      <c r="BJ31" s="76" t="str">
        <f>IF('PFM NON-SELL (Draft Layers)'!BJ188="X","X"," ")</f>
        <v xml:space="preserve"> </v>
      </c>
      <c r="BK31" s="76" t="str">
        <f>IF('PFM NON-SELL (Draft Layers)'!BK188="X","X"," ")</f>
        <v xml:space="preserve"> </v>
      </c>
      <c r="BL31" s="76" t="str">
        <f>IF('PFM NON-SELL (Draft Layers)'!BM188="X","X"," ")</f>
        <v xml:space="preserve"> </v>
      </c>
      <c r="BM31" s="76" t="str">
        <f>IF('PFM NON-SELL (Draft Layers)'!BN188="X","X"," ")</f>
        <v xml:space="preserve"> </v>
      </c>
      <c r="BN31" s="76" t="str">
        <f>IF('PFM NON-SELL (Draft Layers)'!BO188="X","X"," ")</f>
        <v xml:space="preserve"> </v>
      </c>
      <c r="BO31" s="76" t="str">
        <f>IF('PFM NON-SELL (Draft Layers)'!BP188="X","X"," ")</f>
        <v>X</v>
      </c>
      <c r="BP31" s="76" t="str">
        <f>IF('PFM NON-SELL (Draft Layers)'!BQ188="X","X"," ")</f>
        <v xml:space="preserve"> </v>
      </c>
      <c r="BQ31" s="76" t="str">
        <f>IF('PFM NON-SELL (Draft Layers)'!BR188="X","X"," ")</f>
        <v xml:space="preserve"> </v>
      </c>
      <c r="BR31" s="76"/>
      <c r="BS31" s="76"/>
      <c r="BT31" s="76"/>
      <c r="BU31" s="76"/>
      <c r="BV31" s="76" t="str">
        <f>IF('PFM NON-SELL (Draft Layers)'!BW188="X","X"," ")</f>
        <v xml:space="preserve"> </v>
      </c>
      <c r="BW31" s="76"/>
      <c r="BX31" s="76" t="str">
        <f>IF('PFM NON-SELL (Draft Layers)'!BZ188="X","X"," ")</f>
        <v xml:space="preserve"> </v>
      </c>
      <c r="BY31" s="76" t="str">
        <f>IF('PFM NON-SELL (Draft Layers)'!CA188="X","X"," ")</f>
        <v xml:space="preserve"> </v>
      </c>
      <c r="BZ31" s="76" t="str">
        <f>IF('PFM NON-SELL (Draft Layers)'!CB188="X","X"," ")</f>
        <v xml:space="preserve"> </v>
      </c>
      <c r="CA31" s="76" t="str">
        <f>IF('PFM NON-SELL (Draft Layers)'!CC188="X","X"," ")</f>
        <v xml:space="preserve"> </v>
      </c>
      <c r="CB31" s="76" t="str">
        <f>IF('PFM NON-SELL (Draft Layers)'!CD188="X","X"," ")</f>
        <v xml:space="preserve"> </v>
      </c>
      <c r="CC31" s="76" t="str">
        <f>IF('PFM NON-SELL (Draft Layers)'!CE188="X","X"," ")</f>
        <v xml:space="preserve"> </v>
      </c>
      <c r="CD31" s="76" t="str">
        <f>IF('PFM NON-SELL (Draft Layers)'!CF188="X","X"," ")</f>
        <v xml:space="preserve"> </v>
      </c>
      <c r="CE31" s="76" t="str">
        <f>IF('PFM NON-SELL (Draft Layers)'!CG188="X","X"," ")</f>
        <v xml:space="preserve"> </v>
      </c>
      <c r="CF31" s="76" t="str">
        <f>IF('PFM NON-SELL (Draft Layers)'!CH188="X","X"," ")</f>
        <v xml:space="preserve"> </v>
      </c>
      <c r="CG31" s="76" t="str">
        <f>IF('PFM NON-SELL (Draft Layers)'!CI188="X","X"," ")</f>
        <v xml:space="preserve"> </v>
      </c>
      <c r="CH31" s="76" t="str">
        <f>IF('PFM NON-SELL (Draft Layers)'!CJ188="X","X"," ")</f>
        <v xml:space="preserve"> </v>
      </c>
      <c r="CI31" s="76"/>
      <c r="CJ31" s="76"/>
      <c r="CK31" s="76"/>
      <c r="CL31" s="76"/>
      <c r="CM31" s="76" t="str">
        <f>IF('PFM NON-SELL (Draft Layers)'!CV188="X","X"," ")</f>
        <v xml:space="preserve"> </v>
      </c>
      <c r="CN31" s="76" t="str">
        <f>IF('PFM NON-SELL (Draft Layers)'!CW188="X","X"," ")</f>
        <v xml:space="preserve"> </v>
      </c>
      <c r="CO31" s="76" t="str">
        <f>IF('PFM NON-SELL (Draft Layers)'!CX188="X","X"," ")</f>
        <v xml:space="preserve"> </v>
      </c>
      <c r="CP31" s="76" t="str">
        <f>IF('PFM NON-SELL (Draft Layers)'!CY188="X","X"," ")</f>
        <v xml:space="preserve"> </v>
      </c>
      <c r="CQ31" s="76" t="str">
        <f>IF('PFM NON-SELL (Draft Layers)'!CZ188="X","X"," ")</f>
        <v>X</v>
      </c>
      <c r="CR31" s="76" t="str">
        <f>IF('PFM NON-SELL (Draft Layers)'!DA188="X","X"," ")</f>
        <v xml:space="preserve"> </v>
      </c>
      <c r="CS31" s="76" t="str">
        <f>IF('PFM NON-SELL (Draft Layers)'!DB188="X","X"," ")</f>
        <v xml:space="preserve"> </v>
      </c>
      <c r="CT31" s="76" t="str">
        <f>IF('PFM NON-SELL (Draft Layers)'!DC188="X","X"," ")</f>
        <v xml:space="preserve"> </v>
      </c>
      <c r="CU31" s="76" t="str">
        <f>IF('PFM NON-SELL (Draft Layers)'!DD188="X","X"," ")</f>
        <v xml:space="preserve"> </v>
      </c>
      <c r="CV31" s="76" t="str">
        <f>IF('PFM NON-SELL (Draft Layers)'!DE188="X","X"," ")</f>
        <v xml:space="preserve"> </v>
      </c>
      <c r="CW31" s="76" t="str">
        <f>IF('PFM NON-SELL (Draft Layers)'!DF188="X","X"," ")</f>
        <v xml:space="preserve"> </v>
      </c>
      <c r="CX31" s="76" t="str">
        <f>IF('PFM NON-SELL (Draft Layers)'!DG188="X","X"," ")</f>
        <v xml:space="preserve"> </v>
      </c>
      <c r="CY31" s="76" t="str">
        <f>IF('PFM NON-SELL (Draft Layers)'!DH188="X","X"," ")</f>
        <v>X</v>
      </c>
      <c r="CZ31" s="76" t="str">
        <f>IF('PFM NON-SELL (Draft Layers)'!DI188="X","X"," ")</f>
        <v xml:space="preserve"> </v>
      </c>
      <c r="DA31" s="76" t="str">
        <f>IF('PFM NON-SELL (Draft Layers)'!DJ188="X","X"," ")</f>
        <v xml:space="preserve"> </v>
      </c>
      <c r="DB31" s="76" t="str">
        <f>IF('PFM NON-SELL (Draft Layers)'!DK188="X","X"," ")</f>
        <v xml:space="preserve"> </v>
      </c>
      <c r="DC31" s="76" t="str">
        <f>IF('PFM NON-SELL (Draft Layers)'!DL188="X","X"," ")</f>
        <v xml:space="preserve"> </v>
      </c>
      <c r="DD31" s="76" t="str">
        <f>IF('PFM NON-SELL (Draft Layers)'!DM188="X","X"," ")</f>
        <v xml:space="preserve"> </v>
      </c>
      <c r="DE31" s="76" t="str">
        <f>IF('PFM NON-SELL (Draft Layers)'!DN188="X","X"," ")</f>
        <v xml:space="preserve"> </v>
      </c>
      <c r="DF31" s="76" t="str">
        <f>IF('PFM NON-SELL (Draft Layers)'!DO188="X","X"," ")</f>
        <v xml:space="preserve"> </v>
      </c>
      <c r="DG31" s="76" t="str">
        <f>IF('PFM NON-SELL (Draft Layers)'!DP188="X","X"," ")</f>
        <v xml:space="preserve"> </v>
      </c>
      <c r="DH31" s="76" t="str">
        <f>IF('PFM NON-SELL (Draft Layers)'!DQ188="X","X"," ")</f>
        <v xml:space="preserve"> </v>
      </c>
      <c r="DI31" s="76" t="str">
        <f>IF('PFM NON-SELL (Draft Layers)'!DR188="X","X"," ")</f>
        <v xml:space="preserve"> </v>
      </c>
      <c r="DJ31" s="76" t="str">
        <f>IF('PFM NON-SELL (Draft Layers)'!DS188="X","X"," ")</f>
        <v xml:space="preserve"> </v>
      </c>
      <c r="DK31" s="76" t="str">
        <f>IF('PFM NON-SELL (Draft Layers)'!DT188="X","X"," ")</f>
        <v xml:space="preserve"> </v>
      </c>
      <c r="DL31" s="76" t="str">
        <f>IF('PFM NON-SELL (Draft Layers)'!DU188="X","X"," ")</f>
        <v xml:space="preserve"> </v>
      </c>
      <c r="DM31" s="76"/>
      <c r="DN31" s="95"/>
      <c r="DO31" s="90">
        <f t="shared" si="6"/>
        <v>5</v>
      </c>
      <c r="DP31" s="21"/>
      <c r="DQ31" s="21"/>
    </row>
    <row r="32" spans="1:121" x14ac:dyDescent="0.3">
      <c r="A32" s="4" t="s">
        <v>126</v>
      </c>
      <c r="B32" s="4" t="s">
        <v>135</v>
      </c>
      <c r="C32" s="4" t="s">
        <v>136</v>
      </c>
      <c r="D32" s="4" t="s">
        <v>137</v>
      </c>
      <c r="E32" s="12">
        <v>269.39999999999998</v>
      </c>
      <c r="F32" s="34">
        <f t="shared" si="0"/>
        <v>14008.8</v>
      </c>
      <c r="G32" s="28">
        <f t="shared" si="1"/>
        <v>52</v>
      </c>
      <c r="H32" s="28">
        <f t="shared" si="2"/>
        <v>5</v>
      </c>
      <c r="I32" s="26">
        <f t="shared" si="3"/>
        <v>0</v>
      </c>
      <c r="J32" s="24">
        <f t="shared" si="4"/>
        <v>0</v>
      </c>
      <c r="K32" s="31">
        <f t="shared" si="5"/>
        <v>0</v>
      </c>
      <c r="L32" s="9">
        <v>0</v>
      </c>
      <c r="M32" s="9">
        <v>0</v>
      </c>
      <c r="N32" s="9">
        <v>52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E32" s="6">
        <v>0</v>
      </c>
      <c r="AF32" s="6">
        <v>0</v>
      </c>
      <c r="AG32" s="6">
        <v>14008.8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93" t="str">
        <f>IF('PFM NON-SELL (Draft Layers)'!AW195="X","X"," ")</f>
        <v>X</v>
      </c>
      <c r="AX32" s="76" t="str">
        <f>IF('PFM NON-SELL (Draft Layers)'!AX195="X","X"," ")</f>
        <v>X</v>
      </c>
      <c r="AY32" s="76" t="str">
        <f>IF('PFM NON-SELL (Draft Layers)'!AY195="X","X"," ")</f>
        <v>X</v>
      </c>
      <c r="AZ32" s="76" t="str">
        <f>IF('PFM NON-SELL (Draft Layers)'!AZ195="X","X"," ")</f>
        <v xml:space="preserve"> </v>
      </c>
      <c r="BA32" s="76" t="str">
        <f>IF('PFM NON-SELL (Draft Layers)'!BA195="X","X"," ")</f>
        <v xml:space="preserve"> </v>
      </c>
      <c r="BB32" s="76" t="str">
        <f>IF('PFM NON-SELL (Draft Layers)'!BB195="X","X"," ")</f>
        <v xml:space="preserve"> </v>
      </c>
      <c r="BC32" s="76" t="str">
        <f>IF('PFM NON-SELL (Draft Layers)'!BC195="X","X"," ")</f>
        <v xml:space="preserve"> </v>
      </c>
      <c r="BD32" s="76" t="str">
        <f>IF('PFM NON-SELL (Draft Layers)'!BD195="X","X"," ")</f>
        <v xml:space="preserve"> </v>
      </c>
      <c r="BE32" s="76" t="str">
        <f>IF('PFM NON-SELL (Draft Layers)'!BE195="X","X"," ")</f>
        <v xml:space="preserve"> </v>
      </c>
      <c r="BF32" s="76" t="str">
        <f>IF('PFM NON-SELL (Draft Layers)'!BF195="X","X"," ")</f>
        <v xml:space="preserve"> </v>
      </c>
      <c r="BG32" s="76"/>
      <c r="BH32" s="76"/>
      <c r="BI32" s="76" t="str">
        <f>IF('PFM NON-SELL (Draft Layers)'!BG195="X","X"," ")</f>
        <v xml:space="preserve"> </v>
      </c>
      <c r="BJ32" s="76" t="str">
        <f>IF('PFM NON-SELL (Draft Layers)'!BJ195="X","X"," ")</f>
        <v xml:space="preserve"> </v>
      </c>
      <c r="BK32" s="76" t="str">
        <f>IF('PFM NON-SELL (Draft Layers)'!BK195="X","X"," ")</f>
        <v>X</v>
      </c>
      <c r="BL32" s="76" t="str">
        <f>IF('PFM NON-SELL (Draft Layers)'!BM195="X","X"," ")</f>
        <v xml:space="preserve"> </v>
      </c>
      <c r="BM32" s="76" t="str">
        <f>IF('PFM NON-SELL (Draft Layers)'!BN195="X","X"," ")</f>
        <v xml:space="preserve"> </v>
      </c>
      <c r="BN32" s="76" t="str">
        <f>IF('PFM NON-SELL (Draft Layers)'!BO195="X","X"," ")</f>
        <v>X</v>
      </c>
      <c r="BO32" s="76" t="str">
        <f>IF('PFM NON-SELL (Draft Layers)'!BP195="X","X"," ")</f>
        <v>X</v>
      </c>
      <c r="BP32" s="76" t="str">
        <f>IF('PFM NON-SELL (Draft Layers)'!BQ195="X","X"," ")</f>
        <v xml:space="preserve"> </v>
      </c>
      <c r="BQ32" s="76" t="str">
        <f>IF('PFM NON-SELL (Draft Layers)'!BR195="X","X"," ")</f>
        <v xml:space="preserve"> </v>
      </c>
      <c r="BR32" s="76"/>
      <c r="BS32" s="76"/>
      <c r="BT32" s="76"/>
      <c r="BU32" s="76"/>
      <c r="BV32" s="76" t="str">
        <f>IF('PFM NON-SELL (Draft Layers)'!BW195="X","X"," ")</f>
        <v xml:space="preserve"> </v>
      </c>
      <c r="BW32" s="76"/>
      <c r="BX32" s="76" t="str">
        <f>IF('PFM NON-SELL (Draft Layers)'!BZ195="X","X"," ")</f>
        <v xml:space="preserve"> </v>
      </c>
      <c r="BY32" s="76" t="str">
        <f>IF('PFM NON-SELL (Draft Layers)'!CA195="X","X"," ")</f>
        <v xml:space="preserve"> </v>
      </c>
      <c r="BZ32" s="76" t="str">
        <f>IF('PFM NON-SELL (Draft Layers)'!CB195="X","X"," ")</f>
        <v xml:space="preserve"> </v>
      </c>
      <c r="CA32" s="76" t="str">
        <f>IF('PFM NON-SELL (Draft Layers)'!CC195="X","X"," ")</f>
        <v xml:space="preserve"> </v>
      </c>
      <c r="CB32" s="76" t="str">
        <f>IF('PFM NON-SELL (Draft Layers)'!CD195="X","X"," ")</f>
        <v xml:space="preserve"> </v>
      </c>
      <c r="CC32" s="76" t="str">
        <f>IF('PFM NON-SELL (Draft Layers)'!CE195="X","X"," ")</f>
        <v xml:space="preserve"> </v>
      </c>
      <c r="CD32" s="76" t="str">
        <f>IF('PFM NON-SELL (Draft Layers)'!CF195="X","X"," ")</f>
        <v xml:space="preserve"> </v>
      </c>
      <c r="CE32" s="76" t="str">
        <f>IF('PFM NON-SELL (Draft Layers)'!CG195="X","X"," ")</f>
        <v xml:space="preserve"> </v>
      </c>
      <c r="CF32" s="76" t="str">
        <f>IF('PFM NON-SELL (Draft Layers)'!CH195="X","X"," ")</f>
        <v xml:space="preserve"> </v>
      </c>
      <c r="CG32" s="76" t="str">
        <f>IF('PFM NON-SELL (Draft Layers)'!CI195="X","X"," ")</f>
        <v xml:space="preserve"> </v>
      </c>
      <c r="CH32" s="76" t="str">
        <f>IF('PFM NON-SELL (Draft Layers)'!CJ195="X","X"," ")</f>
        <v xml:space="preserve"> </v>
      </c>
      <c r="CI32" s="76"/>
      <c r="CJ32" s="76"/>
      <c r="CK32" s="76"/>
      <c r="CL32" s="76"/>
      <c r="CM32" s="76" t="str">
        <f>IF('PFM NON-SELL (Draft Layers)'!CV195="X","X"," ")</f>
        <v xml:space="preserve"> </v>
      </c>
      <c r="CN32" s="76" t="str">
        <f>IF('PFM NON-SELL (Draft Layers)'!CW195="X","X"," ")</f>
        <v xml:space="preserve"> </v>
      </c>
      <c r="CO32" s="76" t="str">
        <f>IF('PFM NON-SELL (Draft Layers)'!CX195="X","X"," ")</f>
        <v xml:space="preserve"> </v>
      </c>
      <c r="CP32" s="76" t="str">
        <f>IF('PFM NON-SELL (Draft Layers)'!CY195="X","X"," ")</f>
        <v xml:space="preserve"> </v>
      </c>
      <c r="CQ32" s="76" t="str">
        <f>IF('PFM NON-SELL (Draft Layers)'!CZ195="X","X"," ")</f>
        <v xml:space="preserve"> </v>
      </c>
      <c r="CR32" s="76" t="str">
        <f>IF('PFM NON-SELL (Draft Layers)'!DA195="X","X"," ")</f>
        <v xml:space="preserve"> </v>
      </c>
      <c r="CS32" s="76" t="str">
        <f>IF('PFM NON-SELL (Draft Layers)'!DB195="X","X"," ")</f>
        <v xml:space="preserve"> </v>
      </c>
      <c r="CT32" s="76" t="str">
        <f>IF('PFM NON-SELL (Draft Layers)'!DC195="X","X"," ")</f>
        <v xml:space="preserve"> </v>
      </c>
      <c r="CU32" s="76" t="str">
        <f>IF('PFM NON-SELL (Draft Layers)'!DD195="X","X"," ")</f>
        <v>X</v>
      </c>
      <c r="CV32" s="76" t="str">
        <f>IF('PFM NON-SELL (Draft Layers)'!DE195="X","X"," ")</f>
        <v xml:space="preserve"> </v>
      </c>
      <c r="CW32" s="76" t="str">
        <f>IF('PFM NON-SELL (Draft Layers)'!DF195="X","X"," ")</f>
        <v xml:space="preserve"> </v>
      </c>
      <c r="CX32" s="76" t="str">
        <f>IF('PFM NON-SELL (Draft Layers)'!DG195="X","X"," ")</f>
        <v xml:space="preserve"> </v>
      </c>
      <c r="CY32" s="76" t="str">
        <f>IF('PFM NON-SELL (Draft Layers)'!DH195="X","X"," ")</f>
        <v>X</v>
      </c>
      <c r="CZ32" s="76" t="str">
        <f>IF('PFM NON-SELL (Draft Layers)'!DI195="X","X"," ")</f>
        <v xml:space="preserve"> </v>
      </c>
      <c r="DA32" s="76" t="str">
        <f>IF('PFM NON-SELL (Draft Layers)'!DJ195="X","X"," ")</f>
        <v xml:space="preserve"> </v>
      </c>
      <c r="DB32" s="76" t="str">
        <f>IF('PFM NON-SELL (Draft Layers)'!DK195="X","X"," ")</f>
        <v xml:space="preserve"> </v>
      </c>
      <c r="DC32" s="76" t="str">
        <f>IF('PFM NON-SELL (Draft Layers)'!DL195="X","X"," ")</f>
        <v xml:space="preserve"> </v>
      </c>
      <c r="DD32" s="76" t="str">
        <f>IF('PFM NON-SELL (Draft Layers)'!DM195="X","X"," ")</f>
        <v xml:space="preserve"> </v>
      </c>
      <c r="DE32" s="76" t="str">
        <f>IF('PFM NON-SELL (Draft Layers)'!DN195="X","X"," ")</f>
        <v xml:space="preserve"> </v>
      </c>
      <c r="DF32" s="76" t="str">
        <f>IF('PFM NON-SELL (Draft Layers)'!DO195="X","X"," ")</f>
        <v xml:space="preserve"> </v>
      </c>
      <c r="DG32" s="76" t="str">
        <f>IF('PFM NON-SELL (Draft Layers)'!DP195="X","X"," ")</f>
        <v xml:space="preserve"> </v>
      </c>
      <c r="DH32" s="76" t="str">
        <f>IF('PFM NON-SELL (Draft Layers)'!DQ195="X","X"," ")</f>
        <v xml:space="preserve"> </v>
      </c>
      <c r="DI32" s="76" t="str">
        <f>IF('PFM NON-SELL (Draft Layers)'!DR195="X","X"," ")</f>
        <v xml:space="preserve"> </v>
      </c>
      <c r="DJ32" s="76" t="str">
        <f>IF('PFM NON-SELL (Draft Layers)'!DS195="X","X"," ")</f>
        <v xml:space="preserve"> </v>
      </c>
      <c r="DK32" s="76" t="str">
        <f>IF('PFM NON-SELL (Draft Layers)'!DT195="X","X"," ")</f>
        <v xml:space="preserve"> </v>
      </c>
      <c r="DL32" s="76" t="str">
        <f>IF('PFM NON-SELL (Draft Layers)'!DU195="X","X"," ")</f>
        <v xml:space="preserve"> </v>
      </c>
      <c r="DM32" s="76"/>
      <c r="DN32" s="95"/>
      <c r="DO32" s="90">
        <f t="shared" si="6"/>
        <v>8</v>
      </c>
      <c r="DP32" s="21"/>
      <c r="DQ32" s="21"/>
    </row>
    <row r="33" spans="1:121" x14ac:dyDescent="0.3">
      <c r="A33" s="4" t="s">
        <v>126</v>
      </c>
      <c r="B33" s="4" t="s">
        <v>150</v>
      </c>
      <c r="C33" s="4" t="s">
        <v>151</v>
      </c>
      <c r="D33" s="4" t="s">
        <v>152</v>
      </c>
      <c r="E33" s="12">
        <v>3.53</v>
      </c>
      <c r="F33" s="34">
        <f t="shared" si="0"/>
        <v>3830.0499999999997</v>
      </c>
      <c r="G33" s="28">
        <f t="shared" si="1"/>
        <v>1085</v>
      </c>
      <c r="H33" s="28">
        <f t="shared" si="2"/>
        <v>91</v>
      </c>
      <c r="I33" s="26">
        <f t="shared" si="3"/>
        <v>2329.7999999999997</v>
      </c>
      <c r="J33" s="24">
        <f t="shared" si="4"/>
        <v>660</v>
      </c>
      <c r="K33" s="31">
        <f t="shared" si="5"/>
        <v>132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185</v>
      </c>
      <c r="R33" s="9">
        <v>120</v>
      </c>
      <c r="S33" s="9">
        <v>150</v>
      </c>
      <c r="T33" s="9">
        <v>120</v>
      </c>
      <c r="U33" s="9">
        <v>120</v>
      </c>
      <c r="V33" s="9">
        <v>150</v>
      </c>
      <c r="W33" s="9">
        <v>120</v>
      </c>
      <c r="X33" s="9">
        <v>120</v>
      </c>
      <c r="Y33" s="9">
        <v>150</v>
      </c>
      <c r="Z33" s="9">
        <v>120</v>
      </c>
      <c r="AA33" s="9">
        <v>120</v>
      </c>
      <c r="AB33" s="9">
        <v>150</v>
      </c>
      <c r="AC33" s="9">
        <v>120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654.9</v>
      </c>
      <c r="AK33" s="6">
        <v>424.8</v>
      </c>
      <c r="AL33" s="6">
        <v>531</v>
      </c>
      <c r="AM33" s="6">
        <v>424.8</v>
      </c>
      <c r="AN33" s="6">
        <v>424.8</v>
      </c>
      <c r="AO33" s="6">
        <v>531</v>
      </c>
      <c r="AP33" s="6">
        <v>424.8</v>
      </c>
      <c r="AQ33" s="6">
        <v>424.8</v>
      </c>
      <c r="AR33" s="6">
        <v>531</v>
      </c>
      <c r="AS33" s="6">
        <v>424.8</v>
      </c>
      <c r="AT33" s="6">
        <v>424.8</v>
      </c>
      <c r="AU33" s="6">
        <v>531</v>
      </c>
      <c r="AV33" s="6">
        <v>424.8</v>
      </c>
      <c r="AW33" s="93" t="str">
        <f>IF('PFM NON-SELL (Draft Layers)'!AW213="X","X"," ")</f>
        <v xml:space="preserve"> </v>
      </c>
      <c r="AX33" s="76" t="str">
        <f>IF('PFM NON-SELL (Draft Layers)'!AX213="X","X"," ")</f>
        <v xml:space="preserve"> </v>
      </c>
      <c r="AY33" s="76" t="str">
        <f>IF('PFM NON-SELL (Draft Layers)'!AY213="X","X"," ")</f>
        <v>X</v>
      </c>
      <c r="AZ33" s="76" t="str">
        <f>IF('PFM NON-SELL (Draft Layers)'!AZ213="X","X"," ")</f>
        <v xml:space="preserve"> </v>
      </c>
      <c r="BA33" s="76" t="str">
        <f>IF('PFM NON-SELL (Draft Layers)'!BA213="X","X"," ")</f>
        <v xml:space="preserve"> </v>
      </c>
      <c r="BB33" s="76" t="str">
        <f>IF('PFM NON-SELL (Draft Layers)'!BB213="X","X"," ")</f>
        <v xml:space="preserve"> </v>
      </c>
      <c r="BC33" s="76" t="str">
        <f>IF('PFM NON-SELL (Draft Layers)'!BC213="X","X"," ")</f>
        <v xml:space="preserve"> </v>
      </c>
      <c r="BD33" s="76" t="str">
        <f>IF('PFM NON-SELL (Draft Layers)'!BD213="X","X"," ")</f>
        <v xml:space="preserve"> </v>
      </c>
      <c r="BE33" s="76" t="str">
        <f>IF('PFM NON-SELL (Draft Layers)'!BE213="X","X"," ")</f>
        <v xml:space="preserve"> </v>
      </c>
      <c r="BF33" s="76" t="str">
        <f>IF('PFM NON-SELL (Draft Layers)'!BF213="X","X"," ")</f>
        <v xml:space="preserve"> </v>
      </c>
      <c r="BG33" s="76"/>
      <c r="BH33" s="76"/>
      <c r="BI33" s="76" t="str">
        <f>IF('PFM NON-SELL (Draft Layers)'!BG213="X","X"," ")</f>
        <v xml:space="preserve"> </v>
      </c>
      <c r="BJ33" s="76" t="str">
        <f>IF('PFM NON-SELL (Draft Layers)'!BJ213="X","X"," ")</f>
        <v xml:space="preserve"> </v>
      </c>
      <c r="BK33" s="76" t="str">
        <f>IF('PFM NON-SELL (Draft Layers)'!BK213="X","X"," ")</f>
        <v xml:space="preserve"> </v>
      </c>
      <c r="BL33" s="76" t="str">
        <f>IF('PFM NON-SELL (Draft Layers)'!BM213="X","X"," ")</f>
        <v xml:space="preserve"> </v>
      </c>
      <c r="BM33" s="76" t="str">
        <f>IF('PFM NON-SELL (Draft Layers)'!BN213="X","X"," ")</f>
        <v xml:space="preserve"> </v>
      </c>
      <c r="BN33" s="76" t="str">
        <f>IF('PFM NON-SELL (Draft Layers)'!BO213="X","X"," ")</f>
        <v>X</v>
      </c>
      <c r="BO33" s="76" t="str">
        <f>IF('PFM NON-SELL (Draft Layers)'!BP213="X","X"," ")</f>
        <v>X</v>
      </c>
      <c r="BP33" s="76" t="str">
        <f>IF('PFM NON-SELL (Draft Layers)'!BQ213="X","X"," ")</f>
        <v xml:space="preserve"> </v>
      </c>
      <c r="BQ33" s="76" t="str">
        <f>IF('PFM NON-SELL (Draft Layers)'!BR213="X","X"," ")</f>
        <v xml:space="preserve"> </v>
      </c>
      <c r="BR33" s="76"/>
      <c r="BS33" s="76"/>
      <c r="BT33" s="76"/>
      <c r="BU33" s="76"/>
      <c r="BV33" s="76" t="str">
        <f>IF('PFM NON-SELL (Draft Layers)'!BW213="X","X"," ")</f>
        <v xml:space="preserve"> </v>
      </c>
      <c r="BW33" s="76"/>
      <c r="BX33" s="76" t="str">
        <f>IF('PFM NON-SELL (Draft Layers)'!BZ213="X","X"," ")</f>
        <v xml:space="preserve"> </v>
      </c>
      <c r="BY33" s="76" t="str">
        <f>IF('PFM NON-SELL (Draft Layers)'!CA213="X","X"," ")</f>
        <v xml:space="preserve"> </v>
      </c>
      <c r="BZ33" s="76" t="str">
        <f>IF('PFM NON-SELL (Draft Layers)'!CB213="X","X"," ")</f>
        <v xml:space="preserve"> </v>
      </c>
      <c r="CA33" s="76" t="str">
        <f>IF('PFM NON-SELL (Draft Layers)'!CC213="X","X"," ")</f>
        <v xml:space="preserve"> </v>
      </c>
      <c r="CB33" s="76" t="str">
        <f>IF('PFM NON-SELL (Draft Layers)'!CD213="X","X"," ")</f>
        <v xml:space="preserve"> </v>
      </c>
      <c r="CC33" s="76" t="str">
        <f>IF('PFM NON-SELL (Draft Layers)'!CE213="X","X"," ")</f>
        <v xml:space="preserve"> </v>
      </c>
      <c r="CD33" s="76" t="str">
        <f>IF('PFM NON-SELL (Draft Layers)'!CF213="X","X"," ")</f>
        <v xml:space="preserve"> </v>
      </c>
      <c r="CE33" s="76" t="str">
        <f>IF('PFM NON-SELL (Draft Layers)'!CG213="X","X"," ")</f>
        <v xml:space="preserve"> </v>
      </c>
      <c r="CF33" s="76" t="str">
        <f>IF('PFM NON-SELL (Draft Layers)'!CH213="X","X"," ")</f>
        <v xml:space="preserve"> </v>
      </c>
      <c r="CG33" s="76" t="str">
        <f>IF('PFM NON-SELL (Draft Layers)'!CI213="X","X"," ")</f>
        <v xml:space="preserve"> </v>
      </c>
      <c r="CH33" s="76" t="str">
        <f>IF('PFM NON-SELL (Draft Layers)'!CJ213="X","X"," ")</f>
        <v xml:space="preserve"> </v>
      </c>
      <c r="CI33" s="76"/>
      <c r="CJ33" s="76"/>
      <c r="CK33" s="76"/>
      <c r="CL33" s="76"/>
      <c r="CM33" s="76" t="str">
        <f>IF('PFM NON-SELL (Draft Layers)'!CV213="X","X"," ")</f>
        <v xml:space="preserve"> </v>
      </c>
      <c r="CN33" s="76" t="str">
        <f>IF('PFM NON-SELL (Draft Layers)'!CW213="X","X"," ")</f>
        <v xml:space="preserve"> </v>
      </c>
      <c r="CO33" s="76" t="str">
        <f>IF('PFM NON-SELL (Draft Layers)'!CX213="X","X"," ")</f>
        <v xml:space="preserve"> </v>
      </c>
      <c r="CP33" s="76" t="str">
        <f>IF('PFM NON-SELL (Draft Layers)'!CY213="X","X"," ")</f>
        <v xml:space="preserve"> </v>
      </c>
      <c r="CQ33" s="76" t="str">
        <f>IF('PFM NON-SELL (Draft Layers)'!CZ213="X","X"," ")</f>
        <v xml:space="preserve"> </v>
      </c>
      <c r="CR33" s="76" t="str">
        <f>IF('PFM NON-SELL (Draft Layers)'!DA213="X","X"," ")</f>
        <v xml:space="preserve"> </v>
      </c>
      <c r="CS33" s="76" t="str">
        <f>IF('PFM NON-SELL (Draft Layers)'!DB213="X","X"," ")</f>
        <v xml:space="preserve"> </v>
      </c>
      <c r="CT33" s="76" t="str">
        <f>IF('PFM NON-SELL (Draft Layers)'!DC213="X","X"," ")</f>
        <v xml:space="preserve"> </v>
      </c>
      <c r="CU33" s="76" t="str">
        <f>IF('PFM NON-SELL (Draft Layers)'!DD213="X","X"," ")</f>
        <v>X</v>
      </c>
      <c r="CV33" s="76" t="str">
        <f>IF('PFM NON-SELL (Draft Layers)'!DE213="X","X"," ")</f>
        <v xml:space="preserve"> </v>
      </c>
      <c r="CW33" s="76" t="str">
        <f>IF('PFM NON-SELL (Draft Layers)'!DF213="X","X"," ")</f>
        <v xml:space="preserve"> </v>
      </c>
      <c r="CX33" s="76" t="str">
        <f>IF('PFM NON-SELL (Draft Layers)'!DG213="X","X"," ")</f>
        <v xml:space="preserve"> </v>
      </c>
      <c r="CY33" s="76" t="str">
        <f>IF('PFM NON-SELL (Draft Layers)'!DH213="X","X"," ")</f>
        <v>X</v>
      </c>
      <c r="CZ33" s="76" t="str">
        <f>IF('PFM NON-SELL (Draft Layers)'!DI213="X","X"," ")</f>
        <v xml:space="preserve"> </v>
      </c>
      <c r="DA33" s="76" t="str">
        <f>IF('PFM NON-SELL (Draft Layers)'!DJ213="X","X"," ")</f>
        <v xml:space="preserve"> </v>
      </c>
      <c r="DB33" s="76" t="str">
        <f>IF('PFM NON-SELL (Draft Layers)'!DK213="X","X"," ")</f>
        <v xml:space="preserve"> </v>
      </c>
      <c r="DC33" s="76" t="str">
        <f>IF('PFM NON-SELL (Draft Layers)'!DL213="X","X"," ")</f>
        <v xml:space="preserve"> </v>
      </c>
      <c r="DD33" s="76" t="str">
        <f>IF('PFM NON-SELL (Draft Layers)'!DM213="X","X"," ")</f>
        <v xml:space="preserve"> </v>
      </c>
      <c r="DE33" s="76" t="str">
        <f>IF('PFM NON-SELL (Draft Layers)'!DN213="X","X"," ")</f>
        <v xml:space="preserve"> </v>
      </c>
      <c r="DF33" s="76" t="str">
        <f>IF('PFM NON-SELL (Draft Layers)'!DO213="X","X"," ")</f>
        <v xml:space="preserve"> </v>
      </c>
      <c r="DG33" s="76" t="str">
        <f>IF('PFM NON-SELL (Draft Layers)'!DP213="X","X"," ")</f>
        <v xml:space="preserve"> </v>
      </c>
      <c r="DH33" s="76" t="str">
        <f>IF('PFM NON-SELL (Draft Layers)'!DQ213="X","X"," ")</f>
        <v xml:space="preserve"> </v>
      </c>
      <c r="DI33" s="76" t="str">
        <f>IF('PFM NON-SELL (Draft Layers)'!DR213="X","X"," ")</f>
        <v xml:space="preserve"> </v>
      </c>
      <c r="DJ33" s="76" t="str">
        <f>IF('PFM NON-SELL (Draft Layers)'!DS213="X","X"," ")</f>
        <v xml:space="preserve"> </v>
      </c>
      <c r="DK33" s="76" t="str">
        <f>IF('PFM NON-SELL (Draft Layers)'!DT213="X","X"," ")</f>
        <v xml:space="preserve"> </v>
      </c>
      <c r="DL33" s="76" t="str">
        <f>IF('PFM NON-SELL (Draft Layers)'!DU213="X","X"," ")</f>
        <v xml:space="preserve"> </v>
      </c>
      <c r="DM33" s="76"/>
      <c r="DN33" s="95"/>
      <c r="DO33" s="90">
        <f t="shared" si="6"/>
        <v>5</v>
      </c>
      <c r="DP33" s="21"/>
      <c r="DQ33" s="21"/>
    </row>
    <row r="34" spans="1:121" x14ac:dyDescent="0.3">
      <c r="A34" s="4" t="s">
        <v>126</v>
      </c>
      <c r="B34" s="4" t="s">
        <v>150</v>
      </c>
      <c r="C34" s="4" t="s">
        <v>153</v>
      </c>
      <c r="D34" s="4" t="s">
        <v>154</v>
      </c>
      <c r="E34" s="12">
        <v>13.22</v>
      </c>
      <c r="F34" s="34">
        <f t="shared" si="0"/>
        <v>31728</v>
      </c>
      <c r="G34" s="28">
        <f t="shared" si="1"/>
        <v>2400</v>
      </c>
      <c r="H34" s="28">
        <f t="shared" si="2"/>
        <v>200</v>
      </c>
      <c r="I34" s="26">
        <f t="shared" si="3"/>
        <v>8725.2000000000007</v>
      </c>
      <c r="J34" s="24">
        <f t="shared" si="4"/>
        <v>660</v>
      </c>
      <c r="K34" s="31">
        <f t="shared" si="5"/>
        <v>132</v>
      </c>
      <c r="L34" s="9">
        <v>0</v>
      </c>
      <c r="M34" s="9">
        <v>0</v>
      </c>
      <c r="N34" s="9">
        <v>0</v>
      </c>
      <c r="O34" s="9">
        <v>500</v>
      </c>
      <c r="P34" s="9">
        <v>500</v>
      </c>
      <c r="Q34" s="9">
        <v>500</v>
      </c>
      <c r="R34" s="9">
        <v>120</v>
      </c>
      <c r="S34" s="9">
        <v>150</v>
      </c>
      <c r="T34" s="9">
        <v>120</v>
      </c>
      <c r="U34" s="9">
        <v>120</v>
      </c>
      <c r="V34" s="9">
        <v>150</v>
      </c>
      <c r="W34" s="9">
        <v>120</v>
      </c>
      <c r="X34" s="9">
        <v>120</v>
      </c>
      <c r="Y34" s="9">
        <v>150</v>
      </c>
      <c r="Z34" s="9">
        <v>120</v>
      </c>
      <c r="AA34" s="9">
        <v>120</v>
      </c>
      <c r="AB34" s="9">
        <v>150</v>
      </c>
      <c r="AC34" s="9">
        <v>120</v>
      </c>
      <c r="AE34" s="6">
        <v>0</v>
      </c>
      <c r="AF34" s="6">
        <v>0</v>
      </c>
      <c r="AG34" s="6">
        <v>0</v>
      </c>
      <c r="AH34" s="6">
        <v>5875</v>
      </c>
      <c r="AI34" s="6">
        <v>5875</v>
      </c>
      <c r="AJ34" s="6">
        <v>5875</v>
      </c>
      <c r="AK34" s="6">
        <v>1410</v>
      </c>
      <c r="AL34" s="6">
        <v>1699.5</v>
      </c>
      <c r="AM34" s="6">
        <v>1359.6</v>
      </c>
      <c r="AN34" s="6">
        <v>1359.6</v>
      </c>
      <c r="AO34" s="6">
        <v>1699.5</v>
      </c>
      <c r="AP34" s="6">
        <v>1359.6</v>
      </c>
      <c r="AQ34" s="6">
        <v>1359.6</v>
      </c>
      <c r="AR34" s="6">
        <v>1699.5</v>
      </c>
      <c r="AS34" s="6">
        <v>1359.6</v>
      </c>
      <c r="AT34" s="6">
        <v>1359.6</v>
      </c>
      <c r="AU34" s="6">
        <v>1699.5</v>
      </c>
      <c r="AV34" s="6">
        <v>1359.6</v>
      </c>
      <c r="AW34" s="93" t="str">
        <f>IF('PFM NON-SELL (Draft Layers)'!AW214="X","X"," ")</f>
        <v>X</v>
      </c>
      <c r="AX34" s="76" t="str">
        <f>IF('PFM NON-SELL (Draft Layers)'!AX214="X","X"," ")</f>
        <v xml:space="preserve"> </v>
      </c>
      <c r="AY34" s="76" t="str">
        <f>IF('PFM NON-SELL (Draft Layers)'!AY214="X","X"," ")</f>
        <v xml:space="preserve"> </v>
      </c>
      <c r="AZ34" s="76" t="str">
        <f>IF('PFM NON-SELL (Draft Layers)'!AZ214="X","X"," ")</f>
        <v xml:space="preserve"> </v>
      </c>
      <c r="BA34" s="76" t="str">
        <f>IF('PFM NON-SELL (Draft Layers)'!BA214="X","X"," ")</f>
        <v xml:space="preserve"> </v>
      </c>
      <c r="BB34" s="76" t="str">
        <f>IF('PFM NON-SELL (Draft Layers)'!BB214="X","X"," ")</f>
        <v xml:space="preserve"> </v>
      </c>
      <c r="BC34" s="76" t="str">
        <f>IF('PFM NON-SELL (Draft Layers)'!BC214="X","X"," ")</f>
        <v xml:space="preserve"> </v>
      </c>
      <c r="BD34" s="76" t="str">
        <f>IF('PFM NON-SELL (Draft Layers)'!BD214="X","X"," ")</f>
        <v xml:space="preserve"> </v>
      </c>
      <c r="BE34" s="76" t="str">
        <f>IF('PFM NON-SELL (Draft Layers)'!BE214="X","X"," ")</f>
        <v xml:space="preserve"> </v>
      </c>
      <c r="BF34" s="76" t="str">
        <f>IF('PFM NON-SELL (Draft Layers)'!BF214="X","X"," ")</f>
        <v xml:space="preserve"> </v>
      </c>
      <c r="BG34" s="76"/>
      <c r="BH34" s="76"/>
      <c r="BI34" s="76" t="str">
        <f>IF('PFM NON-SELL (Draft Layers)'!BG214="X","X"," ")</f>
        <v xml:space="preserve"> </v>
      </c>
      <c r="BJ34" s="76" t="str">
        <f>IF('PFM NON-SELL (Draft Layers)'!BJ214="X","X"," ")</f>
        <v xml:space="preserve"> </v>
      </c>
      <c r="BK34" s="76" t="str">
        <f>IF('PFM NON-SELL (Draft Layers)'!BK214="X","X"," ")</f>
        <v xml:space="preserve"> </v>
      </c>
      <c r="BL34" s="76" t="str">
        <f>IF('PFM NON-SELL (Draft Layers)'!BM214="X","X"," ")</f>
        <v xml:space="preserve"> </v>
      </c>
      <c r="BM34" s="76" t="str">
        <f>IF('PFM NON-SELL (Draft Layers)'!BN214="X","X"," ")</f>
        <v xml:space="preserve"> </v>
      </c>
      <c r="BN34" s="76" t="str">
        <f>IF('PFM NON-SELL (Draft Layers)'!BO214="X","X"," ")</f>
        <v xml:space="preserve"> </v>
      </c>
      <c r="BO34" s="76" t="str">
        <f>IF('PFM NON-SELL (Draft Layers)'!BP214="X","X"," ")</f>
        <v>X</v>
      </c>
      <c r="BP34" s="76" t="str">
        <f>IF('PFM NON-SELL (Draft Layers)'!BQ214="X","X"," ")</f>
        <v xml:space="preserve"> </v>
      </c>
      <c r="BQ34" s="76" t="str">
        <f>IF('PFM NON-SELL (Draft Layers)'!BR214="X","X"," ")</f>
        <v xml:space="preserve"> </v>
      </c>
      <c r="BR34" s="76"/>
      <c r="BS34" s="76"/>
      <c r="BT34" s="76"/>
      <c r="BU34" s="76"/>
      <c r="BV34" s="76" t="str">
        <f>IF('PFM NON-SELL (Draft Layers)'!BW214="X","X"," ")</f>
        <v xml:space="preserve"> </v>
      </c>
      <c r="BW34" s="76"/>
      <c r="BX34" s="76" t="str">
        <f>IF('PFM NON-SELL (Draft Layers)'!BZ214="X","X"," ")</f>
        <v xml:space="preserve"> </v>
      </c>
      <c r="BY34" s="76" t="str">
        <f>IF('PFM NON-SELL (Draft Layers)'!CA214="X","X"," ")</f>
        <v xml:space="preserve"> </v>
      </c>
      <c r="BZ34" s="76" t="str">
        <f>IF('PFM NON-SELL (Draft Layers)'!CB214="X","X"," ")</f>
        <v xml:space="preserve"> </v>
      </c>
      <c r="CA34" s="76" t="str">
        <f>IF('PFM NON-SELL (Draft Layers)'!CC214="X","X"," ")</f>
        <v xml:space="preserve"> </v>
      </c>
      <c r="CB34" s="76" t="str">
        <f>IF('PFM NON-SELL (Draft Layers)'!CD214="X","X"," ")</f>
        <v xml:space="preserve"> </v>
      </c>
      <c r="CC34" s="76" t="str">
        <f>IF('PFM NON-SELL (Draft Layers)'!CE214="X","X"," ")</f>
        <v xml:space="preserve"> </v>
      </c>
      <c r="CD34" s="76" t="str">
        <f>IF('PFM NON-SELL (Draft Layers)'!CF214="X","X"," ")</f>
        <v xml:space="preserve"> </v>
      </c>
      <c r="CE34" s="76" t="str">
        <f>IF('PFM NON-SELL (Draft Layers)'!CG214="X","X"," ")</f>
        <v xml:space="preserve"> </v>
      </c>
      <c r="CF34" s="76" t="str">
        <f>IF('PFM NON-SELL (Draft Layers)'!CH214="X","X"," ")</f>
        <v xml:space="preserve"> </v>
      </c>
      <c r="CG34" s="76" t="str">
        <f>IF('PFM NON-SELL (Draft Layers)'!CI214="X","X"," ")</f>
        <v xml:space="preserve"> </v>
      </c>
      <c r="CH34" s="76" t="str">
        <f>IF('PFM NON-SELL (Draft Layers)'!CJ214="X","X"," ")</f>
        <v xml:space="preserve"> </v>
      </c>
      <c r="CI34" s="76"/>
      <c r="CJ34" s="76"/>
      <c r="CK34" s="76"/>
      <c r="CL34" s="76"/>
      <c r="CM34" s="76" t="str">
        <f>IF('PFM NON-SELL (Draft Layers)'!CV214="X","X"," ")</f>
        <v xml:space="preserve"> </v>
      </c>
      <c r="CN34" s="76" t="str">
        <f>IF('PFM NON-SELL (Draft Layers)'!CW214="X","X"," ")</f>
        <v xml:space="preserve"> </v>
      </c>
      <c r="CO34" s="76" t="str">
        <f>IF('PFM NON-SELL (Draft Layers)'!CX214="X","X"," ")</f>
        <v xml:space="preserve"> </v>
      </c>
      <c r="CP34" s="76" t="str">
        <f>IF('PFM NON-SELL (Draft Layers)'!CY214="X","X"," ")</f>
        <v xml:space="preserve"> </v>
      </c>
      <c r="CQ34" s="76" t="str">
        <f>IF('PFM NON-SELL (Draft Layers)'!CZ214="X","X"," ")</f>
        <v xml:space="preserve"> </v>
      </c>
      <c r="CR34" s="76" t="str">
        <f>IF('PFM NON-SELL (Draft Layers)'!DA214="X","X"," ")</f>
        <v xml:space="preserve"> </v>
      </c>
      <c r="CS34" s="76" t="str">
        <f>IF('PFM NON-SELL (Draft Layers)'!DB214="X","X"," ")</f>
        <v xml:space="preserve"> </v>
      </c>
      <c r="CT34" s="76" t="str">
        <f>IF('PFM NON-SELL (Draft Layers)'!DC214="X","X"," ")</f>
        <v xml:space="preserve"> </v>
      </c>
      <c r="CU34" s="76" t="str">
        <f>IF('PFM NON-SELL (Draft Layers)'!DD214="X","X"," ")</f>
        <v>X</v>
      </c>
      <c r="CV34" s="76" t="str">
        <f>IF('PFM NON-SELL (Draft Layers)'!DE214="X","X"," ")</f>
        <v xml:space="preserve"> </v>
      </c>
      <c r="CW34" s="76" t="str">
        <f>IF('PFM NON-SELL (Draft Layers)'!DF214="X","X"," ")</f>
        <v xml:space="preserve"> </v>
      </c>
      <c r="CX34" s="76" t="str">
        <f>IF('PFM NON-SELL (Draft Layers)'!DG214="X","X"," ")</f>
        <v xml:space="preserve"> </v>
      </c>
      <c r="CY34" s="76" t="str">
        <f>IF('PFM NON-SELL (Draft Layers)'!DH214="X","X"," ")</f>
        <v>X</v>
      </c>
      <c r="CZ34" s="76" t="str">
        <f>IF('PFM NON-SELL (Draft Layers)'!DI214="X","X"," ")</f>
        <v xml:space="preserve"> </v>
      </c>
      <c r="DA34" s="76" t="str">
        <f>IF('PFM NON-SELL (Draft Layers)'!DJ214="X","X"," ")</f>
        <v xml:space="preserve"> </v>
      </c>
      <c r="DB34" s="76" t="str">
        <f>IF('PFM NON-SELL (Draft Layers)'!DK214="X","X"," ")</f>
        <v xml:space="preserve"> </v>
      </c>
      <c r="DC34" s="76" t="str">
        <f>IF('PFM NON-SELL (Draft Layers)'!DL214="X","X"," ")</f>
        <v xml:space="preserve"> </v>
      </c>
      <c r="DD34" s="76" t="str">
        <f>IF('PFM NON-SELL (Draft Layers)'!DM214="X","X"," ")</f>
        <v xml:space="preserve"> </v>
      </c>
      <c r="DE34" s="76" t="str">
        <f>IF('PFM NON-SELL (Draft Layers)'!DN214="X","X"," ")</f>
        <v xml:space="preserve"> </v>
      </c>
      <c r="DF34" s="76" t="str">
        <f>IF('PFM NON-SELL (Draft Layers)'!DO214="X","X"," ")</f>
        <v xml:space="preserve"> </v>
      </c>
      <c r="DG34" s="76" t="str">
        <f>IF('PFM NON-SELL (Draft Layers)'!DP214="X","X"," ")</f>
        <v xml:space="preserve"> </v>
      </c>
      <c r="DH34" s="76" t="str">
        <f>IF('PFM NON-SELL (Draft Layers)'!DQ214="X","X"," ")</f>
        <v xml:space="preserve"> </v>
      </c>
      <c r="DI34" s="76" t="str">
        <f>IF('PFM NON-SELL (Draft Layers)'!DR214="X","X"," ")</f>
        <v xml:space="preserve"> </v>
      </c>
      <c r="DJ34" s="76" t="str">
        <f>IF('PFM NON-SELL (Draft Layers)'!DS214="X","X"," ")</f>
        <v xml:space="preserve"> </v>
      </c>
      <c r="DK34" s="76" t="str">
        <f>IF('PFM NON-SELL (Draft Layers)'!DT214="X","X"," ")</f>
        <v xml:space="preserve"> </v>
      </c>
      <c r="DL34" s="76" t="str">
        <f>IF('PFM NON-SELL (Draft Layers)'!DU214="X","X"," ")</f>
        <v xml:space="preserve"> </v>
      </c>
      <c r="DM34" s="76"/>
      <c r="DN34" s="95"/>
      <c r="DO34" s="90">
        <f t="shared" si="6"/>
        <v>4</v>
      </c>
      <c r="DP34" s="21"/>
      <c r="DQ34" s="21"/>
    </row>
    <row r="35" spans="1:121" x14ac:dyDescent="0.3">
      <c r="A35" s="4" t="s">
        <v>126</v>
      </c>
      <c r="B35" s="4" t="s">
        <v>150</v>
      </c>
      <c r="C35" s="4" t="s">
        <v>155</v>
      </c>
      <c r="D35" s="4" t="s">
        <v>156</v>
      </c>
      <c r="E35" s="12">
        <v>184.88</v>
      </c>
      <c r="F35" s="34">
        <f t="shared" ref="F35:F63" si="7">E35*G35</f>
        <v>385474.8</v>
      </c>
      <c r="G35" s="28">
        <f t="shared" ref="G35:G63" si="8">SUM(M35:X35)</f>
        <v>2085</v>
      </c>
      <c r="H35" s="28">
        <f t="shared" ref="H35:H63" si="9">ROUNDUP(G35/12,0)</f>
        <v>174</v>
      </c>
      <c r="I35" s="26">
        <f t="shared" ref="I35:I63" si="10">J35*E35</f>
        <v>122020.8</v>
      </c>
      <c r="J35" s="24">
        <f t="shared" ref="J35:J63" si="11">SUM(Y35:AC35)</f>
        <v>660</v>
      </c>
      <c r="K35" s="31">
        <f t="shared" ref="K35:K63" si="12">ROUNDUP(J35/5,0)</f>
        <v>132</v>
      </c>
      <c r="L35" s="9">
        <v>0</v>
      </c>
      <c r="M35" s="9">
        <v>0</v>
      </c>
      <c r="N35" s="9">
        <v>0</v>
      </c>
      <c r="O35" s="9">
        <v>500</v>
      </c>
      <c r="P35" s="9">
        <v>500</v>
      </c>
      <c r="Q35" s="9">
        <v>185</v>
      </c>
      <c r="R35" s="9">
        <v>120</v>
      </c>
      <c r="S35" s="9">
        <v>150</v>
      </c>
      <c r="T35" s="9">
        <v>120</v>
      </c>
      <c r="U35" s="9">
        <v>120</v>
      </c>
      <c r="V35" s="9">
        <v>150</v>
      </c>
      <c r="W35" s="9">
        <v>120</v>
      </c>
      <c r="X35" s="9">
        <v>120</v>
      </c>
      <c r="Y35" s="9">
        <v>150</v>
      </c>
      <c r="Z35" s="9">
        <v>120</v>
      </c>
      <c r="AA35" s="9">
        <v>120</v>
      </c>
      <c r="AB35" s="9">
        <v>150</v>
      </c>
      <c r="AC35" s="9">
        <v>120</v>
      </c>
      <c r="AE35" s="6">
        <v>0</v>
      </c>
      <c r="AF35" s="6">
        <v>0</v>
      </c>
      <c r="AG35" s="6">
        <v>0</v>
      </c>
      <c r="AH35" s="6">
        <v>92440</v>
      </c>
      <c r="AI35" s="6">
        <v>92440</v>
      </c>
      <c r="AJ35" s="6">
        <v>34202.799999999996</v>
      </c>
      <c r="AK35" s="6">
        <v>22185.599999999999</v>
      </c>
      <c r="AL35" s="6">
        <v>27732</v>
      </c>
      <c r="AM35" s="6">
        <v>22185.599999999999</v>
      </c>
      <c r="AN35" s="6">
        <v>22185.599999999999</v>
      </c>
      <c r="AO35" s="6">
        <v>27732</v>
      </c>
      <c r="AP35" s="6">
        <v>22185.599999999999</v>
      </c>
      <c r="AQ35" s="6">
        <v>22185.599999999999</v>
      </c>
      <c r="AR35" s="6">
        <v>27732</v>
      </c>
      <c r="AS35" s="6">
        <v>22185.599999999999</v>
      </c>
      <c r="AT35" s="6">
        <v>22185.599999999999</v>
      </c>
      <c r="AU35" s="6">
        <v>27732</v>
      </c>
      <c r="AV35" s="6">
        <v>22185.599999999999</v>
      </c>
      <c r="AW35" s="93" t="str">
        <f>IF('PFM NON-SELL (Draft Layers)'!AW218="X","X"," ")</f>
        <v>X</v>
      </c>
      <c r="AX35" s="76" t="str">
        <f>IF('PFM NON-SELL (Draft Layers)'!AX218="X","X"," ")</f>
        <v>X</v>
      </c>
      <c r="AY35" s="76" t="str">
        <f>IF('PFM NON-SELL (Draft Layers)'!AY218="X","X"," ")</f>
        <v>X</v>
      </c>
      <c r="AZ35" s="76" t="str">
        <f>IF('PFM NON-SELL (Draft Layers)'!AZ218="X","X"," ")</f>
        <v xml:space="preserve"> </v>
      </c>
      <c r="BA35" s="76" t="str">
        <f>IF('PFM NON-SELL (Draft Layers)'!BA218="X","X"," ")</f>
        <v>X</v>
      </c>
      <c r="BB35" s="76" t="str">
        <f>IF('PFM NON-SELL (Draft Layers)'!BB218="X","X"," ")</f>
        <v xml:space="preserve"> </v>
      </c>
      <c r="BC35" s="76" t="str">
        <f>IF('PFM NON-SELL (Draft Layers)'!BC218="X","X"," ")</f>
        <v xml:space="preserve"> </v>
      </c>
      <c r="BD35" s="76" t="str">
        <f>IF('PFM NON-SELL (Draft Layers)'!BD218="X","X"," ")</f>
        <v xml:space="preserve"> </v>
      </c>
      <c r="BE35" s="76" t="str">
        <f>IF('PFM NON-SELL (Draft Layers)'!BE218="X","X"," ")</f>
        <v xml:space="preserve"> </v>
      </c>
      <c r="BF35" s="76" t="str">
        <f>IF('PFM NON-SELL (Draft Layers)'!BF218="X","X"," ")</f>
        <v xml:space="preserve"> </v>
      </c>
      <c r="BG35" s="76"/>
      <c r="BH35" s="76"/>
      <c r="BI35" s="76" t="str">
        <f>IF('PFM NON-SELL (Draft Layers)'!BG218="X","X"," ")</f>
        <v xml:space="preserve"> </v>
      </c>
      <c r="BJ35" s="76" t="str">
        <f>IF('PFM NON-SELL (Draft Layers)'!BJ218="X","X"," ")</f>
        <v xml:space="preserve"> </v>
      </c>
      <c r="BK35" s="76" t="str">
        <f>IF('PFM NON-SELL (Draft Layers)'!BK218="X","X"," ")</f>
        <v>X</v>
      </c>
      <c r="BL35" s="76" t="str">
        <f>IF('PFM NON-SELL (Draft Layers)'!BM218="X","X"," ")</f>
        <v xml:space="preserve"> </v>
      </c>
      <c r="BM35" s="76" t="str">
        <f>IF('PFM NON-SELL (Draft Layers)'!BN218="X","X"," ")</f>
        <v xml:space="preserve"> </v>
      </c>
      <c r="BN35" s="76" t="str">
        <f>IF('PFM NON-SELL (Draft Layers)'!BO218="X","X"," ")</f>
        <v>X</v>
      </c>
      <c r="BO35" s="76" t="str">
        <f>IF('PFM NON-SELL (Draft Layers)'!BP218="X","X"," ")</f>
        <v>X</v>
      </c>
      <c r="BP35" s="76" t="str">
        <f>IF('PFM NON-SELL (Draft Layers)'!BQ218="X","X"," ")</f>
        <v xml:space="preserve"> </v>
      </c>
      <c r="BQ35" s="76" t="str">
        <f>IF('PFM NON-SELL (Draft Layers)'!BR218="X","X"," ")</f>
        <v xml:space="preserve"> </v>
      </c>
      <c r="BR35" s="76"/>
      <c r="BS35" s="76"/>
      <c r="BT35" s="76"/>
      <c r="BU35" s="76"/>
      <c r="BV35" s="76" t="str">
        <f>IF('PFM NON-SELL (Draft Layers)'!BW218="X","X"," ")</f>
        <v xml:space="preserve"> </v>
      </c>
      <c r="BW35" s="76"/>
      <c r="BX35" s="76" t="str">
        <f>IF('PFM NON-SELL (Draft Layers)'!BZ218="X","X"," ")</f>
        <v xml:space="preserve"> </v>
      </c>
      <c r="BY35" s="76" t="str">
        <f>IF('PFM NON-SELL (Draft Layers)'!CA218="X","X"," ")</f>
        <v xml:space="preserve"> </v>
      </c>
      <c r="BZ35" s="76" t="str">
        <f>IF('PFM NON-SELL (Draft Layers)'!CB218="X","X"," ")</f>
        <v xml:space="preserve"> </v>
      </c>
      <c r="CA35" s="76" t="str">
        <f>IF('PFM NON-SELL (Draft Layers)'!CC218="X","X"," ")</f>
        <v xml:space="preserve"> </v>
      </c>
      <c r="CB35" s="76" t="str">
        <f>IF('PFM NON-SELL (Draft Layers)'!CD218="X","X"," ")</f>
        <v xml:space="preserve"> </v>
      </c>
      <c r="CC35" s="76" t="str">
        <f>IF('PFM NON-SELL (Draft Layers)'!CE218="X","X"," ")</f>
        <v xml:space="preserve"> </v>
      </c>
      <c r="CD35" s="76" t="str">
        <f>IF('PFM NON-SELL (Draft Layers)'!CF218="X","X"," ")</f>
        <v xml:space="preserve"> </v>
      </c>
      <c r="CE35" s="76" t="str">
        <f>IF('PFM NON-SELL (Draft Layers)'!CG218="X","X"," ")</f>
        <v xml:space="preserve"> </v>
      </c>
      <c r="CF35" s="76" t="str">
        <f>IF('PFM NON-SELL (Draft Layers)'!CH218="X","X"," ")</f>
        <v xml:space="preserve"> </v>
      </c>
      <c r="CG35" s="76" t="str">
        <f>IF('PFM NON-SELL (Draft Layers)'!CI218="X","X"," ")</f>
        <v xml:space="preserve"> </v>
      </c>
      <c r="CH35" s="76" t="str">
        <f>IF('PFM NON-SELL (Draft Layers)'!CJ218="X","X"," ")</f>
        <v xml:space="preserve"> </v>
      </c>
      <c r="CI35" s="76"/>
      <c r="CJ35" s="76"/>
      <c r="CK35" s="76"/>
      <c r="CL35" s="76"/>
      <c r="CM35" s="76" t="str">
        <f>IF('PFM NON-SELL (Draft Layers)'!CV218="X","X"," ")</f>
        <v xml:space="preserve"> </v>
      </c>
      <c r="CN35" s="76" t="str">
        <f>IF('PFM NON-SELL (Draft Layers)'!CW218="X","X"," ")</f>
        <v xml:space="preserve"> </v>
      </c>
      <c r="CO35" s="76" t="str">
        <f>IF('PFM NON-SELL (Draft Layers)'!CX218="X","X"," ")</f>
        <v xml:space="preserve"> </v>
      </c>
      <c r="CP35" s="76" t="str">
        <f>IF('PFM NON-SELL (Draft Layers)'!CY218="X","X"," ")</f>
        <v xml:space="preserve"> </v>
      </c>
      <c r="CQ35" s="76" t="str">
        <f>IF('PFM NON-SELL (Draft Layers)'!CZ218="X","X"," ")</f>
        <v xml:space="preserve"> </v>
      </c>
      <c r="CR35" s="76" t="str">
        <f>IF('PFM NON-SELL (Draft Layers)'!DA218="X","X"," ")</f>
        <v xml:space="preserve"> </v>
      </c>
      <c r="CS35" s="76" t="str">
        <f>IF('PFM NON-SELL (Draft Layers)'!DB218="X","X"," ")</f>
        <v xml:space="preserve"> </v>
      </c>
      <c r="CT35" s="76" t="str">
        <f>IF('PFM NON-SELL (Draft Layers)'!DC218="X","X"," ")</f>
        <v>X</v>
      </c>
      <c r="CU35" s="76" t="str">
        <f>IF('PFM NON-SELL (Draft Layers)'!DD218="X","X"," ")</f>
        <v xml:space="preserve"> </v>
      </c>
      <c r="CV35" s="76" t="str">
        <f>IF('PFM NON-SELL (Draft Layers)'!DE218="X","X"," ")</f>
        <v xml:space="preserve"> </v>
      </c>
      <c r="CW35" s="76" t="str">
        <f>IF('PFM NON-SELL (Draft Layers)'!DF218="X","X"," ")</f>
        <v xml:space="preserve"> </v>
      </c>
      <c r="CX35" s="76" t="str">
        <f>IF('PFM NON-SELL (Draft Layers)'!DG218="X","X"," ")</f>
        <v xml:space="preserve"> </v>
      </c>
      <c r="CY35" s="76" t="str">
        <f>IF('PFM NON-SELL (Draft Layers)'!DH218="X","X"," ")</f>
        <v>X</v>
      </c>
      <c r="CZ35" s="76" t="str">
        <f>IF('PFM NON-SELL (Draft Layers)'!DI218="X","X"," ")</f>
        <v xml:space="preserve"> </v>
      </c>
      <c r="DA35" s="76" t="str">
        <f>IF('PFM NON-SELL (Draft Layers)'!DJ218="X","X"," ")</f>
        <v xml:space="preserve"> </v>
      </c>
      <c r="DB35" s="76" t="str">
        <f>IF('PFM NON-SELL (Draft Layers)'!DK218="X","X"," ")</f>
        <v xml:space="preserve"> </v>
      </c>
      <c r="DC35" s="76" t="str">
        <f>IF('PFM NON-SELL (Draft Layers)'!DL218="X","X"," ")</f>
        <v xml:space="preserve"> </v>
      </c>
      <c r="DD35" s="76" t="str">
        <f>IF('PFM NON-SELL (Draft Layers)'!DM218="X","X"," ")</f>
        <v xml:space="preserve"> </v>
      </c>
      <c r="DE35" s="76" t="str">
        <f>IF('PFM NON-SELL (Draft Layers)'!DN218="X","X"," ")</f>
        <v xml:space="preserve"> </v>
      </c>
      <c r="DF35" s="76" t="str">
        <f>IF('PFM NON-SELL (Draft Layers)'!DO218="X","X"," ")</f>
        <v xml:space="preserve"> </v>
      </c>
      <c r="DG35" s="76" t="str">
        <f>IF('PFM NON-SELL (Draft Layers)'!DP218="X","X"," ")</f>
        <v xml:space="preserve"> </v>
      </c>
      <c r="DH35" s="76" t="str">
        <f>IF('PFM NON-SELL (Draft Layers)'!DQ218="X","X"," ")</f>
        <v xml:space="preserve"> </v>
      </c>
      <c r="DI35" s="76" t="str">
        <f>IF('PFM NON-SELL (Draft Layers)'!DR218="X","X"," ")</f>
        <v xml:space="preserve"> </v>
      </c>
      <c r="DJ35" s="76" t="str">
        <f>IF('PFM NON-SELL (Draft Layers)'!DS218="X","X"," ")</f>
        <v xml:space="preserve"> </v>
      </c>
      <c r="DK35" s="76" t="str">
        <f>IF('PFM NON-SELL (Draft Layers)'!DT218="X","X"," ")</f>
        <v xml:space="preserve"> </v>
      </c>
      <c r="DL35" s="76" t="str">
        <f>IF('PFM NON-SELL (Draft Layers)'!DU218="X","X"," ")</f>
        <v xml:space="preserve"> </v>
      </c>
      <c r="DM35" s="76"/>
      <c r="DN35" s="95"/>
      <c r="DO35" s="90">
        <f t="shared" si="6"/>
        <v>9</v>
      </c>
      <c r="DP35" s="21"/>
      <c r="DQ35" s="21"/>
    </row>
    <row r="36" spans="1:121" x14ac:dyDescent="0.3">
      <c r="A36" s="4" t="s">
        <v>126</v>
      </c>
      <c r="B36" s="4" t="s">
        <v>150</v>
      </c>
      <c r="C36" s="4" t="s">
        <v>157</v>
      </c>
      <c r="D36" s="4" t="s">
        <v>158</v>
      </c>
      <c r="E36" s="12">
        <v>9.14</v>
      </c>
      <c r="F36" s="34">
        <f t="shared" si="7"/>
        <v>12147.060000000001</v>
      </c>
      <c r="G36" s="28">
        <f t="shared" si="8"/>
        <v>1329</v>
      </c>
      <c r="H36" s="28">
        <f t="shared" si="9"/>
        <v>111</v>
      </c>
      <c r="I36" s="26">
        <f t="shared" si="10"/>
        <v>6032.4000000000005</v>
      </c>
      <c r="J36" s="24">
        <f t="shared" si="11"/>
        <v>660</v>
      </c>
      <c r="K36" s="31">
        <f t="shared" si="12"/>
        <v>132</v>
      </c>
      <c r="L36" s="9">
        <v>0</v>
      </c>
      <c r="M36" s="9">
        <v>244</v>
      </c>
      <c r="N36" s="9">
        <v>0</v>
      </c>
      <c r="O36" s="9">
        <v>0</v>
      </c>
      <c r="P36" s="9">
        <v>0</v>
      </c>
      <c r="Q36" s="9">
        <v>185</v>
      </c>
      <c r="R36" s="9">
        <v>120</v>
      </c>
      <c r="S36" s="9">
        <v>150</v>
      </c>
      <c r="T36" s="9">
        <v>120</v>
      </c>
      <c r="U36" s="9">
        <v>120</v>
      </c>
      <c r="V36" s="9">
        <v>150</v>
      </c>
      <c r="W36" s="9">
        <v>120</v>
      </c>
      <c r="X36" s="9">
        <v>120</v>
      </c>
      <c r="Y36" s="9">
        <v>150</v>
      </c>
      <c r="Z36" s="9">
        <v>120</v>
      </c>
      <c r="AA36" s="9">
        <v>120</v>
      </c>
      <c r="AB36" s="9">
        <v>150</v>
      </c>
      <c r="AC36" s="9">
        <v>120</v>
      </c>
      <c r="AE36" s="6">
        <v>0</v>
      </c>
      <c r="AF36" s="6">
        <v>2156.96</v>
      </c>
      <c r="AG36" s="6">
        <v>0</v>
      </c>
      <c r="AH36" s="6">
        <v>0</v>
      </c>
      <c r="AI36" s="6">
        <v>0</v>
      </c>
      <c r="AJ36" s="6">
        <v>1646.5</v>
      </c>
      <c r="AK36" s="6">
        <v>1068</v>
      </c>
      <c r="AL36" s="6">
        <v>1335</v>
      </c>
      <c r="AM36" s="6">
        <v>1060.8</v>
      </c>
      <c r="AN36" s="6">
        <v>1060.8</v>
      </c>
      <c r="AO36" s="6">
        <v>1326</v>
      </c>
      <c r="AP36" s="6">
        <v>1060.8</v>
      </c>
      <c r="AQ36" s="6">
        <v>1060.8</v>
      </c>
      <c r="AR36" s="6">
        <v>1326</v>
      </c>
      <c r="AS36" s="6">
        <v>1060.8</v>
      </c>
      <c r="AT36" s="6">
        <v>1060.8</v>
      </c>
      <c r="AU36" s="6">
        <v>1326</v>
      </c>
      <c r="AV36" s="6">
        <v>1060.8</v>
      </c>
      <c r="AW36" s="93" t="str">
        <f>IF('PFM NON-SELL (Draft Layers)'!AW230="X","X"," ")</f>
        <v>X</v>
      </c>
      <c r="AX36" s="76" t="str">
        <f>IF('PFM NON-SELL (Draft Layers)'!AX230="X","X"," ")</f>
        <v xml:space="preserve"> </v>
      </c>
      <c r="AY36" s="76" t="str">
        <f>IF('PFM NON-SELL (Draft Layers)'!AY230="X","X"," ")</f>
        <v xml:space="preserve"> </v>
      </c>
      <c r="AZ36" s="76" t="str">
        <f>IF('PFM NON-SELL (Draft Layers)'!AZ230="X","X"," ")</f>
        <v xml:space="preserve"> </v>
      </c>
      <c r="BA36" s="76" t="str">
        <f>IF('PFM NON-SELL (Draft Layers)'!BA230="X","X"," ")</f>
        <v xml:space="preserve"> </v>
      </c>
      <c r="BB36" s="76" t="str">
        <f>IF('PFM NON-SELL (Draft Layers)'!BB230="X","X"," ")</f>
        <v xml:space="preserve"> </v>
      </c>
      <c r="BC36" s="76" t="str">
        <f>IF('PFM NON-SELL (Draft Layers)'!BC230="X","X"," ")</f>
        <v xml:space="preserve"> </v>
      </c>
      <c r="BD36" s="76" t="str">
        <f>IF('PFM NON-SELL (Draft Layers)'!BD230="X","X"," ")</f>
        <v xml:space="preserve"> </v>
      </c>
      <c r="BE36" s="76" t="str">
        <f>IF('PFM NON-SELL (Draft Layers)'!BE230="X","X"," ")</f>
        <v xml:space="preserve"> </v>
      </c>
      <c r="BF36" s="76" t="str">
        <f>IF('PFM NON-SELL (Draft Layers)'!BF230="X","X"," ")</f>
        <v xml:space="preserve"> </v>
      </c>
      <c r="BG36" s="76"/>
      <c r="BH36" s="76"/>
      <c r="BI36" s="76" t="str">
        <f>IF('PFM NON-SELL (Draft Layers)'!BG230="X","X"," ")</f>
        <v xml:space="preserve"> </v>
      </c>
      <c r="BJ36" s="76" t="str">
        <f>IF('PFM NON-SELL (Draft Layers)'!BJ230="X","X"," ")</f>
        <v xml:space="preserve"> </v>
      </c>
      <c r="BK36" s="76" t="str">
        <f>IF('PFM NON-SELL (Draft Layers)'!BK230="X","X"," ")</f>
        <v xml:space="preserve"> </v>
      </c>
      <c r="BL36" s="76" t="str">
        <f>IF('PFM NON-SELL (Draft Layers)'!BM230="X","X"," ")</f>
        <v xml:space="preserve"> </v>
      </c>
      <c r="BM36" s="76" t="str">
        <f>IF('PFM NON-SELL (Draft Layers)'!BN230="X","X"," ")</f>
        <v xml:space="preserve"> </v>
      </c>
      <c r="BN36" s="76" t="str">
        <f>IF('PFM NON-SELL (Draft Layers)'!BO230="X","X"," ")</f>
        <v>X</v>
      </c>
      <c r="BO36" s="76" t="str">
        <f>IF('PFM NON-SELL (Draft Layers)'!BP230="X","X"," ")</f>
        <v>X</v>
      </c>
      <c r="BP36" s="76" t="str">
        <f>IF('PFM NON-SELL (Draft Layers)'!BQ230="X","X"," ")</f>
        <v xml:space="preserve"> </v>
      </c>
      <c r="BQ36" s="76" t="str">
        <f>IF('PFM NON-SELL (Draft Layers)'!BR230="X","X"," ")</f>
        <v xml:space="preserve"> </v>
      </c>
      <c r="BR36" s="76"/>
      <c r="BS36" s="76"/>
      <c r="BT36" s="76"/>
      <c r="BU36" s="76"/>
      <c r="BV36" s="76" t="str">
        <f>IF('PFM NON-SELL (Draft Layers)'!BW230="X","X"," ")</f>
        <v xml:space="preserve"> </v>
      </c>
      <c r="BW36" s="76"/>
      <c r="BX36" s="76" t="str">
        <f>IF('PFM NON-SELL (Draft Layers)'!BZ230="X","X"," ")</f>
        <v xml:space="preserve"> </v>
      </c>
      <c r="BY36" s="76" t="str">
        <f>IF('PFM NON-SELL (Draft Layers)'!CA230="X","X"," ")</f>
        <v xml:space="preserve"> </v>
      </c>
      <c r="BZ36" s="76" t="str">
        <f>IF('PFM NON-SELL (Draft Layers)'!CB230="X","X"," ")</f>
        <v xml:space="preserve"> </v>
      </c>
      <c r="CA36" s="76" t="str">
        <f>IF('PFM NON-SELL (Draft Layers)'!CC230="X","X"," ")</f>
        <v xml:space="preserve"> </v>
      </c>
      <c r="CB36" s="76" t="str">
        <f>IF('PFM NON-SELL (Draft Layers)'!CD230="X","X"," ")</f>
        <v xml:space="preserve"> </v>
      </c>
      <c r="CC36" s="76" t="str">
        <f>IF('PFM NON-SELL (Draft Layers)'!CE230="X","X"," ")</f>
        <v xml:space="preserve"> </v>
      </c>
      <c r="CD36" s="76" t="str">
        <f>IF('PFM NON-SELL (Draft Layers)'!CF230="X","X"," ")</f>
        <v xml:space="preserve"> </v>
      </c>
      <c r="CE36" s="76" t="str">
        <f>IF('PFM NON-SELL (Draft Layers)'!CG230="X","X"," ")</f>
        <v xml:space="preserve"> </v>
      </c>
      <c r="CF36" s="76" t="str">
        <f>IF('PFM NON-SELL (Draft Layers)'!CH230="X","X"," ")</f>
        <v xml:space="preserve"> </v>
      </c>
      <c r="CG36" s="76" t="str">
        <f>IF('PFM NON-SELL (Draft Layers)'!CI230="X","X"," ")</f>
        <v xml:space="preserve"> </v>
      </c>
      <c r="CH36" s="76" t="str">
        <f>IF('PFM NON-SELL (Draft Layers)'!CJ230="X","X"," ")</f>
        <v xml:space="preserve"> </v>
      </c>
      <c r="CI36" s="76"/>
      <c r="CJ36" s="76"/>
      <c r="CK36" s="76"/>
      <c r="CL36" s="76"/>
      <c r="CM36" s="76" t="str">
        <f>IF('PFM NON-SELL (Draft Layers)'!CV230="X","X"," ")</f>
        <v xml:space="preserve"> </v>
      </c>
      <c r="CN36" s="76" t="str">
        <f>IF('PFM NON-SELL (Draft Layers)'!CW230="X","X"," ")</f>
        <v xml:space="preserve"> </v>
      </c>
      <c r="CO36" s="76" t="str">
        <f>IF('PFM NON-SELL (Draft Layers)'!CX230="X","X"," ")</f>
        <v xml:space="preserve"> </v>
      </c>
      <c r="CP36" s="76" t="str">
        <f>IF('PFM NON-SELL (Draft Layers)'!CY230="X","X"," ")</f>
        <v xml:space="preserve"> </v>
      </c>
      <c r="CQ36" s="76" t="str">
        <f>IF('PFM NON-SELL (Draft Layers)'!CZ230="X","X"," ")</f>
        <v xml:space="preserve"> </v>
      </c>
      <c r="CR36" s="76" t="str">
        <f>IF('PFM NON-SELL (Draft Layers)'!DA230="X","X"," ")</f>
        <v xml:space="preserve"> </v>
      </c>
      <c r="CS36" s="76" t="str">
        <f>IF('PFM NON-SELL (Draft Layers)'!DB230="X","X"," ")</f>
        <v xml:space="preserve"> </v>
      </c>
      <c r="CT36" s="76" t="str">
        <f>IF('PFM NON-SELL (Draft Layers)'!DC230="X","X"," ")</f>
        <v xml:space="preserve"> </v>
      </c>
      <c r="CU36" s="76" t="str">
        <f>IF('PFM NON-SELL (Draft Layers)'!DD230="X","X"," ")</f>
        <v>X</v>
      </c>
      <c r="CV36" s="76" t="str">
        <f>IF('PFM NON-SELL (Draft Layers)'!DE230="X","X"," ")</f>
        <v xml:space="preserve"> </v>
      </c>
      <c r="CW36" s="76" t="str">
        <f>IF('PFM NON-SELL (Draft Layers)'!DF230="X","X"," ")</f>
        <v xml:space="preserve"> </v>
      </c>
      <c r="CX36" s="76" t="str">
        <f>IF('PFM NON-SELL (Draft Layers)'!DG230="X","X"," ")</f>
        <v xml:space="preserve"> </v>
      </c>
      <c r="CY36" s="76" t="str">
        <f>IF('PFM NON-SELL (Draft Layers)'!DH230="X","X"," ")</f>
        <v>X</v>
      </c>
      <c r="CZ36" s="76" t="str">
        <f>IF('PFM NON-SELL (Draft Layers)'!DI230="X","X"," ")</f>
        <v xml:space="preserve"> </v>
      </c>
      <c r="DA36" s="76" t="str">
        <f>IF('PFM NON-SELL (Draft Layers)'!DJ230="X","X"," ")</f>
        <v xml:space="preserve"> </v>
      </c>
      <c r="DB36" s="76" t="str">
        <f>IF('PFM NON-SELL (Draft Layers)'!DK230="X","X"," ")</f>
        <v xml:space="preserve"> </v>
      </c>
      <c r="DC36" s="76" t="str">
        <f>IF('PFM NON-SELL (Draft Layers)'!DL230="X","X"," ")</f>
        <v xml:space="preserve"> </v>
      </c>
      <c r="DD36" s="76" t="str">
        <f>IF('PFM NON-SELL (Draft Layers)'!DM230="X","X"," ")</f>
        <v xml:space="preserve"> </v>
      </c>
      <c r="DE36" s="76" t="str">
        <f>IF('PFM NON-SELL (Draft Layers)'!DN230="X","X"," ")</f>
        <v xml:space="preserve"> </v>
      </c>
      <c r="DF36" s="76" t="str">
        <f>IF('PFM NON-SELL (Draft Layers)'!DO230="X","X"," ")</f>
        <v xml:space="preserve"> </v>
      </c>
      <c r="DG36" s="76" t="str">
        <f>IF('PFM NON-SELL (Draft Layers)'!DP230="X","X"," ")</f>
        <v xml:space="preserve"> </v>
      </c>
      <c r="DH36" s="76" t="str">
        <f>IF('PFM NON-SELL (Draft Layers)'!DQ230="X","X"," ")</f>
        <v xml:space="preserve"> </v>
      </c>
      <c r="DI36" s="76" t="str">
        <f>IF('PFM NON-SELL (Draft Layers)'!DR230="X","X"," ")</f>
        <v xml:space="preserve"> </v>
      </c>
      <c r="DJ36" s="76" t="str">
        <f>IF('PFM NON-SELL (Draft Layers)'!DS230="X","X"," ")</f>
        <v xml:space="preserve"> </v>
      </c>
      <c r="DK36" s="76" t="str">
        <f>IF('PFM NON-SELL (Draft Layers)'!DT230="X","X"," ")</f>
        <v xml:space="preserve"> </v>
      </c>
      <c r="DL36" s="76" t="str">
        <f>IF('PFM NON-SELL (Draft Layers)'!DU230="X","X"," ")</f>
        <v xml:space="preserve"> </v>
      </c>
      <c r="DM36" s="76"/>
      <c r="DN36" s="95"/>
      <c r="DO36" s="90">
        <f t="shared" si="6"/>
        <v>5</v>
      </c>
      <c r="DP36" s="21"/>
      <c r="DQ36" s="21"/>
    </row>
    <row r="37" spans="1:121" x14ac:dyDescent="0.3">
      <c r="A37" s="4" t="s">
        <v>126</v>
      </c>
      <c r="B37" s="4" t="s">
        <v>150</v>
      </c>
      <c r="C37" s="4" t="s">
        <v>159</v>
      </c>
      <c r="D37" s="4" t="s">
        <v>160</v>
      </c>
      <c r="E37" s="12">
        <v>7.27</v>
      </c>
      <c r="F37" s="34">
        <f t="shared" si="7"/>
        <v>11522.949999999999</v>
      </c>
      <c r="G37" s="28">
        <f t="shared" si="8"/>
        <v>1585</v>
      </c>
      <c r="H37" s="28">
        <f t="shared" si="9"/>
        <v>133</v>
      </c>
      <c r="I37" s="26">
        <f t="shared" si="10"/>
        <v>4798.2</v>
      </c>
      <c r="J37" s="24">
        <f t="shared" si="11"/>
        <v>660</v>
      </c>
      <c r="K37" s="31">
        <f t="shared" si="12"/>
        <v>132</v>
      </c>
      <c r="L37" s="9">
        <v>0</v>
      </c>
      <c r="M37" s="9">
        <v>500</v>
      </c>
      <c r="N37" s="9">
        <v>0</v>
      </c>
      <c r="O37" s="9">
        <v>0</v>
      </c>
      <c r="P37" s="9">
        <v>0</v>
      </c>
      <c r="Q37" s="9">
        <v>185</v>
      </c>
      <c r="R37" s="9">
        <v>120</v>
      </c>
      <c r="S37" s="9">
        <v>150</v>
      </c>
      <c r="T37" s="9">
        <v>120</v>
      </c>
      <c r="U37" s="9">
        <v>120</v>
      </c>
      <c r="V37" s="9">
        <v>150</v>
      </c>
      <c r="W37" s="9">
        <v>120</v>
      </c>
      <c r="X37" s="9">
        <v>120</v>
      </c>
      <c r="Y37" s="9">
        <v>150</v>
      </c>
      <c r="Z37" s="9">
        <v>120</v>
      </c>
      <c r="AA37" s="9">
        <v>120</v>
      </c>
      <c r="AB37" s="9">
        <v>150</v>
      </c>
      <c r="AC37" s="9">
        <v>120</v>
      </c>
      <c r="AE37" s="6">
        <v>0</v>
      </c>
      <c r="AF37" s="6">
        <v>3635</v>
      </c>
      <c r="AG37" s="6">
        <v>0</v>
      </c>
      <c r="AH37" s="6">
        <v>0</v>
      </c>
      <c r="AI37" s="6">
        <v>0</v>
      </c>
      <c r="AJ37" s="6">
        <v>1344.9499999999998</v>
      </c>
      <c r="AK37" s="6">
        <v>872.4</v>
      </c>
      <c r="AL37" s="6">
        <v>1090.5</v>
      </c>
      <c r="AM37" s="6">
        <v>872.4</v>
      </c>
      <c r="AN37" s="6">
        <v>872.4</v>
      </c>
      <c r="AO37" s="6">
        <v>1090.5</v>
      </c>
      <c r="AP37" s="6">
        <v>872.4</v>
      </c>
      <c r="AQ37" s="6">
        <v>872.4</v>
      </c>
      <c r="AR37" s="6">
        <v>1090.5</v>
      </c>
      <c r="AS37" s="6">
        <v>872.4</v>
      </c>
      <c r="AT37" s="6">
        <v>872.4</v>
      </c>
      <c r="AU37" s="6">
        <v>1090.5</v>
      </c>
      <c r="AV37" s="6">
        <v>872.4</v>
      </c>
      <c r="AW37" s="93" t="str">
        <f>IF('PFM NON-SELL (Draft Layers)'!AW231="X","X"," ")</f>
        <v xml:space="preserve"> </v>
      </c>
      <c r="AX37" s="76" t="str">
        <f>IF('PFM NON-SELL (Draft Layers)'!AX231="X","X"," ")</f>
        <v xml:space="preserve"> </v>
      </c>
      <c r="AY37" s="76" t="str">
        <f>IF('PFM NON-SELL (Draft Layers)'!AY231="X","X"," ")</f>
        <v xml:space="preserve"> </v>
      </c>
      <c r="AZ37" s="76" t="str">
        <f>IF('PFM NON-SELL (Draft Layers)'!AZ231="X","X"," ")</f>
        <v xml:space="preserve"> </v>
      </c>
      <c r="BA37" s="76" t="str">
        <f>IF('PFM NON-SELL (Draft Layers)'!BA231="X","X"," ")</f>
        <v xml:space="preserve"> </v>
      </c>
      <c r="BB37" s="76" t="str">
        <f>IF('PFM NON-SELL (Draft Layers)'!BB231="X","X"," ")</f>
        <v>X</v>
      </c>
      <c r="BC37" s="76" t="str">
        <f>IF('PFM NON-SELL (Draft Layers)'!BC231="X","X"," ")</f>
        <v xml:space="preserve"> </v>
      </c>
      <c r="BD37" s="76" t="str">
        <f>IF('PFM NON-SELL (Draft Layers)'!BD231="X","X"," ")</f>
        <v xml:space="preserve"> </v>
      </c>
      <c r="BE37" s="76" t="str">
        <f>IF('PFM NON-SELL (Draft Layers)'!BE231="X","X"," ")</f>
        <v xml:space="preserve"> </v>
      </c>
      <c r="BF37" s="76" t="str">
        <f>IF('PFM NON-SELL (Draft Layers)'!BF231="X","X"," ")</f>
        <v xml:space="preserve"> </v>
      </c>
      <c r="BG37" s="76"/>
      <c r="BH37" s="76"/>
      <c r="BI37" s="76" t="str">
        <f>IF('PFM NON-SELL (Draft Layers)'!BG231="X","X"," ")</f>
        <v xml:space="preserve"> </v>
      </c>
      <c r="BJ37" s="76" t="str">
        <f>IF('PFM NON-SELL (Draft Layers)'!BJ231="X","X"," ")</f>
        <v xml:space="preserve"> </v>
      </c>
      <c r="BK37" s="76" t="str">
        <f>IF('PFM NON-SELL (Draft Layers)'!BK231="X","X"," ")</f>
        <v xml:space="preserve"> </v>
      </c>
      <c r="BL37" s="76" t="str">
        <f>IF('PFM NON-SELL (Draft Layers)'!BM231="X","X"," ")</f>
        <v xml:space="preserve"> </v>
      </c>
      <c r="BM37" s="76" t="str">
        <f>IF('PFM NON-SELL (Draft Layers)'!BN231="X","X"," ")</f>
        <v xml:space="preserve"> </v>
      </c>
      <c r="BN37" s="76" t="str">
        <f>IF('PFM NON-SELL (Draft Layers)'!BO231="X","X"," ")</f>
        <v>X</v>
      </c>
      <c r="BO37" s="76" t="str">
        <f>IF('PFM NON-SELL (Draft Layers)'!BP231="X","X"," ")</f>
        <v>X</v>
      </c>
      <c r="BP37" s="76" t="str">
        <f>IF('PFM NON-SELL (Draft Layers)'!BQ231="X","X"," ")</f>
        <v xml:space="preserve"> </v>
      </c>
      <c r="BQ37" s="76" t="str">
        <f>IF('PFM NON-SELL (Draft Layers)'!BR231="X","X"," ")</f>
        <v xml:space="preserve"> </v>
      </c>
      <c r="BR37" s="76"/>
      <c r="BS37" s="76"/>
      <c r="BT37" s="76"/>
      <c r="BU37" s="76"/>
      <c r="BV37" s="76" t="str">
        <f>IF('PFM NON-SELL (Draft Layers)'!BW231="X","X"," ")</f>
        <v xml:space="preserve"> </v>
      </c>
      <c r="BW37" s="76"/>
      <c r="BX37" s="76" t="str">
        <f>IF('PFM NON-SELL (Draft Layers)'!BZ231="X","X"," ")</f>
        <v xml:space="preserve"> </v>
      </c>
      <c r="BY37" s="76" t="str">
        <f>IF('PFM NON-SELL (Draft Layers)'!CA231="X","X"," ")</f>
        <v xml:space="preserve"> </v>
      </c>
      <c r="BZ37" s="76" t="str">
        <f>IF('PFM NON-SELL (Draft Layers)'!CB231="X","X"," ")</f>
        <v xml:space="preserve"> </v>
      </c>
      <c r="CA37" s="76" t="str">
        <f>IF('PFM NON-SELL (Draft Layers)'!CC231="X","X"," ")</f>
        <v xml:space="preserve"> </v>
      </c>
      <c r="CB37" s="76" t="str">
        <f>IF('PFM NON-SELL (Draft Layers)'!CD231="X","X"," ")</f>
        <v xml:space="preserve"> </v>
      </c>
      <c r="CC37" s="76" t="str">
        <f>IF('PFM NON-SELL (Draft Layers)'!CE231="X","X"," ")</f>
        <v xml:space="preserve"> </v>
      </c>
      <c r="CD37" s="76" t="str">
        <f>IF('PFM NON-SELL (Draft Layers)'!CF231="X","X"," ")</f>
        <v xml:space="preserve"> </v>
      </c>
      <c r="CE37" s="76" t="str">
        <f>IF('PFM NON-SELL (Draft Layers)'!CG231="X","X"," ")</f>
        <v xml:space="preserve"> </v>
      </c>
      <c r="CF37" s="76" t="str">
        <f>IF('PFM NON-SELL (Draft Layers)'!CH231="X","X"," ")</f>
        <v xml:space="preserve"> </v>
      </c>
      <c r="CG37" s="76" t="str">
        <f>IF('PFM NON-SELL (Draft Layers)'!CI231="X","X"," ")</f>
        <v xml:space="preserve"> </v>
      </c>
      <c r="CH37" s="76" t="str">
        <f>IF('PFM NON-SELL (Draft Layers)'!CJ231="X","X"," ")</f>
        <v xml:space="preserve"> </v>
      </c>
      <c r="CI37" s="76"/>
      <c r="CJ37" s="76"/>
      <c r="CK37" s="76"/>
      <c r="CL37" s="76"/>
      <c r="CM37" s="76" t="str">
        <f>IF('PFM NON-SELL (Draft Layers)'!CV231="X","X"," ")</f>
        <v xml:space="preserve"> </v>
      </c>
      <c r="CN37" s="76" t="str">
        <f>IF('PFM NON-SELL (Draft Layers)'!CW231="X","X"," ")</f>
        <v xml:space="preserve"> </v>
      </c>
      <c r="CO37" s="76" t="str">
        <f>IF('PFM NON-SELL (Draft Layers)'!CX231="X","X"," ")</f>
        <v xml:space="preserve"> </v>
      </c>
      <c r="CP37" s="76" t="str">
        <f>IF('PFM NON-SELL (Draft Layers)'!CY231="X","X"," ")</f>
        <v xml:space="preserve"> </v>
      </c>
      <c r="CQ37" s="76" t="str">
        <f>IF('PFM NON-SELL (Draft Layers)'!CZ231="X","X"," ")</f>
        <v xml:space="preserve"> </v>
      </c>
      <c r="CR37" s="76" t="str">
        <f>IF('PFM NON-SELL (Draft Layers)'!DA231="X","X"," ")</f>
        <v xml:space="preserve"> </v>
      </c>
      <c r="CS37" s="76" t="str">
        <f>IF('PFM NON-SELL (Draft Layers)'!DB231="X","X"," ")</f>
        <v xml:space="preserve"> </v>
      </c>
      <c r="CT37" s="76" t="str">
        <f>IF('PFM NON-SELL (Draft Layers)'!DC231="X","X"," ")</f>
        <v xml:space="preserve"> </v>
      </c>
      <c r="CU37" s="76" t="str">
        <f>IF('PFM NON-SELL (Draft Layers)'!DD231="X","X"," ")</f>
        <v>X</v>
      </c>
      <c r="CV37" s="76" t="str">
        <f>IF('PFM NON-SELL (Draft Layers)'!DE231="X","X"," ")</f>
        <v xml:space="preserve"> </v>
      </c>
      <c r="CW37" s="76" t="str">
        <f>IF('PFM NON-SELL (Draft Layers)'!DF231="X","X"," ")</f>
        <v xml:space="preserve"> </v>
      </c>
      <c r="CX37" s="76" t="str">
        <f>IF('PFM NON-SELL (Draft Layers)'!DG231="X","X"," ")</f>
        <v xml:space="preserve"> </v>
      </c>
      <c r="CY37" s="76" t="str">
        <f>IF('PFM NON-SELL (Draft Layers)'!DH231="X","X"," ")</f>
        <v>X</v>
      </c>
      <c r="CZ37" s="76" t="str">
        <f>IF('PFM NON-SELL (Draft Layers)'!DI231="X","X"," ")</f>
        <v xml:space="preserve"> </v>
      </c>
      <c r="DA37" s="76" t="str">
        <f>IF('PFM NON-SELL (Draft Layers)'!DJ231="X","X"," ")</f>
        <v xml:space="preserve"> </v>
      </c>
      <c r="DB37" s="76" t="str">
        <f>IF('PFM NON-SELL (Draft Layers)'!DK231="X","X"," ")</f>
        <v xml:space="preserve"> </v>
      </c>
      <c r="DC37" s="76" t="str">
        <f>IF('PFM NON-SELL (Draft Layers)'!DL231="X","X"," ")</f>
        <v xml:space="preserve"> </v>
      </c>
      <c r="DD37" s="76" t="str">
        <f>IF('PFM NON-SELL (Draft Layers)'!DM231="X","X"," ")</f>
        <v xml:space="preserve"> </v>
      </c>
      <c r="DE37" s="76" t="str">
        <f>IF('PFM NON-SELL (Draft Layers)'!DN231="X","X"," ")</f>
        <v xml:space="preserve"> </v>
      </c>
      <c r="DF37" s="76" t="str">
        <f>IF('PFM NON-SELL (Draft Layers)'!DO231="X","X"," ")</f>
        <v xml:space="preserve"> </v>
      </c>
      <c r="DG37" s="76" t="str">
        <f>IF('PFM NON-SELL (Draft Layers)'!DP231="X","X"," ")</f>
        <v xml:space="preserve"> </v>
      </c>
      <c r="DH37" s="76" t="str">
        <f>IF('PFM NON-SELL (Draft Layers)'!DQ231="X","X"," ")</f>
        <v xml:space="preserve"> </v>
      </c>
      <c r="DI37" s="76" t="str">
        <f>IF('PFM NON-SELL (Draft Layers)'!DR231="X","X"," ")</f>
        <v xml:space="preserve"> </v>
      </c>
      <c r="DJ37" s="76" t="str">
        <f>IF('PFM NON-SELL (Draft Layers)'!DS231="X","X"," ")</f>
        <v xml:space="preserve"> </v>
      </c>
      <c r="DK37" s="76" t="str">
        <f>IF('PFM NON-SELL (Draft Layers)'!DT231="X","X"," ")</f>
        <v xml:space="preserve"> </v>
      </c>
      <c r="DL37" s="76" t="str">
        <f>IF('PFM NON-SELL (Draft Layers)'!DU231="X","X"," ")</f>
        <v xml:space="preserve"> </v>
      </c>
      <c r="DM37" s="76"/>
      <c r="DN37" s="95"/>
      <c r="DO37" s="90">
        <f t="shared" si="6"/>
        <v>5</v>
      </c>
      <c r="DP37" s="21"/>
      <c r="DQ37" s="21"/>
    </row>
    <row r="38" spans="1:121" x14ac:dyDescent="0.3">
      <c r="A38" s="4" t="s">
        <v>126</v>
      </c>
      <c r="B38" s="4" t="s">
        <v>173</v>
      </c>
      <c r="C38" s="4" t="s">
        <v>174</v>
      </c>
      <c r="D38" s="4" t="s">
        <v>175</v>
      </c>
      <c r="E38" s="12">
        <v>4.05</v>
      </c>
      <c r="F38" s="34">
        <f t="shared" si="7"/>
        <v>4110.75</v>
      </c>
      <c r="G38" s="28">
        <f t="shared" si="8"/>
        <v>1015</v>
      </c>
      <c r="H38" s="28">
        <f t="shared" si="9"/>
        <v>85</v>
      </c>
      <c r="I38" s="26">
        <f t="shared" si="10"/>
        <v>2583.9</v>
      </c>
      <c r="J38" s="24">
        <f t="shared" si="11"/>
        <v>638</v>
      </c>
      <c r="K38" s="31">
        <f t="shared" si="12"/>
        <v>128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145</v>
      </c>
      <c r="R38" s="9">
        <v>116</v>
      </c>
      <c r="S38" s="9">
        <v>145</v>
      </c>
      <c r="T38" s="9">
        <v>116</v>
      </c>
      <c r="U38" s="9">
        <v>116</v>
      </c>
      <c r="V38" s="9">
        <v>145</v>
      </c>
      <c r="W38" s="9">
        <v>116</v>
      </c>
      <c r="X38" s="9">
        <v>116</v>
      </c>
      <c r="Y38" s="9">
        <v>145</v>
      </c>
      <c r="Z38" s="9">
        <v>116</v>
      </c>
      <c r="AA38" s="9">
        <v>116</v>
      </c>
      <c r="AB38" s="9">
        <v>145</v>
      </c>
      <c r="AC38" s="9">
        <v>116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540.85</v>
      </c>
      <c r="AK38" s="6">
        <v>432.68</v>
      </c>
      <c r="AL38" s="6">
        <v>540.85</v>
      </c>
      <c r="AM38" s="6">
        <v>432.68</v>
      </c>
      <c r="AN38" s="6">
        <v>432.68</v>
      </c>
      <c r="AO38" s="6">
        <v>540.85</v>
      </c>
      <c r="AP38" s="6">
        <v>432.68</v>
      </c>
      <c r="AQ38" s="6">
        <v>432.68</v>
      </c>
      <c r="AR38" s="6">
        <v>540.85</v>
      </c>
      <c r="AS38" s="6">
        <v>432.68</v>
      </c>
      <c r="AT38" s="6">
        <v>432.68</v>
      </c>
      <c r="AU38" s="6">
        <v>540.85</v>
      </c>
      <c r="AV38" s="6">
        <v>432.68</v>
      </c>
      <c r="AW38" s="93" t="str">
        <f>IF('PFM NON-SELL (Draft Layers)'!AW235="X","X"," ")</f>
        <v xml:space="preserve"> </v>
      </c>
      <c r="AX38" s="76" t="str">
        <f>IF('PFM NON-SELL (Draft Layers)'!AX235="X","X"," ")</f>
        <v xml:space="preserve"> </v>
      </c>
      <c r="AY38" s="76" t="str">
        <f>IF('PFM NON-SELL (Draft Layers)'!AY235="X","X"," ")</f>
        <v xml:space="preserve"> </v>
      </c>
      <c r="AZ38" s="76" t="str">
        <f>IF('PFM NON-SELL (Draft Layers)'!AZ235="X","X"," ")</f>
        <v xml:space="preserve"> </v>
      </c>
      <c r="BA38" s="76" t="str">
        <f>IF('PFM NON-SELL (Draft Layers)'!BA235="X","X"," ")</f>
        <v xml:space="preserve"> </v>
      </c>
      <c r="BB38" s="76" t="str">
        <f>IF('PFM NON-SELL (Draft Layers)'!BB235="X","X"," ")</f>
        <v>X</v>
      </c>
      <c r="BC38" s="76" t="str">
        <f>IF('PFM NON-SELL (Draft Layers)'!BC235="X","X"," ")</f>
        <v xml:space="preserve"> </v>
      </c>
      <c r="BD38" s="76" t="str">
        <f>IF('PFM NON-SELL (Draft Layers)'!BD235="X","X"," ")</f>
        <v xml:space="preserve"> </v>
      </c>
      <c r="BE38" s="76" t="str">
        <f>IF('PFM NON-SELL (Draft Layers)'!BE235="X","X"," ")</f>
        <v xml:space="preserve"> </v>
      </c>
      <c r="BF38" s="76" t="str">
        <f>IF('PFM NON-SELL (Draft Layers)'!BF235="X","X"," ")</f>
        <v xml:space="preserve"> </v>
      </c>
      <c r="BG38" s="76"/>
      <c r="BH38" s="76"/>
      <c r="BI38" s="76" t="str">
        <f>IF('PFM NON-SELL (Draft Layers)'!BG235="X","X"," ")</f>
        <v xml:space="preserve"> </v>
      </c>
      <c r="BJ38" s="76" t="str">
        <f>IF('PFM NON-SELL (Draft Layers)'!BJ235="X","X"," ")</f>
        <v xml:space="preserve"> </v>
      </c>
      <c r="BK38" s="76" t="str">
        <f>IF('PFM NON-SELL (Draft Layers)'!BK235="X","X"," ")</f>
        <v xml:space="preserve"> </v>
      </c>
      <c r="BL38" s="76" t="str">
        <f>IF('PFM NON-SELL (Draft Layers)'!BM235="X","X"," ")</f>
        <v xml:space="preserve"> </v>
      </c>
      <c r="BM38" s="76" t="str">
        <f>IF('PFM NON-SELL (Draft Layers)'!BN235="X","X"," ")</f>
        <v xml:space="preserve"> </v>
      </c>
      <c r="BN38" s="76" t="str">
        <f>IF('PFM NON-SELL (Draft Layers)'!BO235="X","X"," ")</f>
        <v>X</v>
      </c>
      <c r="BO38" s="76" t="str">
        <f>IF('PFM NON-SELL (Draft Layers)'!BP235="X","X"," ")</f>
        <v>X</v>
      </c>
      <c r="BP38" s="76" t="str">
        <f>IF('PFM NON-SELL (Draft Layers)'!BQ235="X","X"," ")</f>
        <v xml:space="preserve"> </v>
      </c>
      <c r="BQ38" s="76" t="str">
        <f>IF('PFM NON-SELL (Draft Layers)'!BR235="X","X"," ")</f>
        <v xml:space="preserve"> </v>
      </c>
      <c r="BR38" s="76"/>
      <c r="BS38" s="76"/>
      <c r="BT38" s="76"/>
      <c r="BU38" s="76"/>
      <c r="BV38" s="76" t="str">
        <f>IF('PFM NON-SELL (Draft Layers)'!BW235="X","X"," ")</f>
        <v xml:space="preserve"> </v>
      </c>
      <c r="BW38" s="76"/>
      <c r="BX38" s="76" t="str">
        <f>IF('PFM NON-SELL (Draft Layers)'!BZ235="X","X"," ")</f>
        <v xml:space="preserve"> </v>
      </c>
      <c r="BY38" s="76" t="str">
        <f>IF('PFM NON-SELL (Draft Layers)'!CA235="X","X"," ")</f>
        <v xml:space="preserve"> </v>
      </c>
      <c r="BZ38" s="76" t="str">
        <f>IF('PFM NON-SELL (Draft Layers)'!CB235="X","X"," ")</f>
        <v xml:space="preserve"> </v>
      </c>
      <c r="CA38" s="76" t="str">
        <f>IF('PFM NON-SELL (Draft Layers)'!CC235="X","X"," ")</f>
        <v xml:space="preserve"> </v>
      </c>
      <c r="CB38" s="76" t="str">
        <f>IF('PFM NON-SELL (Draft Layers)'!CD235="X","X"," ")</f>
        <v xml:space="preserve"> </v>
      </c>
      <c r="CC38" s="76" t="str">
        <f>IF('PFM NON-SELL (Draft Layers)'!CE235="X","X"," ")</f>
        <v xml:space="preserve"> </v>
      </c>
      <c r="CD38" s="76" t="str">
        <f>IF('PFM NON-SELL (Draft Layers)'!CF235="X","X"," ")</f>
        <v xml:space="preserve"> </v>
      </c>
      <c r="CE38" s="76" t="str">
        <f>IF('PFM NON-SELL (Draft Layers)'!CG235="X","X"," ")</f>
        <v xml:space="preserve"> </v>
      </c>
      <c r="CF38" s="76" t="str">
        <f>IF('PFM NON-SELL (Draft Layers)'!CH235="X","X"," ")</f>
        <v xml:space="preserve"> </v>
      </c>
      <c r="CG38" s="76" t="str">
        <f>IF('PFM NON-SELL (Draft Layers)'!CI235="X","X"," ")</f>
        <v xml:space="preserve"> </v>
      </c>
      <c r="CH38" s="76" t="str">
        <f>IF('PFM NON-SELL (Draft Layers)'!CJ235="X","X"," ")</f>
        <v xml:space="preserve"> </v>
      </c>
      <c r="CI38" s="76"/>
      <c r="CJ38" s="76"/>
      <c r="CK38" s="76"/>
      <c r="CL38" s="76"/>
      <c r="CM38" s="76" t="str">
        <f>IF('PFM NON-SELL (Draft Layers)'!CV235="X","X"," ")</f>
        <v xml:space="preserve"> </v>
      </c>
      <c r="CN38" s="76" t="str">
        <f>IF('PFM NON-SELL (Draft Layers)'!CW235="X","X"," ")</f>
        <v xml:space="preserve"> </v>
      </c>
      <c r="CO38" s="76" t="str">
        <f>IF('PFM NON-SELL (Draft Layers)'!CX235="X","X"," ")</f>
        <v xml:space="preserve"> </v>
      </c>
      <c r="CP38" s="76" t="str">
        <f>IF('PFM NON-SELL (Draft Layers)'!CY235="X","X"," ")</f>
        <v xml:space="preserve"> </v>
      </c>
      <c r="CQ38" s="76" t="str">
        <f>IF('PFM NON-SELL (Draft Layers)'!CZ235="X","X"," ")</f>
        <v xml:space="preserve"> </v>
      </c>
      <c r="CR38" s="76" t="str">
        <f>IF('PFM NON-SELL (Draft Layers)'!DA235="X","X"," ")</f>
        <v xml:space="preserve"> </v>
      </c>
      <c r="CS38" s="76" t="str">
        <f>IF('PFM NON-SELL (Draft Layers)'!DB235="X","X"," ")</f>
        <v xml:space="preserve"> </v>
      </c>
      <c r="CT38" s="76" t="str">
        <f>IF('PFM NON-SELL (Draft Layers)'!DC235="X","X"," ")</f>
        <v xml:space="preserve"> </v>
      </c>
      <c r="CU38" s="76" t="str">
        <f>IF('PFM NON-SELL (Draft Layers)'!DD235="X","X"," ")</f>
        <v>X</v>
      </c>
      <c r="CV38" s="76" t="str">
        <f>IF('PFM NON-SELL (Draft Layers)'!DE235="X","X"," ")</f>
        <v xml:space="preserve"> </v>
      </c>
      <c r="CW38" s="76" t="str">
        <f>IF('PFM NON-SELL (Draft Layers)'!DF235="X","X"," ")</f>
        <v xml:space="preserve"> </v>
      </c>
      <c r="CX38" s="76" t="str">
        <f>IF('PFM NON-SELL (Draft Layers)'!DG235="X","X"," ")</f>
        <v xml:space="preserve"> </v>
      </c>
      <c r="CY38" s="76" t="str">
        <f>IF('PFM NON-SELL (Draft Layers)'!DH235="X","X"," ")</f>
        <v>X</v>
      </c>
      <c r="CZ38" s="76" t="str">
        <f>IF('PFM NON-SELL (Draft Layers)'!DI235="X","X"," ")</f>
        <v xml:space="preserve"> </v>
      </c>
      <c r="DA38" s="76" t="str">
        <f>IF('PFM NON-SELL (Draft Layers)'!DJ235="X","X"," ")</f>
        <v xml:space="preserve"> </v>
      </c>
      <c r="DB38" s="76" t="str">
        <f>IF('PFM NON-SELL (Draft Layers)'!DK235="X","X"," ")</f>
        <v xml:space="preserve"> </v>
      </c>
      <c r="DC38" s="76" t="str">
        <f>IF('PFM NON-SELL (Draft Layers)'!DL235="X","X"," ")</f>
        <v xml:space="preserve"> </v>
      </c>
      <c r="DD38" s="76" t="str">
        <f>IF('PFM NON-SELL (Draft Layers)'!DM235="X","X"," ")</f>
        <v xml:space="preserve"> </v>
      </c>
      <c r="DE38" s="76" t="str">
        <f>IF('PFM NON-SELL (Draft Layers)'!DN235="X","X"," ")</f>
        <v xml:space="preserve"> </v>
      </c>
      <c r="DF38" s="76" t="str">
        <f>IF('PFM NON-SELL (Draft Layers)'!DO235="X","X"," ")</f>
        <v xml:space="preserve"> </v>
      </c>
      <c r="DG38" s="76" t="str">
        <f>IF('PFM NON-SELL (Draft Layers)'!DP235="X","X"," ")</f>
        <v xml:space="preserve"> </v>
      </c>
      <c r="DH38" s="76" t="str">
        <f>IF('PFM NON-SELL (Draft Layers)'!DQ235="X","X"," ")</f>
        <v xml:space="preserve"> </v>
      </c>
      <c r="DI38" s="76" t="str">
        <f>IF('PFM NON-SELL (Draft Layers)'!DR235="X","X"," ")</f>
        <v xml:space="preserve"> </v>
      </c>
      <c r="DJ38" s="76" t="str">
        <f>IF('PFM NON-SELL (Draft Layers)'!DS235="X","X"," ")</f>
        <v xml:space="preserve"> </v>
      </c>
      <c r="DK38" s="76" t="str">
        <f>IF('PFM NON-SELL (Draft Layers)'!DT235="X","X"," ")</f>
        <v xml:space="preserve"> </v>
      </c>
      <c r="DL38" s="76" t="str">
        <f>IF('PFM NON-SELL (Draft Layers)'!DU235="X","X"," ")</f>
        <v xml:space="preserve"> </v>
      </c>
      <c r="DM38" s="76"/>
      <c r="DN38" s="95"/>
      <c r="DO38" s="90">
        <f t="shared" si="6"/>
        <v>5</v>
      </c>
      <c r="DP38" s="21"/>
      <c r="DQ38" s="21"/>
    </row>
    <row r="39" spans="1:121" x14ac:dyDescent="0.3">
      <c r="A39" s="4" t="s">
        <v>126</v>
      </c>
      <c r="B39" s="4" t="s">
        <v>173</v>
      </c>
      <c r="C39" s="4" t="s">
        <v>176</v>
      </c>
      <c r="D39" s="4" t="s">
        <v>177</v>
      </c>
      <c r="E39" s="12">
        <v>10</v>
      </c>
      <c r="F39" s="34">
        <f t="shared" si="7"/>
        <v>10150</v>
      </c>
      <c r="G39" s="28">
        <f t="shared" si="8"/>
        <v>1015</v>
      </c>
      <c r="H39" s="28">
        <f t="shared" si="9"/>
        <v>85</v>
      </c>
      <c r="I39" s="26">
        <f t="shared" si="10"/>
        <v>6380</v>
      </c>
      <c r="J39" s="24">
        <f t="shared" si="11"/>
        <v>638</v>
      </c>
      <c r="K39" s="31">
        <f t="shared" si="12"/>
        <v>128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145</v>
      </c>
      <c r="R39" s="9">
        <v>116</v>
      </c>
      <c r="S39" s="9">
        <v>145</v>
      </c>
      <c r="T39" s="9">
        <v>116</v>
      </c>
      <c r="U39" s="9">
        <v>116</v>
      </c>
      <c r="V39" s="9">
        <v>145</v>
      </c>
      <c r="W39" s="9">
        <v>116</v>
      </c>
      <c r="X39" s="9">
        <v>116</v>
      </c>
      <c r="Y39" s="9">
        <v>145</v>
      </c>
      <c r="Z39" s="9">
        <v>116</v>
      </c>
      <c r="AA39" s="9">
        <v>116</v>
      </c>
      <c r="AB39" s="9">
        <v>145</v>
      </c>
      <c r="AC39" s="9">
        <v>116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1450</v>
      </c>
      <c r="AK39" s="6">
        <v>1160</v>
      </c>
      <c r="AL39" s="6">
        <v>1450</v>
      </c>
      <c r="AM39" s="6">
        <v>1160</v>
      </c>
      <c r="AN39" s="6">
        <v>1160</v>
      </c>
      <c r="AO39" s="6">
        <v>1450</v>
      </c>
      <c r="AP39" s="6">
        <v>1160</v>
      </c>
      <c r="AQ39" s="6">
        <v>1160</v>
      </c>
      <c r="AR39" s="6">
        <v>1450</v>
      </c>
      <c r="AS39" s="6">
        <v>1160</v>
      </c>
      <c r="AT39" s="6">
        <v>1160</v>
      </c>
      <c r="AU39" s="6">
        <v>1450</v>
      </c>
      <c r="AV39" s="6">
        <v>1160</v>
      </c>
      <c r="AW39" s="93" t="str">
        <f>IF('PFM NON-SELL (Draft Layers)'!AW238="X","X"," ")</f>
        <v xml:space="preserve"> </v>
      </c>
      <c r="AX39" s="76" t="str">
        <f>IF('PFM NON-SELL (Draft Layers)'!AX238="X","X"," ")</f>
        <v xml:space="preserve"> </v>
      </c>
      <c r="AY39" s="76" t="str">
        <f>IF('PFM NON-SELL (Draft Layers)'!AY238="X","X"," ")</f>
        <v>X</v>
      </c>
      <c r="AZ39" s="76" t="str">
        <f>IF('PFM NON-SELL (Draft Layers)'!AZ238="X","X"," ")</f>
        <v xml:space="preserve"> </v>
      </c>
      <c r="BA39" s="76" t="str">
        <f>IF('PFM NON-SELL (Draft Layers)'!BA238="X","X"," ")</f>
        <v xml:space="preserve"> </v>
      </c>
      <c r="BB39" s="76" t="str">
        <f>IF('PFM NON-SELL (Draft Layers)'!BB238="X","X"," ")</f>
        <v xml:space="preserve"> </v>
      </c>
      <c r="BC39" s="76" t="str">
        <f>IF('PFM NON-SELL (Draft Layers)'!BC238="X","X"," ")</f>
        <v xml:space="preserve"> </v>
      </c>
      <c r="BD39" s="76" t="str">
        <f>IF('PFM NON-SELL (Draft Layers)'!BD238="X","X"," ")</f>
        <v xml:space="preserve"> </v>
      </c>
      <c r="BE39" s="76" t="str">
        <f>IF('PFM NON-SELL (Draft Layers)'!BE238="X","X"," ")</f>
        <v xml:space="preserve"> </v>
      </c>
      <c r="BF39" s="76" t="str">
        <f>IF('PFM NON-SELL (Draft Layers)'!BF238="X","X"," ")</f>
        <v xml:space="preserve"> </v>
      </c>
      <c r="BG39" s="76"/>
      <c r="BH39" s="76"/>
      <c r="BI39" s="76" t="str">
        <f>IF('PFM NON-SELL (Draft Layers)'!BG238="X","X"," ")</f>
        <v xml:space="preserve"> </v>
      </c>
      <c r="BJ39" s="76" t="str">
        <f>IF('PFM NON-SELL (Draft Layers)'!BJ238="X","X"," ")</f>
        <v xml:space="preserve"> </v>
      </c>
      <c r="BK39" s="76" t="str">
        <f>IF('PFM NON-SELL (Draft Layers)'!BK238="X","X"," ")</f>
        <v xml:space="preserve"> </v>
      </c>
      <c r="BL39" s="76" t="str">
        <f>IF('PFM NON-SELL (Draft Layers)'!BM238="X","X"," ")</f>
        <v xml:space="preserve"> </v>
      </c>
      <c r="BM39" s="76" t="str">
        <f>IF('PFM NON-SELL (Draft Layers)'!BN238="X","X"," ")</f>
        <v xml:space="preserve"> </v>
      </c>
      <c r="BN39" s="76" t="str">
        <f>IF('PFM NON-SELL (Draft Layers)'!BO238="X","X"," ")</f>
        <v>X</v>
      </c>
      <c r="BO39" s="76" t="str">
        <f>IF('PFM NON-SELL (Draft Layers)'!BP238="X","X"," ")</f>
        <v>X</v>
      </c>
      <c r="BP39" s="76" t="str">
        <f>IF('PFM NON-SELL (Draft Layers)'!BQ238="X","X"," ")</f>
        <v xml:space="preserve"> </v>
      </c>
      <c r="BQ39" s="76" t="str">
        <f>IF('PFM NON-SELL (Draft Layers)'!BR238="X","X"," ")</f>
        <v xml:space="preserve"> </v>
      </c>
      <c r="BR39" s="76"/>
      <c r="BS39" s="76"/>
      <c r="BT39" s="76"/>
      <c r="BU39" s="76"/>
      <c r="BV39" s="76" t="str">
        <f>IF('PFM NON-SELL (Draft Layers)'!BW238="X","X"," ")</f>
        <v xml:space="preserve"> </v>
      </c>
      <c r="BW39" s="76"/>
      <c r="BX39" s="76" t="str">
        <f>IF('PFM NON-SELL (Draft Layers)'!BZ238="X","X"," ")</f>
        <v>X</v>
      </c>
      <c r="BY39" s="76" t="str">
        <f>IF('PFM NON-SELL (Draft Layers)'!CA238="X","X"," ")</f>
        <v xml:space="preserve"> </v>
      </c>
      <c r="BZ39" s="76" t="str">
        <f>IF('PFM NON-SELL (Draft Layers)'!CB238="X","X"," ")</f>
        <v xml:space="preserve"> </v>
      </c>
      <c r="CA39" s="76" t="str">
        <f>IF('PFM NON-SELL (Draft Layers)'!CC238="X","X"," ")</f>
        <v xml:space="preserve"> </v>
      </c>
      <c r="CB39" s="76" t="str">
        <f>IF('PFM NON-SELL (Draft Layers)'!CD238="X","X"," ")</f>
        <v xml:space="preserve"> </v>
      </c>
      <c r="CC39" s="76" t="str">
        <f>IF('PFM NON-SELL (Draft Layers)'!CE238="X","X"," ")</f>
        <v xml:space="preserve"> </v>
      </c>
      <c r="CD39" s="76" t="str">
        <f>IF('PFM NON-SELL (Draft Layers)'!CF238="X","X"," ")</f>
        <v xml:space="preserve"> </v>
      </c>
      <c r="CE39" s="76" t="str">
        <f>IF('PFM NON-SELL (Draft Layers)'!CG238="X","X"," ")</f>
        <v xml:space="preserve"> </v>
      </c>
      <c r="CF39" s="76" t="str">
        <f>IF('PFM NON-SELL (Draft Layers)'!CH238="X","X"," ")</f>
        <v xml:space="preserve"> </v>
      </c>
      <c r="CG39" s="76" t="str">
        <f>IF('PFM NON-SELL (Draft Layers)'!CI238="X","X"," ")</f>
        <v xml:space="preserve"> </v>
      </c>
      <c r="CH39" s="76" t="str">
        <f>IF('PFM NON-SELL (Draft Layers)'!CJ238="X","X"," ")</f>
        <v xml:space="preserve"> </v>
      </c>
      <c r="CI39" s="76"/>
      <c r="CJ39" s="76"/>
      <c r="CK39" s="76"/>
      <c r="CL39" s="76"/>
      <c r="CM39" s="76" t="str">
        <f>IF('PFM NON-SELL (Draft Layers)'!CV238="X","X"," ")</f>
        <v xml:space="preserve"> </v>
      </c>
      <c r="CN39" s="76" t="str">
        <f>IF('PFM NON-SELL (Draft Layers)'!CW238="X","X"," ")</f>
        <v xml:space="preserve"> </v>
      </c>
      <c r="CO39" s="76" t="str">
        <f>IF('PFM NON-SELL (Draft Layers)'!CX238="X","X"," ")</f>
        <v xml:space="preserve"> </v>
      </c>
      <c r="CP39" s="76" t="str">
        <f>IF('PFM NON-SELL (Draft Layers)'!CY238="X","X"," ")</f>
        <v xml:space="preserve"> </v>
      </c>
      <c r="CQ39" s="76" t="str">
        <f>IF('PFM NON-SELL (Draft Layers)'!CZ238="X","X"," ")</f>
        <v xml:space="preserve"> </v>
      </c>
      <c r="CR39" s="76" t="str">
        <f>IF('PFM NON-SELL (Draft Layers)'!DA238="X","X"," ")</f>
        <v xml:space="preserve"> </v>
      </c>
      <c r="CS39" s="76" t="str">
        <f>IF('PFM NON-SELL (Draft Layers)'!DB238="X","X"," ")</f>
        <v xml:space="preserve"> </v>
      </c>
      <c r="CT39" s="76" t="str">
        <f>IF('PFM NON-SELL (Draft Layers)'!DC238="X","X"," ")</f>
        <v xml:space="preserve"> </v>
      </c>
      <c r="CU39" s="76" t="str">
        <f>IF('PFM NON-SELL (Draft Layers)'!DD238="X","X"," ")</f>
        <v xml:space="preserve"> </v>
      </c>
      <c r="CV39" s="76" t="str">
        <f>IF('PFM NON-SELL (Draft Layers)'!DE238="X","X"," ")</f>
        <v xml:space="preserve"> </v>
      </c>
      <c r="CW39" s="76" t="str">
        <f>IF('PFM NON-SELL (Draft Layers)'!DF238="X","X"," ")</f>
        <v xml:space="preserve"> </v>
      </c>
      <c r="CX39" s="76" t="str">
        <f>IF('PFM NON-SELL (Draft Layers)'!DG238="X","X"," ")</f>
        <v xml:space="preserve"> </v>
      </c>
      <c r="CY39" s="76" t="str">
        <f>IF('PFM NON-SELL (Draft Layers)'!DH238="X","X"," ")</f>
        <v>X</v>
      </c>
      <c r="CZ39" s="76" t="str">
        <f>IF('PFM NON-SELL (Draft Layers)'!DI238="X","X"," ")</f>
        <v xml:space="preserve"> </v>
      </c>
      <c r="DA39" s="76" t="str">
        <f>IF('PFM NON-SELL (Draft Layers)'!DJ238="X","X"," ")</f>
        <v xml:space="preserve"> </v>
      </c>
      <c r="DB39" s="76" t="str">
        <f>IF('PFM NON-SELL (Draft Layers)'!DK238="X","X"," ")</f>
        <v xml:space="preserve"> </v>
      </c>
      <c r="DC39" s="76" t="str">
        <f>IF('PFM NON-SELL (Draft Layers)'!DL238="X","X"," ")</f>
        <v xml:space="preserve"> </v>
      </c>
      <c r="DD39" s="76" t="str">
        <f>IF('PFM NON-SELL (Draft Layers)'!DM238="X","X"," ")</f>
        <v xml:space="preserve"> </v>
      </c>
      <c r="DE39" s="76" t="str">
        <f>IF('PFM NON-SELL (Draft Layers)'!DN238="X","X"," ")</f>
        <v xml:space="preserve"> </v>
      </c>
      <c r="DF39" s="76" t="str">
        <f>IF('PFM NON-SELL (Draft Layers)'!DO238="X","X"," ")</f>
        <v xml:space="preserve"> </v>
      </c>
      <c r="DG39" s="76" t="str">
        <f>IF('PFM NON-SELL (Draft Layers)'!DP238="X","X"," ")</f>
        <v xml:space="preserve"> </v>
      </c>
      <c r="DH39" s="76" t="str">
        <f>IF('PFM NON-SELL (Draft Layers)'!DQ238="X","X"," ")</f>
        <v xml:space="preserve"> </v>
      </c>
      <c r="DI39" s="76" t="str">
        <f>IF('PFM NON-SELL (Draft Layers)'!DR238="X","X"," ")</f>
        <v xml:space="preserve"> </v>
      </c>
      <c r="DJ39" s="76" t="str">
        <f>IF('PFM NON-SELL (Draft Layers)'!DS238="X","X"," ")</f>
        <v xml:space="preserve"> </v>
      </c>
      <c r="DK39" s="76" t="str">
        <f>IF('PFM NON-SELL (Draft Layers)'!DT238="X","X"," ")</f>
        <v xml:space="preserve"> </v>
      </c>
      <c r="DL39" s="76" t="str">
        <f>IF('PFM NON-SELL (Draft Layers)'!DU238="X","X"," ")</f>
        <v xml:space="preserve"> </v>
      </c>
      <c r="DM39" s="76"/>
      <c r="DN39" s="95"/>
      <c r="DO39" s="90">
        <f t="shared" si="6"/>
        <v>5</v>
      </c>
      <c r="DP39" s="21"/>
      <c r="DQ39" s="21"/>
    </row>
    <row r="40" spans="1:121" x14ac:dyDescent="0.3">
      <c r="A40" s="4" t="s">
        <v>126</v>
      </c>
      <c r="B40" s="4" t="s">
        <v>173</v>
      </c>
      <c r="C40" s="4" t="s">
        <v>178</v>
      </c>
      <c r="D40" s="4" t="s">
        <v>179</v>
      </c>
      <c r="E40" s="12">
        <v>11.71</v>
      </c>
      <c r="F40" s="34">
        <f t="shared" si="7"/>
        <v>13056.650000000001</v>
      </c>
      <c r="G40" s="28">
        <f t="shared" si="8"/>
        <v>1115</v>
      </c>
      <c r="H40" s="28">
        <f t="shared" si="9"/>
        <v>93</v>
      </c>
      <c r="I40" s="26">
        <f t="shared" si="10"/>
        <v>7470.9800000000005</v>
      </c>
      <c r="J40" s="24">
        <f t="shared" si="11"/>
        <v>638</v>
      </c>
      <c r="K40" s="31">
        <f t="shared" si="12"/>
        <v>128</v>
      </c>
      <c r="L40" s="9">
        <v>0</v>
      </c>
      <c r="M40" s="9">
        <v>100</v>
      </c>
      <c r="N40" s="9">
        <v>0</v>
      </c>
      <c r="O40" s="9">
        <v>0</v>
      </c>
      <c r="P40" s="9">
        <v>0</v>
      </c>
      <c r="Q40" s="9">
        <v>145</v>
      </c>
      <c r="R40" s="9">
        <v>116</v>
      </c>
      <c r="S40" s="9">
        <v>145</v>
      </c>
      <c r="T40" s="9">
        <v>116</v>
      </c>
      <c r="U40" s="9">
        <v>116</v>
      </c>
      <c r="V40" s="9">
        <v>145</v>
      </c>
      <c r="W40" s="9">
        <v>116</v>
      </c>
      <c r="X40" s="9">
        <v>116</v>
      </c>
      <c r="Y40" s="9">
        <v>145</v>
      </c>
      <c r="Z40" s="9">
        <v>116</v>
      </c>
      <c r="AA40" s="9">
        <v>116</v>
      </c>
      <c r="AB40" s="9">
        <v>145</v>
      </c>
      <c r="AC40" s="9">
        <v>116</v>
      </c>
      <c r="AE40" s="6">
        <v>0</v>
      </c>
      <c r="AF40" s="6">
        <v>1113</v>
      </c>
      <c r="AG40" s="6">
        <v>0</v>
      </c>
      <c r="AH40" s="6">
        <v>0</v>
      </c>
      <c r="AI40" s="6">
        <v>0</v>
      </c>
      <c r="AJ40" s="6">
        <v>1697.95</v>
      </c>
      <c r="AK40" s="6">
        <v>1358.3600000000001</v>
      </c>
      <c r="AL40" s="6">
        <v>1613.8500000000001</v>
      </c>
      <c r="AM40" s="6">
        <v>1291.0800000000002</v>
      </c>
      <c r="AN40" s="6">
        <v>1291.0800000000002</v>
      </c>
      <c r="AO40" s="6">
        <v>1613.8500000000001</v>
      </c>
      <c r="AP40" s="6">
        <v>1291.0800000000002</v>
      </c>
      <c r="AQ40" s="6">
        <v>1291.0800000000002</v>
      </c>
      <c r="AR40" s="6">
        <v>1613.8500000000001</v>
      </c>
      <c r="AS40" s="6">
        <v>1291.0800000000002</v>
      </c>
      <c r="AT40" s="6">
        <v>1291.0800000000002</v>
      </c>
      <c r="AU40" s="6">
        <v>1613.8500000000001</v>
      </c>
      <c r="AV40" s="6">
        <v>1291.0800000000002</v>
      </c>
      <c r="AW40" s="93" t="str">
        <f>IF('PFM NON-SELL (Draft Layers)'!AW239="X","X"," ")</f>
        <v>X</v>
      </c>
      <c r="AX40" s="76" t="str">
        <f>IF('PFM NON-SELL (Draft Layers)'!AX239="X","X"," ")</f>
        <v xml:space="preserve"> </v>
      </c>
      <c r="AY40" s="76" t="str">
        <f>IF('PFM NON-SELL (Draft Layers)'!AY239="X","X"," ")</f>
        <v xml:space="preserve"> </v>
      </c>
      <c r="AZ40" s="76" t="str">
        <f>IF('PFM NON-SELL (Draft Layers)'!AZ239="X","X"," ")</f>
        <v xml:space="preserve"> </v>
      </c>
      <c r="BA40" s="76" t="str">
        <f>IF('PFM NON-SELL (Draft Layers)'!BA239="X","X"," ")</f>
        <v>X</v>
      </c>
      <c r="BB40" s="76" t="str">
        <f>IF('PFM NON-SELL (Draft Layers)'!BB239="X","X"," ")</f>
        <v xml:space="preserve"> </v>
      </c>
      <c r="BC40" s="76" t="str">
        <f>IF('PFM NON-SELL (Draft Layers)'!BC239="X","X"," ")</f>
        <v xml:space="preserve"> </v>
      </c>
      <c r="BD40" s="76" t="str">
        <f>IF('PFM NON-SELL (Draft Layers)'!BD239="X","X"," ")</f>
        <v xml:space="preserve"> </v>
      </c>
      <c r="BE40" s="76" t="str">
        <f>IF('PFM NON-SELL (Draft Layers)'!BE239="X","X"," ")</f>
        <v xml:space="preserve"> </v>
      </c>
      <c r="BF40" s="76" t="str">
        <f>IF('PFM NON-SELL (Draft Layers)'!BF239="X","X"," ")</f>
        <v xml:space="preserve"> </v>
      </c>
      <c r="BG40" s="76"/>
      <c r="BH40" s="76"/>
      <c r="BI40" s="76" t="str">
        <f>IF('PFM NON-SELL (Draft Layers)'!BG239="X","X"," ")</f>
        <v xml:space="preserve"> </v>
      </c>
      <c r="BJ40" s="76" t="str">
        <f>IF('PFM NON-SELL (Draft Layers)'!BJ239="X","X"," ")</f>
        <v xml:space="preserve"> </v>
      </c>
      <c r="BK40" s="76" t="str">
        <f>IF('PFM NON-SELL (Draft Layers)'!BK239="X","X"," ")</f>
        <v xml:space="preserve"> </v>
      </c>
      <c r="BL40" s="76" t="str">
        <f>IF('PFM NON-SELL (Draft Layers)'!BM239="X","X"," ")</f>
        <v xml:space="preserve"> </v>
      </c>
      <c r="BM40" s="76" t="str">
        <f>IF('PFM NON-SELL (Draft Layers)'!BN239="X","X"," ")</f>
        <v xml:space="preserve"> </v>
      </c>
      <c r="BN40" s="76" t="str">
        <f>IF('PFM NON-SELL (Draft Layers)'!BO239="X","X"," ")</f>
        <v>X</v>
      </c>
      <c r="BO40" s="76" t="str">
        <f>IF('PFM NON-SELL (Draft Layers)'!BP239="X","X"," ")</f>
        <v>X</v>
      </c>
      <c r="BP40" s="76" t="str">
        <f>IF('PFM NON-SELL (Draft Layers)'!BQ239="X","X"," ")</f>
        <v xml:space="preserve"> </v>
      </c>
      <c r="BQ40" s="76" t="str">
        <f>IF('PFM NON-SELL (Draft Layers)'!BR239="X","X"," ")</f>
        <v xml:space="preserve"> </v>
      </c>
      <c r="BR40" s="76"/>
      <c r="BS40" s="76"/>
      <c r="BT40" s="76"/>
      <c r="BU40" s="76"/>
      <c r="BV40" s="76" t="str">
        <f>IF('PFM NON-SELL (Draft Layers)'!BW239="X","X"," ")</f>
        <v xml:space="preserve"> </v>
      </c>
      <c r="BW40" s="76"/>
      <c r="BX40" s="76" t="str">
        <f>IF('PFM NON-SELL (Draft Layers)'!BZ239="X","X"," ")</f>
        <v xml:space="preserve"> </v>
      </c>
      <c r="BY40" s="76" t="str">
        <f>IF('PFM NON-SELL (Draft Layers)'!CA239="X","X"," ")</f>
        <v xml:space="preserve"> </v>
      </c>
      <c r="BZ40" s="76" t="str">
        <f>IF('PFM NON-SELL (Draft Layers)'!CB239="X","X"," ")</f>
        <v xml:space="preserve"> </v>
      </c>
      <c r="CA40" s="76" t="str">
        <f>IF('PFM NON-SELL (Draft Layers)'!CC239="X","X"," ")</f>
        <v xml:space="preserve"> </v>
      </c>
      <c r="CB40" s="76" t="str">
        <f>IF('PFM NON-SELL (Draft Layers)'!CD239="X","X"," ")</f>
        <v xml:space="preserve"> </v>
      </c>
      <c r="CC40" s="76" t="str">
        <f>IF('PFM NON-SELL (Draft Layers)'!CE239="X","X"," ")</f>
        <v xml:space="preserve"> </v>
      </c>
      <c r="CD40" s="76" t="str">
        <f>IF('PFM NON-SELL (Draft Layers)'!CF239="X","X"," ")</f>
        <v xml:space="preserve"> </v>
      </c>
      <c r="CE40" s="76" t="str">
        <f>IF('PFM NON-SELL (Draft Layers)'!CG239="X","X"," ")</f>
        <v xml:space="preserve"> </v>
      </c>
      <c r="CF40" s="76" t="str">
        <f>IF('PFM NON-SELL (Draft Layers)'!CH239="X","X"," ")</f>
        <v xml:space="preserve"> </v>
      </c>
      <c r="CG40" s="76" t="str">
        <f>IF('PFM NON-SELL (Draft Layers)'!CI239="X","X"," ")</f>
        <v xml:space="preserve"> </v>
      </c>
      <c r="CH40" s="76" t="str">
        <f>IF('PFM NON-SELL (Draft Layers)'!CJ239="X","X"," ")</f>
        <v xml:space="preserve"> </v>
      </c>
      <c r="CI40" s="76"/>
      <c r="CJ40" s="76"/>
      <c r="CK40" s="76"/>
      <c r="CL40" s="76"/>
      <c r="CM40" s="76" t="str">
        <f>IF('PFM NON-SELL (Draft Layers)'!CV239="X","X"," ")</f>
        <v xml:space="preserve"> </v>
      </c>
      <c r="CN40" s="76" t="str">
        <f>IF('PFM NON-SELL (Draft Layers)'!CW239="X","X"," ")</f>
        <v xml:space="preserve"> </v>
      </c>
      <c r="CO40" s="76" t="str">
        <f>IF('PFM NON-SELL (Draft Layers)'!CX239="X","X"," ")</f>
        <v xml:space="preserve"> </v>
      </c>
      <c r="CP40" s="76" t="str">
        <f>IF('PFM NON-SELL (Draft Layers)'!CY239="X","X"," ")</f>
        <v xml:space="preserve"> </v>
      </c>
      <c r="CQ40" s="76" t="str">
        <f>IF('PFM NON-SELL (Draft Layers)'!CZ239="X","X"," ")</f>
        <v xml:space="preserve"> </v>
      </c>
      <c r="CR40" s="76" t="str">
        <f>IF('PFM NON-SELL (Draft Layers)'!DA239="X","X"," ")</f>
        <v xml:space="preserve"> </v>
      </c>
      <c r="CS40" s="76" t="str">
        <f>IF('PFM NON-SELL (Draft Layers)'!DB239="X","X"," ")</f>
        <v xml:space="preserve"> </v>
      </c>
      <c r="CT40" s="76" t="str">
        <f>IF('PFM NON-SELL (Draft Layers)'!DC239="X","X"," ")</f>
        <v xml:space="preserve"> </v>
      </c>
      <c r="CU40" s="76" t="str">
        <f>IF('PFM NON-SELL (Draft Layers)'!DD239="X","X"," ")</f>
        <v xml:space="preserve"> </v>
      </c>
      <c r="CV40" s="76" t="str">
        <f>IF('PFM NON-SELL (Draft Layers)'!DE239="X","X"," ")</f>
        <v xml:space="preserve"> </v>
      </c>
      <c r="CW40" s="76" t="str">
        <f>IF('PFM NON-SELL (Draft Layers)'!DF239="X","X"," ")</f>
        <v xml:space="preserve"> </v>
      </c>
      <c r="CX40" s="76" t="str">
        <f>IF('PFM NON-SELL (Draft Layers)'!DG239="X","X"," ")</f>
        <v xml:space="preserve"> </v>
      </c>
      <c r="CY40" s="76" t="str">
        <f>IF('PFM NON-SELL (Draft Layers)'!DH239="X","X"," ")</f>
        <v>X</v>
      </c>
      <c r="CZ40" s="76" t="str">
        <f>IF('PFM NON-SELL (Draft Layers)'!DI239="X","X"," ")</f>
        <v xml:space="preserve"> </v>
      </c>
      <c r="DA40" s="76" t="str">
        <f>IF('PFM NON-SELL (Draft Layers)'!DJ239="X","X"," ")</f>
        <v xml:space="preserve"> </v>
      </c>
      <c r="DB40" s="76" t="str">
        <f>IF('PFM NON-SELL (Draft Layers)'!DK239="X","X"," ")</f>
        <v xml:space="preserve"> </v>
      </c>
      <c r="DC40" s="76" t="str">
        <f>IF('PFM NON-SELL (Draft Layers)'!DL239="X","X"," ")</f>
        <v xml:space="preserve"> </v>
      </c>
      <c r="DD40" s="76" t="str">
        <f>IF('PFM NON-SELL (Draft Layers)'!DM239="X","X"," ")</f>
        <v xml:space="preserve"> </v>
      </c>
      <c r="DE40" s="76" t="str">
        <f>IF('PFM NON-SELL (Draft Layers)'!DN239="X","X"," ")</f>
        <v xml:space="preserve"> </v>
      </c>
      <c r="DF40" s="76" t="str">
        <f>IF('PFM NON-SELL (Draft Layers)'!DO239="X","X"," ")</f>
        <v xml:space="preserve"> </v>
      </c>
      <c r="DG40" s="76" t="str">
        <f>IF('PFM NON-SELL (Draft Layers)'!DP239="X","X"," ")</f>
        <v xml:space="preserve"> </v>
      </c>
      <c r="DH40" s="76" t="str">
        <f>IF('PFM NON-SELL (Draft Layers)'!DQ239="X","X"," ")</f>
        <v xml:space="preserve"> </v>
      </c>
      <c r="DI40" s="76" t="str">
        <f>IF('PFM NON-SELL (Draft Layers)'!DR239="X","X"," ")</f>
        <v xml:space="preserve"> </v>
      </c>
      <c r="DJ40" s="76" t="str">
        <f>IF('PFM NON-SELL (Draft Layers)'!DS239="X","X"," ")</f>
        <v xml:space="preserve"> </v>
      </c>
      <c r="DK40" s="76" t="str">
        <f>IF('PFM NON-SELL (Draft Layers)'!DT239="X","X"," ")</f>
        <v xml:space="preserve"> </v>
      </c>
      <c r="DL40" s="76" t="str">
        <f>IF('PFM NON-SELL (Draft Layers)'!DU239="X","X"," ")</f>
        <v xml:space="preserve"> </v>
      </c>
      <c r="DM40" s="76"/>
      <c r="DN40" s="95"/>
      <c r="DO40" s="90">
        <f t="shared" si="6"/>
        <v>5</v>
      </c>
      <c r="DP40" s="21"/>
      <c r="DQ40" s="21"/>
    </row>
    <row r="41" spans="1:121" x14ac:dyDescent="0.3">
      <c r="A41" s="4" t="s">
        <v>126</v>
      </c>
      <c r="B41" s="4" t="s">
        <v>173</v>
      </c>
      <c r="C41" s="4" t="s">
        <v>180</v>
      </c>
      <c r="D41" s="4" t="s">
        <v>181</v>
      </c>
      <c r="E41" s="12">
        <v>36.42</v>
      </c>
      <c r="F41" s="34">
        <f t="shared" si="7"/>
        <v>36966.300000000003</v>
      </c>
      <c r="G41" s="28">
        <f t="shared" si="8"/>
        <v>1015</v>
      </c>
      <c r="H41" s="28">
        <f t="shared" si="9"/>
        <v>85</v>
      </c>
      <c r="I41" s="26">
        <f t="shared" si="10"/>
        <v>23235.960000000003</v>
      </c>
      <c r="J41" s="24">
        <f t="shared" si="11"/>
        <v>638</v>
      </c>
      <c r="K41" s="31">
        <f t="shared" si="12"/>
        <v>128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145</v>
      </c>
      <c r="R41" s="9">
        <v>116</v>
      </c>
      <c r="S41" s="9">
        <v>145</v>
      </c>
      <c r="T41" s="9">
        <v>116</v>
      </c>
      <c r="U41" s="9">
        <v>116</v>
      </c>
      <c r="V41" s="9">
        <v>145</v>
      </c>
      <c r="W41" s="9">
        <v>116</v>
      </c>
      <c r="X41" s="9">
        <v>116</v>
      </c>
      <c r="Y41" s="9">
        <v>145</v>
      </c>
      <c r="Z41" s="9">
        <v>116</v>
      </c>
      <c r="AA41" s="9">
        <v>116</v>
      </c>
      <c r="AB41" s="9">
        <v>145</v>
      </c>
      <c r="AC41" s="9">
        <v>116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5280.9000000000005</v>
      </c>
      <c r="AK41" s="6">
        <v>4224.72</v>
      </c>
      <c r="AL41" s="6">
        <v>5280.9000000000005</v>
      </c>
      <c r="AM41" s="6">
        <v>4224.72</v>
      </c>
      <c r="AN41" s="6">
        <v>4224.72</v>
      </c>
      <c r="AO41" s="6">
        <v>5280.9000000000005</v>
      </c>
      <c r="AP41" s="6">
        <v>4224.72</v>
      </c>
      <c r="AQ41" s="6">
        <v>4224.72</v>
      </c>
      <c r="AR41" s="6">
        <v>5280.9000000000005</v>
      </c>
      <c r="AS41" s="6">
        <v>4224.72</v>
      </c>
      <c r="AT41" s="6">
        <v>4224.72</v>
      </c>
      <c r="AU41" s="6">
        <v>5280.9000000000005</v>
      </c>
      <c r="AV41" s="6">
        <v>4224.72</v>
      </c>
      <c r="AW41" s="93" t="str">
        <f>IF('PFM NON-SELL (Draft Layers)'!AW240="X","X"," ")</f>
        <v>X</v>
      </c>
      <c r="AX41" s="76" t="str">
        <f>IF('PFM NON-SELL (Draft Layers)'!AX240="X","X"," ")</f>
        <v xml:space="preserve"> </v>
      </c>
      <c r="AY41" s="76" t="str">
        <f>IF('PFM NON-SELL (Draft Layers)'!AY240="X","X"," ")</f>
        <v xml:space="preserve"> </v>
      </c>
      <c r="AZ41" s="76" t="str">
        <f>IF('PFM NON-SELL (Draft Layers)'!AZ240="X","X"," ")</f>
        <v xml:space="preserve"> </v>
      </c>
      <c r="BA41" s="76" t="str">
        <f>IF('PFM NON-SELL (Draft Layers)'!BA240="X","X"," ")</f>
        <v xml:space="preserve"> </v>
      </c>
      <c r="BB41" s="76" t="str">
        <f>IF('PFM NON-SELL (Draft Layers)'!BB240="X","X"," ")</f>
        <v xml:space="preserve"> </v>
      </c>
      <c r="BC41" s="76" t="str">
        <f>IF('PFM NON-SELL (Draft Layers)'!BC240="X","X"," ")</f>
        <v xml:space="preserve"> </v>
      </c>
      <c r="BD41" s="76" t="str">
        <f>IF('PFM NON-SELL (Draft Layers)'!BD240="X","X"," ")</f>
        <v xml:space="preserve"> </v>
      </c>
      <c r="BE41" s="76" t="str">
        <f>IF('PFM NON-SELL (Draft Layers)'!BE240="X","X"," ")</f>
        <v xml:space="preserve"> </v>
      </c>
      <c r="BF41" s="76" t="str">
        <f>IF('PFM NON-SELL (Draft Layers)'!BF240="X","X"," ")</f>
        <v xml:space="preserve"> </v>
      </c>
      <c r="BG41" s="76"/>
      <c r="BH41" s="76"/>
      <c r="BI41" s="76" t="str">
        <f>IF('PFM NON-SELL (Draft Layers)'!BG240="X","X"," ")</f>
        <v xml:space="preserve"> </v>
      </c>
      <c r="BJ41" s="76" t="str">
        <f>IF('PFM NON-SELL (Draft Layers)'!BJ240="X","X"," ")</f>
        <v xml:space="preserve"> </v>
      </c>
      <c r="BK41" s="76" t="str">
        <f>IF('PFM NON-SELL (Draft Layers)'!BK240="X","X"," ")</f>
        <v xml:space="preserve"> </v>
      </c>
      <c r="BL41" s="76" t="str">
        <f>IF('PFM NON-SELL (Draft Layers)'!BM240="X","X"," ")</f>
        <v xml:space="preserve"> </v>
      </c>
      <c r="BM41" s="76" t="str">
        <f>IF('PFM NON-SELL (Draft Layers)'!BN240="X","X"," ")</f>
        <v xml:space="preserve"> </v>
      </c>
      <c r="BN41" s="76" t="str">
        <f>IF('PFM NON-SELL (Draft Layers)'!BO240="X","X"," ")</f>
        <v>X</v>
      </c>
      <c r="BO41" s="76" t="str">
        <f>IF('PFM NON-SELL (Draft Layers)'!BP240="X","X"," ")</f>
        <v>X</v>
      </c>
      <c r="BP41" s="76" t="str">
        <f>IF('PFM NON-SELL (Draft Layers)'!BQ240="X","X"," ")</f>
        <v xml:space="preserve"> </v>
      </c>
      <c r="BQ41" s="76" t="str">
        <f>IF('PFM NON-SELL (Draft Layers)'!BR240="X","X"," ")</f>
        <v xml:space="preserve"> </v>
      </c>
      <c r="BR41" s="76"/>
      <c r="BS41" s="76"/>
      <c r="BT41" s="76"/>
      <c r="BU41" s="76"/>
      <c r="BV41" s="76" t="str">
        <f>IF('PFM NON-SELL (Draft Layers)'!BW240="X","X"," ")</f>
        <v xml:space="preserve"> </v>
      </c>
      <c r="BW41" s="76"/>
      <c r="BX41" s="76" t="str">
        <f>IF('PFM NON-SELL (Draft Layers)'!BZ240="X","X"," ")</f>
        <v xml:space="preserve"> </v>
      </c>
      <c r="BY41" s="76" t="str">
        <f>IF('PFM NON-SELL (Draft Layers)'!CA240="X","X"," ")</f>
        <v xml:space="preserve"> </v>
      </c>
      <c r="BZ41" s="76" t="str">
        <f>IF('PFM NON-SELL (Draft Layers)'!CB240="X","X"," ")</f>
        <v xml:space="preserve"> </v>
      </c>
      <c r="CA41" s="76" t="str">
        <f>IF('PFM NON-SELL (Draft Layers)'!CC240="X","X"," ")</f>
        <v xml:space="preserve"> </v>
      </c>
      <c r="CB41" s="76" t="str">
        <f>IF('PFM NON-SELL (Draft Layers)'!CD240="X","X"," ")</f>
        <v xml:space="preserve"> </v>
      </c>
      <c r="CC41" s="76" t="str">
        <f>IF('PFM NON-SELL (Draft Layers)'!CE240="X","X"," ")</f>
        <v xml:space="preserve"> </v>
      </c>
      <c r="CD41" s="76" t="str">
        <f>IF('PFM NON-SELL (Draft Layers)'!CF240="X","X"," ")</f>
        <v xml:space="preserve"> </v>
      </c>
      <c r="CE41" s="76" t="str">
        <f>IF('PFM NON-SELL (Draft Layers)'!CG240="X","X"," ")</f>
        <v xml:space="preserve"> </v>
      </c>
      <c r="CF41" s="76" t="str">
        <f>IF('PFM NON-SELL (Draft Layers)'!CH240="X","X"," ")</f>
        <v xml:space="preserve"> </v>
      </c>
      <c r="CG41" s="76" t="str">
        <f>IF('PFM NON-SELL (Draft Layers)'!CI240="X","X"," ")</f>
        <v xml:space="preserve"> </v>
      </c>
      <c r="CH41" s="76" t="str">
        <f>IF('PFM NON-SELL (Draft Layers)'!CJ240="X","X"," ")</f>
        <v xml:space="preserve"> </v>
      </c>
      <c r="CI41" s="76"/>
      <c r="CJ41" s="76"/>
      <c r="CK41" s="76"/>
      <c r="CL41" s="76"/>
      <c r="CM41" s="76" t="str">
        <f>IF('PFM NON-SELL (Draft Layers)'!CV240="X","X"," ")</f>
        <v xml:space="preserve"> </v>
      </c>
      <c r="CN41" s="76" t="str">
        <f>IF('PFM NON-SELL (Draft Layers)'!CW240="X","X"," ")</f>
        <v xml:space="preserve"> </v>
      </c>
      <c r="CO41" s="76" t="str">
        <f>IF('PFM NON-SELL (Draft Layers)'!CX240="X","X"," ")</f>
        <v xml:space="preserve"> </v>
      </c>
      <c r="CP41" s="76" t="str">
        <f>IF('PFM NON-SELL (Draft Layers)'!CY240="X","X"," ")</f>
        <v xml:space="preserve"> </v>
      </c>
      <c r="CQ41" s="76" t="str">
        <f>IF('PFM NON-SELL (Draft Layers)'!CZ240="X","X"," ")</f>
        <v xml:space="preserve"> </v>
      </c>
      <c r="CR41" s="76" t="str">
        <f>IF('PFM NON-SELL (Draft Layers)'!DA240="X","X"," ")</f>
        <v xml:space="preserve"> </v>
      </c>
      <c r="CS41" s="76" t="str">
        <f>IF('PFM NON-SELL (Draft Layers)'!DB240="X","X"," ")</f>
        <v xml:space="preserve"> </v>
      </c>
      <c r="CT41" s="76" t="str">
        <f>IF('PFM NON-SELL (Draft Layers)'!DC240="X","X"," ")</f>
        <v xml:space="preserve"> </v>
      </c>
      <c r="CU41" s="76" t="str">
        <f>IF('PFM NON-SELL (Draft Layers)'!DD240="X","X"," ")</f>
        <v xml:space="preserve"> </v>
      </c>
      <c r="CV41" s="76" t="str">
        <f>IF('PFM NON-SELL (Draft Layers)'!DE240="X","X"," ")</f>
        <v xml:space="preserve"> </v>
      </c>
      <c r="CW41" s="76" t="str">
        <f>IF('PFM NON-SELL (Draft Layers)'!DF240="X","X"," ")</f>
        <v xml:space="preserve"> </v>
      </c>
      <c r="CX41" s="76" t="str">
        <f>IF('PFM NON-SELL (Draft Layers)'!DG240="X","X"," ")</f>
        <v>X</v>
      </c>
      <c r="CY41" s="76" t="str">
        <f>IF('PFM NON-SELL (Draft Layers)'!DH240="X","X"," ")</f>
        <v>X</v>
      </c>
      <c r="CZ41" s="76" t="str">
        <f>IF('PFM NON-SELL (Draft Layers)'!DI240="X","X"," ")</f>
        <v xml:space="preserve"> </v>
      </c>
      <c r="DA41" s="76" t="str">
        <f>IF('PFM NON-SELL (Draft Layers)'!DJ240="X","X"," ")</f>
        <v xml:space="preserve"> </v>
      </c>
      <c r="DB41" s="76" t="str">
        <f>IF('PFM NON-SELL (Draft Layers)'!DK240="X","X"," ")</f>
        <v xml:space="preserve"> </v>
      </c>
      <c r="DC41" s="76" t="str">
        <f>IF('PFM NON-SELL (Draft Layers)'!DL240="X","X"," ")</f>
        <v xml:space="preserve"> </v>
      </c>
      <c r="DD41" s="76" t="str">
        <f>IF('PFM NON-SELL (Draft Layers)'!DM240="X","X"," ")</f>
        <v xml:space="preserve"> </v>
      </c>
      <c r="DE41" s="76" t="str">
        <f>IF('PFM NON-SELL (Draft Layers)'!DN240="X","X"," ")</f>
        <v xml:space="preserve"> </v>
      </c>
      <c r="DF41" s="76" t="str">
        <f>IF('PFM NON-SELL (Draft Layers)'!DO240="X","X"," ")</f>
        <v xml:space="preserve"> </v>
      </c>
      <c r="DG41" s="76" t="str">
        <f>IF('PFM NON-SELL (Draft Layers)'!DP240="X","X"," ")</f>
        <v xml:space="preserve"> </v>
      </c>
      <c r="DH41" s="76" t="str">
        <f>IF('PFM NON-SELL (Draft Layers)'!DQ240="X","X"," ")</f>
        <v xml:space="preserve"> </v>
      </c>
      <c r="DI41" s="76" t="str">
        <f>IF('PFM NON-SELL (Draft Layers)'!DR240="X","X"," ")</f>
        <v xml:space="preserve"> </v>
      </c>
      <c r="DJ41" s="76" t="str">
        <f>IF('PFM NON-SELL (Draft Layers)'!DS240="X","X"," ")</f>
        <v xml:space="preserve"> </v>
      </c>
      <c r="DK41" s="76" t="str">
        <f>IF('PFM NON-SELL (Draft Layers)'!DT240="X","X"," ")</f>
        <v xml:space="preserve"> </v>
      </c>
      <c r="DL41" s="76" t="str">
        <f>IF('PFM NON-SELL (Draft Layers)'!DU240="X","X"," ")</f>
        <v xml:space="preserve"> </v>
      </c>
      <c r="DM41" s="76"/>
      <c r="DN41" s="95"/>
      <c r="DO41" s="90">
        <f t="shared" si="6"/>
        <v>5</v>
      </c>
      <c r="DP41" s="21"/>
      <c r="DQ41" s="21"/>
    </row>
    <row r="42" spans="1:121" x14ac:dyDescent="0.3">
      <c r="A42" s="4" t="s">
        <v>126</v>
      </c>
      <c r="B42" s="4" t="s">
        <v>173</v>
      </c>
      <c r="C42" s="4" t="s">
        <v>184</v>
      </c>
      <c r="D42" s="4" t="s">
        <v>185</v>
      </c>
      <c r="E42" s="12">
        <v>7</v>
      </c>
      <c r="F42" s="34">
        <f t="shared" si="7"/>
        <v>7105</v>
      </c>
      <c r="G42" s="28">
        <f t="shared" si="8"/>
        <v>1015</v>
      </c>
      <c r="H42" s="28">
        <f t="shared" si="9"/>
        <v>85</v>
      </c>
      <c r="I42" s="26">
        <f t="shared" si="10"/>
        <v>4466</v>
      </c>
      <c r="J42" s="24">
        <f t="shared" si="11"/>
        <v>638</v>
      </c>
      <c r="K42" s="31">
        <f t="shared" si="12"/>
        <v>128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145</v>
      </c>
      <c r="R42" s="9">
        <v>116</v>
      </c>
      <c r="S42" s="9">
        <v>145</v>
      </c>
      <c r="T42" s="9">
        <v>116</v>
      </c>
      <c r="U42" s="9">
        <v>116</v>
      </c>
      <c r="V42" s="9">
        <v>145</v>
      </c>
      <c r="W42" s="9">
        <v>116</v>
      </c>
      <c r="X42" s="9">
        <v>116</v>
      </c>
      <c r="Y42" s="9">
        <v>145</v>
      </c>
      <c r="Z42" s="9">
        <v>116</v>
      </c>
      <c r="AA42" s="9">
        <v>116</v>
      </c>
      <c r="AB42" s="9">
        <v>145</v>
      </c>
      <c r="AC42" s="9">
        <v>116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974.4</v>
      </c>
      <c r="AK42" s="6">
        <v>779.52</v>
      </c>
      <c r="AL42" s="6">
        <v>974.4</v>
      </c>
      <c r="AM42" s="6">
        <v>779.52</v>
      </c>
      <c r="AN42" s="6">
        <v>779.52</v>
      </c>
      <c r="AO42" s="6">
        <v>974.4</v>
      </c>
      <c r="AP42" s="6">
        <v>779.52</v>
      </c>
      <c r="AQ42" s="6">
        <v>779.52</v>
      </c>
      <c r="AR42" s="6">
        <v>974.4</v>
      </c>
      <c r="AS42" s="6">
        <v>779.52</v>
      </c>
      <c r="AT42" s="6">
        <v>779.52</v>
      </c>
      <c r="AU42" s="6">
        <v>974.4</v>
      </c>
      <c r="AV42" s="6">
        <v>779.52</v>
      </c>
      <c r="AW42" s="93" t="str">
        <f>IF('PFM NON-SELL (Draft Layers)'!AW241="X","X"," ")</f>
        <v xml:space="preserve"> </v>
      </c>
      <c r="AX42" s="76" t="str">
        <f>IF('PFM NON-SELL (Draft Layers)'!AX241="X","X"," ")</f>
        <v xml:space="preserve"> </v>
      </c>
      <c r="AY42" s="76" t="str">
        <f>IF('PFM NON-SELL (Draft Layers)'!AY241="X","X"," ")</f>
        <v xml:space="preserve"> </v>
      </c>
      <c r="AZ42" s="76" t="str">
        <f>IF('PFM NON-SELL (Draft Layers)'!AZ241="X","X"," ")</f>
        <v xml:space="preserve"> </v>
      </c>
      <c r="BA42" s="76" t="str">
        <f>IF('PFM NON-SELL (Draft Layers)'!BA241="X","X"," ")</f>
        <v>X</v>
      </c>
      <c r="BB42" s="76" t="str">
        <f>IF('PFM NON-SELL (Draft Layers)'!BB241="X","X"," ")</f>
        <v xml:space="preserve"> </v>
      </c>
      <c r="BC42" s="76" t="str">
        <f>IF('PFM NON-SELL (Draft Layers)'!BC241="X","X"," ")</f>
        <v xml:space="preserve"> </v>
      </c>
      <c r="BD42" s="76" t="str">
        <f>IF('PFM NON-SELL (Draft Layers)'!BD241="X","X"," ")</f>
        <v xml:space="preserve"> </v>
      </c>
      <c r="BE42" s="76" t="str">
        <f>IF('PFM NON-SELL (Draft Layers)'!BE241="X","X"," ")</f>
        <v xml:space="preserve"> </v>
      </c>
      <c r="BF42" s="76" t="str">
        <f>IF('PFM NON-SELL (Draft Layers)'!BF241="X","X"," ")</f>
        <v xml:space="preserve"> </v>
      </c>
      <c r="BG42" s="76"/>
      <c r="BH42" s="76"/>
      <c r="BI42" s="76" t="str">
        <f>IF('PFM NON-SELL (Draft Layers)'!BG241="X","X"," ")</f>
        <v xml:space="preserve"> </v>
      </c>
      <c r="BJ42" s="76" t="str">
        <f>IF('PFM NON-SELL (Draft Layers)'!BJ241="X","X"," ")</f>
        <v xml:space="preserve"> </v>
      </c>
      <c r="BK42" s="76" t="str">
        <f>IF('PFM NON-SELL (Draft Layers)'!BK241="X","X"," ")</f>
        <v xml:space="preserve"> </v>
      </c>
      <c r="BL42" s="76" t="str">
        <f>IF('PFM NON-SELL (Draft Layers)'!BM241="X","X"," ")</f>
        <v xml:space="preserve"> </v>
      </c>
      <c r="BM42" s="76" t="str">
        <f>IF('PFM NON-SELL (Draft Layers)'!BN241="X","X"," ")</f>
        <v xml:space="preserve"> </v>
      </c>
      <c r="BN42" s="76" t="str">
        <f>IF('PFM NON-SELL (Draft Layers)'!BO241="X","X"," ")</f>
        <v>X</v>
      </c>
      <c r="BO42" s="76" t="str">
        <f>IF('PFM NON-SELL (Draft Layers)'!BP241="X","X"," ")</f>
        <v>X</v>
      </c>
      <c r="BP42" s="76" t="str">
        <f>IF('PFM NON-SELL (Draft Layers)'!BQ241="X","X"," ")</f>
        <v xml:space="preserve"> </v>
      </c>
      <c r="BQ42" s="76" t="str">
        <f>IF('PFM NON-SELL (Draft Layers)'!BR241="X","X"," ")</f>
        <v xml:space="preserve"> </v>
      </c>
      <c r="BR42" s="76"/>
      <c r="BS42" s="76"/>
      <c r="BT42" s="76"/>
      <c r="BU42" s="76"/>
      <c r="BV42" s="76" t="str">
        <f>IF('PFM NON-SELL (Draft Layers)'!BW241="X","X"," ")</f>
        <v xml:space="preserve"> </v>
      </c>
      <c r="BW42" s="76"/>
      <c r="BX42" s="76" t="str">
        <f>IF('PFM NON-SELL (Draft Layers)'!BZ241="X","X"," ")</f>
        <v xml:space="preserve"> </v>
      </c>
      <c r="BY42" s="76" t="str">
        <f>IF('PFM NON-SELL (Draft Layers)'!CA241="X","X"," ")</f>
        <v xml:space="preserve"> </v>
      </c>
      <c r="BZ42" s="76" t="str">
        <f>IF('PFM NON-SELL (Draft Layers)'!CB241="X","X"," ")</f>
        <v xml:space="preserve"> </v>
      </c>
      <c r="CA42" s="76" t="str">
        <f>IF('PFM NON-SELL (Draft Layers)'!CC241="X","X"," ")</f>
        <v xml:space="preserve"> </v>
      </c>
      <c r="CB42" s="76" t="str">
        <f>IF('PFM NON-SELL (Draft Layers)'!CD241="X","X"," ")</f>
        <v xml:space="preserve"> </v>
      </c>
      <c r="CC42" s="76" t="str">
        <f>IF('PFM NON-SELL (Draft Layers)'!CE241="X","X"," ")</f>
        <v xml:space="preserve"> </v>
      </c>
      <c r="CD42" s="76" t="str">
        <f>IF('PFM NON-SELL (Draft Layers)'!CF241="X","X"," ")</f>
        <v xml:space="preserve"> </v>
      </c>
      <c r="CE42" s="76" t="str">
        <f>IF('PFM NON-SELL (Draft Layers)'!CG241="X","X"," ")</f>
        <v xml:space="preserve"> </v>
      </c>
      <c r="CF42" s="76" t="str">
        <f>IF('PFM NON-SELL (Draft Layers)'!CH241="X","X"," ")</f>
        <v xml:space="preserve"> </v>
      </c>
      <c r="CG42" s="76" t="str">
        <f>IF('PFM NON-SELL (Draft Layers)'!CI241="X","X"," ")</f>
        <v xml:space="preserve"> </v>
      </c>
      <c r="CH42" s="76" t="str">
        <f>IF('PFM NON-SELL (Draft Layers)'!CJ241="X","X"," ")</f>
        <v xml:space="preserve"> </v>
      </c>
      <c r="CI42" s="76"/>
      <c r="CJ42" s="76"/>
      <c r="CK42" s="76"/>
      <c r="CL42" s="76"/>
      <c r="CM42" s="76" t="str">
        <f>IF('PFM NON-SELL (Draft Layers)'!CV241="X","X"," ")</f>
        <v xml:space="preserve"> </v>
      </c>
      <c r="CN42" s="76" t="str">
        <f>IF('PFM NON-SELL (Draft Layers)'!CW241="X","X"," ")</f>
        <v xml:space="preserve"> </v>
      </c>
      <c r="CO42" s="76" t="str">
        <f>IF('PFM NON-SELL (Draft Layers)'!CX241="X","X"," ")</f>
        <v xml:space="preserve"> </v>
      </c>
      <c r="CP42" s="76" t="str">
        <f>IF('PFM NON-SELL (Draft Layers)'!CY241="X","X"," ")</f>
        <v xml:space="preserve"> </v>
      </c>
      <c r="CQ42" s="76" t="str">
        <f>IF('PFM NON-SELL (Draft Layers)'!CZ241="X","X"," ")</f>
        <v xml:space="preserve"> </v>
      </c>
      <c r="CR42" s="76" t="str">
        <f>IF('PFM NON-SELL (Draft Layers)'!DA241="X","X"," ")</f>
        <v xml:space="preserve"> </v>
      </c>
      <c r="CS42" s="76" t="str">
        <f>IF('PFM NON-SELL (Draft Layers)'!DB241="X","X"," ")</f>
        <v xml:space="preserve"> </v>
      </c>
      <c r="CT42" s="76" t="str">
        <f>IF('PFM NON-SELL (Draft Layers)'!DC241="X","X"," ")</f>
        <v xml:space="preserve"> </v>
      </c>
      <c r="CU42" s="76" t="str">
        <f>IF('PFM NON-SELL (Draft Layers)'!DD241="X","X"," ")</f>
        <v xml:space="preserve"> </v>
      </c>
      <c r="CV42" s="76" t="str">
        <f>IF('PFM NON-SELL (Draft Layers)'!DE241="X","X"," ")</f>
        <v xml:space="preserve"> </v>
      </c>
      <c r="CW42" s="76" t="str">
        <f>IF('PFM NON-SELL (Draft Layers)'!DF241="X","X"," ")</f>
        <v xml:space="preserve"> </v>
      </c>
      <c r="CX42" s="76" t="str">
        <f>IF('PFM NON-SELL (Draft Layers)'!DG241="X","X"," ")</f>
        <v>X</v>
      </c>
      <c r="CY42" s="76" t="str">
        <f>IF('PFM NON-SELL (Draft Layers)'!DH241="X","X"," ")</f>
        <v>X</v>
      </c>
      <c r="CZ42" s="76" t="str">
        <f>IF('PFM NON-SELL (Draft Layers)'!DI241="X","X"," ")</f>
        <v xml:space="preserve"> </v>
      </c>
      <c r="DA42" s="76" t="str">
        <f>IF('PFM NON-SELL (Draft Layers)'!DJ241="X","X"," ")</f>
        <v xml:space="preserve"> </v>
      </c>
      <c r="DB42" s="76" t="str">
        <f>IF('PFM NON-SELL (Draft Layers)'!DK241="X","X"," ")</f>
        <v xml:space="preserve"> </v>
      </c>
      <c r="DC42" s="76" t="str">
        <f>IF('PFM NON-SELL (Draft Layers)'!DL241="X","X"," ")</f>
        <v xml:space="preserve"> </v>
      </c>
      <c r="DD42" s="76" t="str">
        <f>IF('PFM NON-SELL (Draft Layers)'!DM241="X","X"," ")</f>
        <v xml:space="preserve"> </v>
      </c>
      <c r="DE42" s="76" t="str">
        <f>IF('PFM NON-SELL (Draft Layers)'!DN241="X","X"," ")</f>
        <v xml:space="preserve"> </v>
      </c>
      <c r="DF42" s="76" t="str">
        <f>IF('PFM NON-SELL (Draft Layers)'!DO241="X","X"," ")</f>
        <v xml:space="preserve"> </v>
      </c>
      <c r="DG42" s="76" t="str">
        <f>IF('PFM NON-SELL (Draft Layers)'!DP241="X","X"," ")</f>
        <v xml:space="preserve"> </v>
      </c>
      <c r="DH42" s="76" t="str">
        <f>IF('PFM NON-SELL (Draft Layers)'!DQ241="X","X"," ")</f>
        <v xml:space="preserve"> </v>
      </c>
      <c r="DI42" s="76" t="str">
        <f>IF('PFM NON-SELL (Draft Layers)'!DR241="X","X"," ")</f>
        <v xml:space="preserve"> </v>
      </c>
      <c r="DJ42" s="76" t="str">
        <f>IF('PFM NON-SELL (Draft Layers)'!DS241="X","X"," ")</f>
        <v xml:space="preserve"> </v>
      </c>
      <c r="DK42" s="76" t="str">
        <f>IF('PFM NON-SELL (Draft Layers)'!DT241="X","X"," ")</f>
        <v xml:space="preserve"> </v>
      </c>
      <c r="DL42" s="76" t="str">
        <f>IF('PFM NON-SELL (Draft Layers)'!DU241="X","X"," ")</f>
        <v xml:space="preserve"> </v>
      </c>
      <c r="DM42" s="76"/>
      <c r="DN42" s="95"/>
      <c r="DO42" s="90">
        <f t="shared" si="6"/>
        <v>5</v>
      </c>
      <c r="DP42" s="21"/>
      <c r="DQ42" s="21"/>
    </row>
    <row r="43" spans="1:121" x14ac:dyDescent="0.3">
      <c r="A43" s="4" t="s">
        <v>126</v>
      </c>
      <c r="B43" s="4" t="s">
        <v>173</v>
      </c>
      <c r="C43" s="4" t="s">
        <v>186</v>
      </c>
      <c r="D43" s="4" t="s">
        <v>187</v>
      </c>
      <c r="E43" s="12">
        <v>30.98</v>
      </c>
      <c r="F43" s="34">
        <f t="shared" si="7"/>
        <v>31444.7</v>
      </c>
      <c r="G43" s="28">
        <f t="shared" si="8"/>
        <v>1015</v>
      </c>
      <c r="H43" s="28">
        <f t="shared" si="9"/>
        <v>85</v>
      </c>
      <c r="I43" s="26">
        <f t="shared" si="10"/>
        <v>19765.240000000002</v>
      </c>
      <c r="J43" s="24">
        <f t="shared" si="11"/>
        <v>638</v>
      </c>
      <c r="K43" s="31">
        <f t="shared" si="12"/>
        <v>128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145</v>
      </c>
      <c r="R43" s="9">
        <v>116</v>
      </c>
      <c r="S43" s="9">
        <v>145</v>
      </c>
      <c r="T43" s="9">
        <v>116</v>
      </c>
      <c r="U43" s="9">
        <v>116</v>
      </c>
      <c r="V43" s="9">
        <v>145</v>
      </c>
      <c r="W43" s="9">
        <v>116</v>
      </c>
      <c r="X43" s="9">
        <v>116</v>
      </c>
      <c r="Y43" s="9">
        <v>145</v>
      </c>
      <c r="Z43" s="9">
        <v>116</v>
      </c>
      <c r="AA43" s="9">
        <v>116</v>
      </c>
      <c r="AB43" s="9">
        <v>145</v>
      </c>
      <c r="AC43" s="9">
        <v>116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4492.1000000000004</v>
      </c>
      <c r="AK43" s="6">
        <v>3593.68</v>
      </c>
      <c r="AL43" s="6">
        <v>4492.1000000000004</v>
      </c>
      <c r="AM43" s="6">
        <v>3593.68</v>
      </c>
      <c r="AN43" s="6">
        <v>3593.68</v>
      </c>
      <c r="AO43" s="6">
        <v>4492.1000000000004</v>
      </c>
      <c r="AP43" s="6">
        <v>3593.68</v>
      </c>
      <c r="AQ43" s="6">
        <v>3593.68</v>
      </c>
      <c r="AR43" s="6">
        <v>4492.1000000000004</v>
      </c>
      <c r="AS43" s="6">
        <v>3593.68</v>
      </c>
      <c r="AT43" s="6">
        <v>3593.68</v>
      </c>
      <c r="AU43" s="6">
        <v>4492.1000000000004</v>
      </c>
      <c r="AV43" s="6">
        <v>3593.68</v>
      </c>
      <c r="AW43" s="93" t="str">
        <f>IF('PFM NON-SELL (Draft Layers)'!AW244="X","X"," ")</f>
        <v>X</v>
      </c>
      <c r="AX43" s="76" t="str">
        <f>IF('PFM NON-SELL (Draft Layers)'!AX244="X","X"," ")</f>
        <v xml:space="preserve"> </v>
      </c>
      <c r="AY43" s="76" t="str">
        <f>IF('PFM NON-SELL (Draft Layers)'!AY244="X","X"," ")</f>
        <v xml:space="preserve"> </v>
      </c>
      <c r="AZ43" s="76" t="str">
        <f>IF('PFM NON-SELL (Draft Layers)'!AZ244="X","X"," ")</f>
        <v xml:space="preserve"> </v>
      </c>
      <c r="BA43" s="76" t="str">
        <f>IF('PFM NON-SELL (Draft Layers)'!BA244="X","X"," ")</f>
        <v xml:space="preserve"> </v>
      </c>
      <c r="BB43" s="76" t="str">
        <f>IF('PFM NON-SELL (Draft Layers)'!BB244="X","X"," ")</f>
        <v xml:space="preserve"> </v>
      </c>
      <c r="BC43" s="76" t="str">
        <f>IF('PFM NON-SELL (Draft Layers)'!BC244="X","X"," ")</f>
        <v xml:space="preserve"> </v>
      </c>
      <c r="BD43" s="76" t="str">
        <f>IF('PFM NON-SELL (Draft Layers)'!BD244="X","X"," ")</f>
        <v xml:space="preserve"> </v>
      </c>
      <c r="BE43" s="76" t="str">
        <f>IF('PFM NON-SELL (Draft Layers)'!BE244="X","X"," ")</f>
        <v xml:space="preserve"> </v>
      </c>
      <c r="BF43" s="76" t="str">
        <f>IF('PFM NON-SELL (Draft Layers)'!BF244="X","X"," ")</f>
        <v xml:space="preserve"> </v>
      </c>
      <c r="BG43" s="76"/>
      <c r="BH43" s="76"/>
      <c r="BI43" s="76" t="str">
        <f>IF('PFM NON-SELL (Draft Layers)'!BG244="X","X"," ")</f>
        <v xml:space="preserve"> </v>
      </c>
      <c r="BJ43" s="76" t="str">
        <f>IF('PFM NON-SELL (Draft Layers)'!BJ244="X","X"," ")</f>
        <v xml:space="preserve"> </v>
      </c>
      <c r="BK43" s="76" t="str">
        <f>IF('PFM NON-SELL (Draft Layers)'!BK244="X","X"," ")</f>
        <v xml:space="preserve"> </v>
      </c>
      <c r="BL43" s="76" t="str">
        <f>IF('PFM NON-SELL (Draft Layers)'!BM244="X","X"," ")</f>
        <v xml:space="preserve"> </v>
      </c>
      <c r="BM43" s="76" t="str">
        <f>IF('PFM NON-SELL (Draft Layers)'!BN244="X","X"," ")</f>
        <v xml:space="preserve"> </v>
      </c>
      <c r="BN43" s="76" t="str">
        <f>IF('PFM NON-SELL (Draft Layers)'!BO244="X","X"," ")</f>
        <v>X</v>
      </c>
      <c r="BO43" s="76" t="str">
        <f>IF('PFM NON-SELL (Draft Layers)'!BP244="X","X"," ")</f>
        <v>X</v>
      </c>
      <c r="BP43" s="76" t="str">
        <f>IF('PFM NON-SELL (Draft Layers)'!BQ244="X","X"," ")</f>
        <v xml:space="preserve"> </v>
      </c>
      <c r="BQ43" s="76" t="str">
        <f>IF('PFM NON-SELL (Draft Layers)'!BR244="X","X"," ")</f>
        <v xml:space="preserve"> </v>
      </c>
      <c r="BR43" s="76"/>
      <c r="BS43" s="76"/>
      <c r="BT43" s="76"/>
      <c r="BU43" s="76"/>
      <c r="BV43" s="76" t="str">
        <f>IF('PFM NON-SELL (Draft Layers)'!BW244="X","X"," ")</f>
        <v xml:space="preserve"> </v>
      </c>
      <c r="BW43" s="76"/>
      <c r="BX43" s="76" t="str">
        <f>IF('PFM NON-SELL (Draft Layers)'!BZ244="X","X"," ")</f>
        <v xml:space="preserve"> </v>
      </c>
      <c r="BY43" s="76" t="str">
        <f>IF('PFM NON-SELL (Draft Layers)'!CA244="X","X"," ")</f>
        <v xml:space="preserve"> </v>
      </c>
      <c r="BZ43" s="76" t="str">
        <f>IF('PFM NON-SELL (Draft Layers)'!CB244="X","X"," ")</f>
        <v xml:space="preserve"> </v>
      </c>
      <c r="CA43" s="76" t="str">
        <f>IF('PFM NON-SELL (Draft Layers)'!CC244="X","X"," ")</f>
        <v xml:space="preserve"> </v>
      </c>
      <c r="CB43" s="76" t="str">
        <f>IF('PFM NON-SELL (Draft Layers)'!CD244="X","X"," ")</f>
        <v xml:space="preserve"> </v>
      </c>
      <c r="CC43" s="76" t="str">
        <f>IF('PFM NON-SELL (Draft Layers)'!CE244="X","X"," ")</f>
        <v xml:space="preserve"> </v>
      </c>
      <c r="CD43" s="76" t="str">
        <f>IF('PFM NON-SELL (Draft Layers)'!CF244="X","X"," ")</f>
        <v xml:space="preserve"> </v>
      </c>
      <c r="CE43" s="76" t="str">
        <f>IF('PFM NON-SELL (Draft Layers)'!CG244="X","X"," ")</f>
        <v xml:space="preserve"> </v>
      </c>
      <c r="CF43" s="76" t="str">
        <f>IF('PFM NON-SELL (Draft Layers)'!CH244="X","X"," ")</f>
        <v xml:space="preserve"> </v>
      </c>
      <c r="CG43" s="76" t="str">
        <f>IF('PFM NON-SELL (Draft Layers)'!CI244="X","X"," ")</f>
        <v xml:space="preserve"> </v>
      </c>
      <c r="CH43" s="76" t="str">
        <f>IF('PFM NON-SELL (Draft Layers)'!CJ244="X","X"," ")</f>
        <v xml:space="preserve"> </v>
      </c>
      <c r="CI43" s="76"/>
      <c r="CJ43" s="76"/>
      <c r="CK43" s="76"/>
      <c r="CL43" s="76"/>
      <c r="CM43" s="76" t="str">
        <f>IF('PFM NON-SELL (Draft Layers)'!CV244="X","X"," ")</f>
        <v xml:space="preserve"> </v>
      </c>
      <c r="CN43" s="76" t="str">
        <f>IF('PFM NON-SELL (Draft Layers)'!CW244="X","X"," ")</f>
        <v xml:space="preserve"> </v>
      </c>
      <c r="CO43" s="76" t="str">
        <f>IF('PFM NON-SELL (Draft Layers)'!CX244="X","X"," ")</f>
        <v xml:space="preserve"> </v>
      </c>
      <c r="CP43" s="76" t="str">
        <f>IF('PFM NON-SELL (Draft Layers)'!CY244="X","X"," ")</f>
        <v xml:space="preserve"> </v>
      </c>
      <c r="CQ43" s="76" t="str">
        <f>IF('PFM NON-SELL (Draft Layers)'!CZ244="X","X"," ")</f>
        <v xml:space="preserve"> </v>
      </c>
      <c r="CR43" s="76" t="str">
        <f>IF('PFM NON-SELL (Draft Layers)'!DA244="X","X"," ")</f>
        <v xml:space="preserve"> </v>
      </c>
      <c r="CS43" s="76" t="str">
        <f>IF('PFM NON-SELL (Draft Layers)'!DB244="X","X"," ")</f>
        <v xml:space="preserve"> </v>
      </c>
      <c r="CT43" s="76" t="str">
        <f>IF('PFM NON-SELL (Draft Layers)'!DC244="X","X"," ")</f>
        <v xml:space="preserve"> </v>
      </c>
      <c r="CU43" s="76" t="str">
        <f>IF('PFM NON-SELL (Draft Layers)'!DD244="X","X"," ")</f>
        <v xml:space="preserve"> </v>
      </c>
      <c r="CV43" s="76" t="str">
        <f>IF('PFM NON-SELL (Draft Layers)'!DE244="X","X"," ")</f>
        <v xml:space="preserve"> </v>
      </c>
      <c r="CW43" s="76" t="str">
        <f>IF('PFM NON-SELL (Draft Layers)'!DF244="X","X"," ")</f>
        <v xml:space="preserve"> </v>
      </c>
      <c r="CX43" s="76" t="str">
        <f>IF('PFM NON-SELL (Draft Layers)'!DG244="X","X"," ")</f>
        <v>X</v>
      </c>
      <c r="CY43" s="76" t="str">
        <f>IF('PFM NON-SELL (Draft Layers)'!DH244="X","X"," ")</f>
        <v>X</v>
      </c>
      <c r="CZ43" s="76" t="str">
        <f>IF('PFM NON-SELL (Draft Layers)'!DI244="X","X"," ")</f>
        <v xml:space="preserve"> </v>
      </c>
      <c r="DA43" s="76" t="str">
        <f>IF('PFM NON-SELL (Draft Layers)'!DJ244="X","X"," ")</f>
        <v xml:space="preserve"> </v>
      </c>
      <c r="DB43" s="76" t="str">
        <f>IF('PFM NON-SELL (Draft Layers)'!DK244="X","X"," ")</f>
        <v xml:space="preserve"> </v>
      </c>
      <c r="DC43" s="76" t="str">
        <f>IF('PFM NON-SELL (Draft Layers)'!DL244="X","X"," ")</f>
        <v xml:space="preserve"> </v>
      </c>
      <c r="DD43" s="76" t="str">
        <f>IF('PFM NON-SELL (Draft Layers)'!DM244="X","X"," ")</f>
        <v xml:space="preserve"> </v>
      </c>
      <c r="DE43" s="76" t="str">
        <f>IF('PFM NON-SELL (Draft Layers)'!DN244="X","X"," ")</f>
        <v xml:space="preserve"> </v>
      </c>
      <c r="DF43" s="76" t="str">
        <f>IF('PFM NON-SELL (Draft Layers)'!DO244="X","X"," ")</f>
        <v xml:space="preserve"> </v>
      </c>
      <c r="DG43" s="76" t="str">
        <f>IF('PFM NON-SELL (Draft Layers)'!DP244="X","X"," ")</f>
        <v xml:space="preserve"> </v>
      </c>
      <c r="DH43" s="76" t="str">
        <f>IF('PFM NON-SELL (Draft Layers)'!DQ244="X","X"," ")</f>
        <v xml:space="preserve"> </v>
      </c>
      <c r="DI43" s="76" t="str">
        <f>IF('PFM NON-SELL (Draft Layers)'!DR244="X","X"," ")</f>
        <v xml:space="preserve"> </v>
      </c>
      <c r="DJ43" s="76" t="str">
        <f>IF('PFM NON-SELL (Draft Layers)'!DS244="X","X"," ")</f>
        <v xml:space="preserve"> </v>
      </c>
      <c r="DK43" s="76" t="str">
        <f>IF('PFM NON-SELL (Draft Layers)'!DT244="X","X"," ")</f>
        <v xml:space="preserve"> </v>
      </c>
      <c r="DL43" s="76" t="str">
        <f>IF('PFM NON-SELL (Draft Layers)'!DU244="X","X"," ")</f>
        <v xml:space="preserve"> </v>
      </c>
      <c r="DM43" s="76"/>
      <c r="DN43" s="95"/>
      <c r="DO43" s="90">
        <f t="shared" si="6"/>
        <v>5</v>
      </c>
      <c r="DP43" s="21"/>
      <c r="DQ43" s="21"/>
    </row>
    <row r="44" spans="1:121" x14ac:dyDescent="0.3">
      <c r="A44" s="4" t="s">
        <v>126</v>
      </c>
      <c r="B44" s="4" t="s">
        <v>173</v>
      </c>
      <c r="C44" s="4" t="s">
        <v>188</v>
      </c>
      <c r="D44" s="4" t="s">
        <v>189</v>
      </c>
      <c r="E44" s="12">
        <v>7.43</v>
      </c>
      <c r="F44" s="34">
        <f t="shared" si="7"/>
        <v>7541.45</v>
      </c>
      <c r="G44" s="28">
        <f t="shared" si="8"/>
        <v>1015</v>
      </c>
      <c r="H44" s="28">
        <f t="shared" si="9"/>
        <v>85</v>
      </c>
      <c r="I44" s="26">
        <f t="shared" si="10"/>
        <v>4740.34</v>
      </c>
      <c r="J44" s="24">
        <f t="shared" si="11"/>
        <v>638</v>
      </c>
      <c r="K44" s="31">
        <f t="shared" si="12"/>
        <v>128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145</v>
      </c>
      <c r="R44" s="9">
        <v>116</v>
      </c>
      <c r="S44" s="9">
        <v>145</v>
      </c>
      <c r="T44" s="9">
        <v>116</v>
      </c>
      <c r="U44" s="9">
        <v>116</v>
      </c>
      <c r="V44" s="9">
        <v>145</v>
      </c>
      <c r="W44" s="9">
        <v>116</v>
      </c>
      <c r="X44" s="9">
        <v>116</v>
      </c>
      <c r="Y44" s="9">
        <v>145</v>
      </c>
      <c r="Z44" s="9">
        <v>116</v>
      </c>
      <c r="AA44" s="9">
        <v>116</v>
      </c>
      <c r="AB44" s="9">
        <v>145</v>
      </c>
      <c r="AC44" s="9">
        <v>116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1077.3499999999999</v>
      </c>
      <c r="AK44" s="6">
        <v>861.88</v>
      </c>
      <c r="AL44" s="6">
        <v>1077.3499999999999</v>
      </c>
      <c r="AM44" s="6">
        <v>861.88</v>
      </c>
      <c r="AN44" s="6">
        <v>861.88</v>
      </c>
      <c r="AO44" s="6">
        <v>1077.3499999999999</v>
      </c>
      <c r="AP44" s="6">
        <v>861.88</v>
      </c>
      <c r="AQ44" s="6">
        <v>861.88</v>
      </c>
      <c r="AR44" s="6">
        <v>1077.3499999999999</v>
      </c>
      <c r="AS44" s="6">
        <v>861.88</v>
      </c>
      <c r="AT44" s="6">
        <v>861.88</v>
      </c>
      <c r="AU44" s="6">
        <v>1077.3499999999999</v>
      </c>
      <c r="AV44" s="6">
        <v>861.88</v>
      </c>
      <c r="AW44" s="93" t="str">
        <f>IF('PFM NON-SELL (Draft Layers)'!AW245="X","X"," ")</f>
        <v>X</v>
      </c>
      <c r="AX44" s="76" t="str">
        <f>IF('PFM NON-SELL (Draft Layers)'!AX245="X","X"," ")</f>
        <v xml:space="preserve"> </v>
      </c>
      <c r="AY44" s="76" t="str">
        <f>IF('PFM NON-SELL (Draft Layers)'!AY245="X","X"," ")</f>
        <v xml:space="preserve"> </v>
      </c>
      <c r="AZ44" s="76" t="str">
        <f>IF('PFM NON-SELL (Draft Layers)'!AZ245="X","X"," ")</f>
        <v xml:space="preserve"> </v>
      </c>
      <c r="BA44" s="76" t="str">
        <f>IF('PFM NON-SELL (Draft Layers)'!BA245="X","X"," ")</f>
        <v>X</v>
      </c>
      <c r="BB44" s="76" t="str">
        <f>IF('PFM NON-SELL (Draft Layers)'!BB245="X","X"," ")</f>
        <v xml:space="preserve"> </v>
      </c>
      <c r="BC44" s="76" t="str">
        <f>IF('PFM NON-SELL (Draft Layers)'!BC245="X","X"," ")</f>
        <v xml:space="preserve"> </v>
      </c>
      <c r="BD44" s="76" t="str">
        <f>IF('PFM NON-SELL (Draft Layers)'!BD245="X","X"," ")</f>
        <v xml:space="preserve"> </v>
      </c>
      <c r="BE44" s="76" t="str">
        <f>IF('PFM NON-SELL (Draft Layers)'!BE245="X","X"," ")</f>
        <v xml:space="preserve"> </v>
      </c>
      <c r="BF44" s="76" t="str">
        <f>IF('PFM NON-SELL (Draft Layers)'!BF245="X","X"," ")</f>
        <v xml:space="preserve"> </v>
      </c>
      <c r="BG44" s="76"/>
      <c r="BH44" s="76"/>
      <c r="BI44" s="76" t="str">
        <f>IF('PFM NON-SELL (Draft Layers)'!BG245="X","X"," ")</f>
        <v xml:space="preserve"> </v>
      </c>
      <c r="BJ44" s="76" t="str">
        <f>IF('PFM NON-SELL (Draft Layers)'!BJ245="X","X"," ")</f>
        <v xml:space="preserve"> </v>
      </c>
      <c r="BK44" s="76" t="str">
        <f>IF('PFM NON-SELL (Draft Layers)'!BK245="X","X"," ")</f>
        <v xml:space="preserve"> </v>
      </c>
      <c r="BL44" s="76" t="str">
        <f>IF('PFM NON-SELL (Draft Layers)'!BM245="X","X"," ")</f>
        <v xml:space="preserve"> </v>
      </c>
      <c r="BM44" s="76" t="str">
        <f>IF('PFM NON-SELL (Draft Layers)'!BN245="X","X"," ")</f>
        <v xml:space="preserve"> </v>
      </c>
      <c r="BN44" s="76" t="str">
        <f>IF('PFM NON-SELL (Draft Layers)'!BO245="X","X"," ")</f>
        <v>X</v>
      </c>
      <c r="BO44" s="76" t="str">
        <f>IF('PFM NON-SELL (Draft Layers)'!BP245="X","X"," ")</f>
        <v>X</v>
      </c>
      <c r="BP44" s="76" t="str">
        <f>IF('PFM NON-SELL (Draft Layers)'!BQ245="X","X"," ")</f>
        <v xml:space="preserve"> </v>
      </c>
      <c r="BQ44" s="76" t="str">
        <f>IF('PFM NON-SELL (Draft Layers)'!BR245="X","X"," ")</f>
        <v xml:space="preserve"> </v>
      </c>
      <c r="BR44" s="76"/>
      <c r="BS44" s="76"/>
      <c r="BT44" s="76"/>
      <c r="BU44" s="76"/>
      <c r="BV44" s="76" t="str">
        <f>IF('PFM NON-SELL (Draft Layers)'!BW245="X","X"," ")</f>
        <v xml:space="preserve"> </v>
      </c>
      <c r="BW44" s="76"/>
      <c r="BX44" s="76" t="str">
        <f>IF('PFM NON-SELL (Draft Layers)'!BZ245="X","X"," ")</f>
        <v xml:space="preserve"> </v>
      </c>
      <c r="BY44" s="76" t="str">
        <f>IF('PFM NON-SELL (Draft Layers)'!CA245="X","X"," ")</f>
        <v xml:space="preserve"> </v>
      </c>
      <c r="BZ44" s="76" t="str">
        <f>IF('PFM NON-SELL (Draft Layers)'!CB245="X","X"," ")</f>
        <v xml:space="preserve"> </v>
      </c>
      <c r="CA44" s="76" t="str">
        <f>IF('PFM NON-SELL (Draft Layers)'!CC245="X","X"," ")</f>
        <v xml:space="preserve"> </v>
      </c>
      <c r="CB44" s="76" t="str">
        <f>IF('PFM NON-SELL (Draft Layers)'!CD245="X","X"," ")</f>
        <v xml:space="preserve"> </v>
      </c>
      <c r="CC44" s="76" t="str">
        <f>IF('PFM NON-SELL (Draft Layers)'!CE245="X","X"," ")</f>
        <v xml:space="preserve"> </v>
      </c>
      <c r="CD44" s="76" t="str">
        <f>IF('PFM NON-SELL (Draft Layers)'!CF245="X","X"," ")</f>
        <v xml:space="preserve"> </v>
      </c>
      <c r="CE44" s="76" t="str">
        <f>IF('PFM NON-SELL (Draft Layers)'!CG245="X","X"," ")</f>
        <v xml:space="preserve"> </v>
      </c>
      <c r="CF44" s="76" t="str">
        <f>IF('PFM NON-SELL (Draft Layers)'!CH245="X","X"," ")</f>
        <v xml:space="preserve"> </v>
      </c>
      <c r="CG44" s="76" t="str">
        <f>IF('PFM NON-SELL (Draft Layers)'!CI245="X","X"," ")</f>
        <v xml:space="preserve"> </v>
      </c>
      <c r="CH44" s="76" t="str">
        <f>IF('PFM NON-SELL (Draft Layers)'!CJ245="X","X"," ")</f>
        <v xml:space="preserve"> </v>
      </c>
      <c r="CI44" s="76"/>
      <c r="CJ44" s="76"/>
      <c r="CK44" s="76"/>
      <c r="CL44" s="76"/>
      <c r="CM44" s="76" t="str">
        <f>IF('PFM NON-SELL (Draft Layers)'!CV245="X","X"," ")</f>
        <v xml:space="preserve"> </v>
      </c>
      <c r="CN44" s="76" t="str">
        <f>IF('PFM NON-SELL (Draft Layers)'!CW245="X","X"," ")</f>
        <v xml:space="preserve"> </v>
      </c>
      <c r="CO44" s="76" t="str">
        <f>IF('PFM NON-SELL (Draft Layers)'!CX245="X","X"," ")</f>
        <v xml:space="preserve"> </v>
      </c>
      <c r="CP44" s="76" t="str">
        <f>IF('PFM NON-SELL (Draft Layers)'!CY245="X","X"," ")</f>
        <v xml:space="preserve"> </v>
      </c>
      <c r="CQ44" s="76" t="str">
        <f>IF('PFM NON-SELL (Draft Layers)'!CZ245="X","X"," ")</f>
        <v xml:space="preserve"> </v>
      </c>
      <c r="CR44" s="76" t="str">
        <f>IF('PFM NON-SELL (Draft Layers)'!DA245="X","X"," ")</f>
        <v xml:space="preserve"> </v>
      </c>
      <c r="CS44" s="76" t="str">
        <f>IF('PFM NON-SELL (Draft Layers)'!DB245="X","X"," ")</f>
        <v xml:space="preserve"> </v>
      </c>
      <c r="CT44" s="76" t="str">
        <f>IF('PFM NON-SELL (Draft Layers)'!DC245="X","X"," ")</f>
        <v xml:space="preserve"> </v>
      </c>
      <c r="CU44" s="76" t="str">
        <f>IF('PFM NON-SELL (Draft Layers)'!DD245="X","X"," ")</f>
        <v xml:space="preserve"> </v>
      </c>
      <c r="CV44" s="76" t="str">
        <f>IF('PFM NON-SELL (Draft Layers)'!DE245="X","X"," ")</f>
        <v xml:space="preserve"> </v>
      </c>
      <c r="CW44" s="76" t="str">
        <f>IF('PFM NON-SELL (Draft Layers)'!DF245="X","X"," ")</f>
        <v xml:space="preserve"> </v>
      </c>
      <c r="CX44" s="76" t="str">
        <f>IF('PFM NON-SELL (Draft Layers)'!DG245="X","X"," ")</f>
        <v>X</v>
      </c>
      <c r="CY44" s="76" t="str">
        <f>IF('PFM NON-SELL (Draft Layers)'!DH245="X","X"," ")</f>
        <v>X</v>
      </c>
      <c r="CZ44" s="76" t="str">
        <f>IF('PFM NON-SELL (Draft Layers)'!DI245="X","X"," ")</f>
        <v xml:space="preserve"> </v>
      </c>
      <c r="DA44" s="76" t="str">
        <f>IF('PFM NON-SELL (Draft Layers)'!DJ245="X","X"," ")</f>
        <v xml:space="preserve"> </v>
      </c>
      <c r="DB44" s="76" t="str">
        <f>IF('PFM NON-SELL (Draft Layers)'!DK245="X","X"," ")</f>
        <v xml:space="preserve"> </v>
      </c>
      <c r="DC44" s="76" t="str">
        <f>IF('PFM NON-SELL (Draft Layers)'!DL245="X","X"," ")</f>
        <v xml:space="preserve"> </v>
      </c>
      <c r="DD44" s="76" t="str">
        <f>IF('PFM NON-SELL (Draft Layers)'!DM245="X","X"," ")</f>
        <v xml:space="preserve"> </v>
      </c>
      <c r="DE44" s="76" t="str">
        <f>IF('PFM NON-SELL (Draft Layers)'!DN245="X","X"," ")</f>
        <v xml:space="preserve"> </v>
      </c>
      <c r="DF44" s="76" t="str">
        <f>IF('PFM NON-SELL (Draft Layers)'!DO245="X","X"," ")</f>
        <v xml:space="preserve"> </v>
      </c>
      <c r="DG44" s="76" t="str">
        <f>IF('PFM NON-SELL (Draft Layers)'!DP245="X","X"," ")</f>
        <v xml:space="preserve"> </v>
      </c>
      <c r="DH44" s="76" t="str">
        <f>IF('PFM NON-SELL (Draft Layers)'!DQ245="X","X"," ")</f>
        <v xml:space="preserve"> </v>
      </c>
      <c r="DI44" s="76" t="str">
        <f>IF('PFM NON-SELL (Draft Layers)'!DR245="X","X"," ")</f>
        <v xml:space="preserve"> </v>
      </c>
      <c r="DJ44" s="76" t="str">
        <f>IF('PFM NON-SELL (Draft Layers)'!DS245="X","X"," ")</f>
        <v xml:space="preserve"> </v>
      </c>
      <c r="DK44" s="76" t="str">
        <f>IF('PFM NON-SELL (Draft Layers)'!DT245="X","X"," ")</f>
        <v xml:space="preserve"> </v>
      </c>
      <c r="DL44" s="76" t="str">
        <f>IF('PFM NON-SELL (Draft Layers)'!DU245="X","X"," ")</f>
        <v xml:space="preserve"> </v>
      </c>
      <c r="DM44" s="76"/>
      <c r="DN44" s="95"/>
      <c r="DO44" s="90">
        <f t="shared" si="6"/>
        <v>6</v>
      </c>
      <c r="DP44" s="21"/>
      <c r="DQ44" s="21"/>
    </row>
    <row r="45" spans="1:121" x14ac:dyDescent="0.3">
      <c r="A45" s="4" t="s">
        <v>126</v>
      </c>
      <c r="B45" s="4" t="s">
        <v>173</v>
      </c>
      <c r="C45" s="4" t="s">
        <v>192</v>
      </c>
      <c r="D45" s="4" t="s">
        <v>193</v>
      </c>
      <c r="E45" s="12">
        <v>4.6100000000000003</v>
      </c>
      <c r="F45" s="34">
        <f t="shared" si="7"/>
        <v>4679.1500000000005</v>
      </c>
      <c r="G45" s="28">
        <f t="shared" si="8"/>
        <v>1015</v>
      </c>
      <c r="H45" s="28">
        <f t="shared" si="9"/>
        <v>85</v>
      </c>
      <c r="I45" s="26">
        <f t="shared" si="10"/>
        <v>2941.1800000000003</v>
      </c>
      <c r="J45" s="24">
        <f t="shared" si="11"/>
        <v>638</v>
      </c>
      <c r="K45" s="31">
        <f t="shared" si="12"/>
        <v>128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145</v>
      </c>
      <c r="R45" s="9">
        <v>116</v>
      </c>
      <c r="S45" s="9">
        <v>145</v>
      </c>
      <c r="T45" s="9">
        <v>116</v>
      </c>
      <c r="U45" s="9">
        <v>116</v>
      </c>
      <c r="V45" s="9">
        <v>145</v>
      </c>
      <c r="W45" s="9">
        <v>116</v>
      </c>
      <c r="X45" s="9">
        <v>116</v>
      </c>
      <c r="Y45" s="9">
        <v>145</v>
      </c>
      <c r="Z45" s="9">
        <v>116</v>
      </c>
      <c r="AA45" s="9">
        <v>116</v>
      </c>
      <c r="AB45" s="9">
        <v>145</v>
      </c>
      <c r="AC45" s="9">
        <v>116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668.45</v>
      </c>
      <c r="AK45" s="6">
        <v>534.76</v>
      </c>
      <c r="AL45" s="6">
        <v>668.45</v>
      </c>
      <c r="AM45" s="6">
        <v>534.76</v>
      </c>
      <c r="AN45" s="6">
        <v>534.76</v>
      </c>
      <c r="AO45" s="6">
        <v>668.45</v>
      </c>
      <c r="AP45" s="6">
        <v>534.76</v>
      </c>
      <c r="AQ45" s="6">
        <v>534.76</v>
      </c>
      <c r="AR45" s="6">
        <v>668.45</v>
      </c>
      <c r="AS45" s="6">
        <v>534.76</v>
      </c>
      <c r="AT45" s="6">
        <v>534.76</v>
      </c>
      <c r="AU45" s="6">
        <v>668.45</v>
      </c>
      <c r="AV45" s="6">
        <v>534.76</v>
      </c>
      <c r="AW45" s="93" t="str">
        <f>IF('PFM NON-SELL (Draft Layers)'!AW246="X","X"," ")</f>
        <v xml:space="preserve"> </v>
      </c>
      <c r="AX45" s="76" t="str">
        <f>IF('PFM NON-SELL (Draft Layers)'!AX246="X","X"," ")</f>
        <v xml:space="preserve"> </v>
      </c>
      <c r="AY45" s="76" t="str">
        <f>IF('PFM NON-SELL (Draft Layers)'!AY246="X","X"," ")</f>
        <v>X</v>
      </c>
      <c r="AZ45" s="76" t="str">
        <f>IF('PFM NON-SELL (Draft Layers)'!AZ246="X","X"," ")</f>
        <v xml:space="preserve"> </v>
      </c>
      <c r="BA45" s="76" t="str">
        <f>IF('PFM NON-SELL (Draft Layers)'!BA246="X","X"," ")</f>
        <v xml:space="preserve"> </v>
      </c>
      <c r="BB45" s="76" t="str">
        <f>IF('PFM NON-SELL (Draft Layers)'!BB246="X","X"," ")</f>
        <v xml:space="preserve"> </v>
      </c>
      <c r="BC45" s="76" t="str">
        <f>IF('PFM NON-SELL (Draft Layers)'!BC246="X","X"," ")</f>
        <v xml:space="preserve"> </v>
      </c>
      <c r="BD45" s="76" t="str">
        <f>IF('PFM NON-SELL (Draft Layers)'!BD246="X","X"," ")</f>
        <v xml:space="preserve"> </v>
      </c>
      <c r="BE45" s="76" t="str">
        <f>IF('PFM NON-SELL (Draft Layers)'!BE246="X","X"," ")</f>
        <v xml:space="preserve"> </v>
      </c>
      <c r="BF45" s="76" t="str">
        <f>IF('PFM NON-SELL (Draft Layers)'!BF246="X","X"," ")</f>
        <v xml:space="preserve"> </v>
      </c>
      <c r="BG45" s="76"/>
      <c r="BH45" s="76"/>
      <c r="BI45" s="76" t="str">
        <f>IF('PFM NON-SELL (Draft Layers)'!BG246="X","X"," ")</f>
        <v xml:space="preserve"> </v>
      </c>
      <c r="BJ45" s="76" t="str">
        <f>IF('PFM NON-SELL (Draft Layers)'!BJ246="X","X"," ")</f>
        <v xml:space="preserve"> </v>
      </c>
      <c r="BK45" s="76" t="str">
        <f>IF('PFM NON-SELL (Draft Layers)'!BK246="X","X"," ")</f>
        <v xml:space="preserve"> </v>
      </c>
      <c r="BL45" s="76" t="str">
        <f>IF('PFM NON-SELL (Draft Layers)'!BM246="X","X"," ")</f>
        <v xml:space="preserve"> </v>
      </c>
      <c r="BM45" s="76" t="str">
        <f>IF('PFM NON-SELL (Draft Layers)'!BN246="X","X"," ")</f>
        <v xml:space="preserve"> </v>
      </c>
      <c r="BN45" s="76" t="str">
        <f>IF('PFM NON-SELL (Draft Layers)'!BO246="X","X"," ")</f>
        <v>X</v>
      </c>
      <c r="BO45" s="76" t="str">
        <f>IF('PFM NON-SELL (Draft Layers)'!BP246="X","X"," ")</f>
        <v>X</v>
      </c>
      <c r="BP45" s="76" t="str">
        <f>IF('PFM NON-SELL (Draft Layers)'!BQ246="X","X"," ")</f>
        <v xml:space="preserve"> </v>
      </c>
      <c r="BQ45" s="76" t="str">
        <f>IF('PFM NON-SELL (Draft Layers)'!BR246="X","X"," ")</f>
        <v xml:space="preserve"> </v>
      </c>
      <c r="BR45" s="76"/>
      <c r="BS45" s="76"/>
      <c r="BT45" s="76"/>
      <c r="BU45" s="76"/>
      <c r="BV45" s="76" t="str">
        <f>IF('PFM NON-SELL (Draft Layers)'!BW246="X","X"," ")</f>
        <v xml:space="preserve"> </v>
      </c>
      <c r="BW45" s="76"/>
      <c r="BX45" s="76" t="str">
        <f>IF('PFM NON-SELL (Draft Layers)'!BZ246="X","X"," ")</f>
        <v xml:space="preserve"> </v>
      </c>
      <c r="BY45" s="76" t="str">
        <f>IF('PFM NON-SELL (Draft Layers)'!CA246="X","X"," ")</f>
        <v xml:space="preserve"> </v>
      </c>
      <c r="BZ45" s="76" t="str">
        <f>IF('PFM NON-SELL (Draft Layers)'!CB246="X","X"," ")</f>
        <v xml:space="preserve"> </v>
      </c>
      <c r="CA45" s="76" t="str">
        <f>IF('PFM NON-SELL (Draft Layers)'!CC246="X","X"," ")</f>
        <v xml:space="preserve"> </v>
      </c>
      <c r="CB45" s="76" t="str">
        <f>IF('PFM NON-SELL (Draft Layers)'!CD246="X","X"," ")</f>
        <v xml:space="preserve"> </v>
      </c>
      <c r="CC45" s="76" t="str">
        <f>IF('PFM NON-SELL (Draft Layers)'!CE246="X","X"," ")</f>
        <v xml:space="preserve"> </v>
      </c>
      <c r="CD45" s="76" t="str">
        <f>IF('PFM NON-SELL (Draft Layers)'!CF246="X","X"," ")</f>
        <v xml:space="preserve"> </v>
      </c>
      <c r="CE45" s="76" t="str">
        <f>IF('PFM NON-SELL (Draft Layers)'!CG246="X","X"," ")</f>
        <v xml:space="preserve"> </v>
      </c>
      <c r="CF45" s="76" t="str">
        <f>IF('PFM NON-SELL (Draft Layers)'!CH246="X","X"," ")</f>
        <v xml:space="preserve"> </v>
      </c>
      <c r="CG45" s="76" t="str">
        <f>IF('PFM NON-SELL (Draft Layers)'!CI246="X","X"," ")</f>
        <v xml:space="preserve"> </v>
      </c>
      <c r="CH45" s="76" t="str">
        <f>IF('PFM NON-SELL (Draft Layers)'!CJ246="X","X"," ")</f>
        <v xml:space="preserve"> </v>
      </c>
      <c r="CI45" s="76"/>
      <c r="CJ45" s="76"/>
      <c r="CK45" s="76"/>
      <c r="CL45" s="76"/>
      <c r="CM45" s="76" t="str">
        <f>IF('PFM NON-SELL (Draft Layers)'!CV246="X","X"," ")</f>
        <v xml:space="preserve"> </v>
      </c>
      <c r="CN45" s="76" t="str">
        <f>IF('PFM NON-SELL (Draft Layers)'!CW246="X","X"," ")</f>
        <v xml:space="preserve"> </v>
      </c>
      <c r="CO45" s="76" t="str">
        <f>IF('PFM NON-SELL (Draft Layers)'!CX246="X","X"," ")</f>
        <v xml:space="preserve"> </v>
      </c>
      <c r="CP45" s="76" t="str">
        <f>IF('PFM NON-SELL (Draft Layers)'!CY246="X","X"," ")</f>
        <v xml:space="preserve"> </v>
      </c>
      <c r="CQ45" s="76" t="str">
        <f>IF('PFM NON-SELL (Draft Layers)'!CZ246="X","X"," ")</f>
        <v xml:space="preserve"> </v>
      </c>
      <c r="CR45" s="76" t="str">
        <f>IF('PFM NON-SELL (Draft Layers)'!DA246="X","X"," ")</f>
        <v xml:space="preserve"> </v>
      </c>
      <c r="CS45" s="76" t="str">
        <f>IF('PFM NON-SELL (Draft Layers)'!DB246="X","X"," ")</f>
        <v xml:space="preserve"> </v>
      </c>
      <c r="CT45" s="76" t="str">
        <f>IF('PFM NON-SELL (Draft Layers)'!DC246="X","X"," ")</f>
        <v xml:space="preserve"> </v>
      </c>
      <c r="CU45" s="76" t="str">
        <f>IF('PFM NON-SELL (Draft Layers)'!DD246="X","X"," ")</f>
        <v xml:space="preserve"> </v>
      </c>
      <c r="CV45" s="76" t="str">
        <f>IF('PFM NON-SELL (Draft Layers)'!DE246="X","X"," ")</f>
        <v xml:space="preserve"> </v>
      </c>
      <c r="CW45" s="76" t="str">
        <f>IF('PFM NON-SELL (Draft Layers)'!DF246="X","X"," ")</f>
        <v xml:space="preserve"> </v>
      </c>
      <c r="CX45" s="76" t="str">
        <f>IF('PFM NON-SELL (Draft Layers)'!DG246="X","X"," ")</f>
        <v>X</v>
      </c>
      <c r="CY45" s="76" t="str">
        <f>IF('PFM NON-SELL (Draft Layers)'!DH246="X","X"," ")</f>
        <v>X</v>
      </c>
      <c r="CZ45" s="76" t="str">
        <f>IF('PFM NON-SELL (Draft Layers)'!DI246="X","X"," ")</f>
        <v xml:space="preserve"> </v>
      </c>
      <c r="DA45" s="76" t="str">
        <f>IF('PFM NON-SELL (Draft Layers)'!DJ246="X","X"," ")</f>
        <v xml:space="preserve"> </v>
      </c>
      <c r="DB45" s="76" t="str">
        <f>IF('PFM NON-SELL (Draft Layers)'!DK246="X","X"," ")</f>
        <v xml:space="preserve"> </v>
      </c>
      <c r="DC45" s="76" t="str">
        <f>IF('PFM NON-SELL (Draft Layers)'!DL246="X","X"," ")</f>
        <v xml:space="preserve"> </v>
      </c>
      <c r="DD45" s="76" t="str">
        <f>IF('PFM NON-SELL (Draft Layers)'!DM246="X","X"," ")</f>
        <v xml:space="preserve"> </v>
      </c>
      <c r="DE45" s="76" t="str">
        <f>IF('PFM NON-SELL (Draft Layers)'!DN246="X","X"," ")</f>
        <v xml:space="preserve"> </v>
      </c>
      <c r="DF45" s="76" t="str">
        <f>IF('PFM NON-SELL (Draft Layers)'!DO246="X","X"," ")</f>
        <v xml:space="preserve"> </v>
      </c>
      <c r="DG45" s="76" t="str">
        <f>IF('PFM NON-SELL (Draft Layers)'!DP246="X","X"," ")</f>
        <v xml:space="preserve"> </v>
      </c>
      <c r="DH45" s="76" t="str">
        <f>IF('PFM NON-SELL (Draft Layers)'!DQ246="X","X"," ")</f>
        <v xml:space="preserve"> </v>
      </c>
      <c r="DI45" s="76" t="str">
        <f>IF('PFM NON-SELL (Draft Layers)'!DR246="X","X"," ")</f>
        <v xml:space="preserve"> </v>
      </c>
      <c r="DJ45" s="76" t="str">
        <f>IF('PFM NON-SELL (Draft Layers)'!DS246="X","X"," ")</f>
        <v xml:space="preserve"> </v>
      </c>
      <c r="DK45" s="76" t="str">
        <f>IF('PFM NON-SELL (Draft Layers)'!DT246="X","X"," ")</f>
        <v xml:space="preserve"> </v>
      </c>
      <c r="DL45" s="76" t="str">
        <f>IF('PFM NON-SELL (Draft Layers)'!DU246="X","X"," ")</f>
        <v xml:space="preserve"> </v>
      </c>
      <c r="DM45" s="76"/>
      <c r="DN45" s="95"/>
      <c r="DO45" s="90">
        <f t="shared" si="6"/>
        <v>5</v>
      </c>
      <c r="DP45" s="21"/>
      <c r="DQ45" s="21"/>
    </row>
    <row r="46" spans="1:121" x14ac:dyDescent="0.3">
      <c r="A46" s="4" t="s">
        <v>126</v>
      </c>
      <c r="B46" s="4" t="s">
        <v>173</v>
      </c>
      <c r="C46" s="4" t="s">
        <v>194</v>
      </c>
      <c r="D46" s="4" t="s">
        <v>195</v>
      </c>
      <c r="E46" s="12">
        <v>10.210000000000001</v>
      </c>
      <c r="F46" s="34">
        <f t="shared" si="7"/>
        <v>10363.150000000001</v>
      </c>
      <c r="G46" s="28">
        <f t="shared" si="8"/>
        <v>1015</v>
      </c>
      <c r="H46" s="28">
        <f t="shared" si="9"/>
        <v>85</v>
      </c>
      <c r="I46" s="26">
        <f t="shared" si="10"/>
        <v>6513.9800000000005</v>
      </c>
      <c r="J46" s="24">
        <f t="shared" si="11"/>
        <v>638</v>
      </c>
      <c r="K46" s="31">
        <f t="shared" si="12"/>
        <v>128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145</v>
      </c>
      <c r="R46" s="9">
        <v>116</v>
      </c>
      <c r="S46" s="9">
        <v>145</v>
      </c>
      <c r="T46" s="9">
        <v>116</v>
      </c>
      <c r="U46" s="9">
        <v>116</v>
      </c>
      <c r="V46" s="9">
        <v>145</v>
      </c>
      <c r="W46" s="9">
        <v>116</v>
      </c>
      <c r="X46" s="9">
        <v>116</v>
      </c>
      <c r="Y46" s="9">
        <v>145</v>
      </c>
      <c r="Z46" s="9">
        <v>116</v>
      </c>
      <c r="AA46" s="9">
        <v>116</v>
      </c>
      <c r="AB46" s="9">
        <v>145</v>
      </c>
      <c r="AC46" s="9">
        <v>116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1480.45</v>
      </c>
      <c r="AK46" s="6">
        <v>1184.3600000000001</v>
      </c>
      <c r="AL46" s="6">
        <v>1480.45</v>
      </c>
      <c r="AM46" s="6">
        <v>1184.3600000000001</v>
      </c>
      <c r="AN46" s="6">
        <v>1184.3600000000001</v>
      </c>
      <c r="AO46" s="6">
        <v>1480.45</v>
      </c>
      <c r="AP46" s="6">
        <v>1184.3600000000001</v>
      </c>
      <c r="AQ46" s="6">
        <v>1184.3600000000001</v>
      </c>
      <c r="AR46" s="6">
        <v>1480.45</v>
      </c>
      <c r="AS46" s="6">
        <v>1184.3600000000001</v>
      </c>
      <c r="AT46" s="6">
        <v>1184.3600000000001</v>
      </c>
      <c r="AU46" s="6">
        <v>1480.45</v>
      </c>
      <c r="AV46" s="6">
        <v>1184.3600000000001</v>
      </c>
      <c r="AW46" s="93" t="str">
        <f>IF('PFM NON-SELL (Draft Layers)'!AW247="X","X"," ")</f>
        <v>X</v>
      </c>
      <c r="AX46" s="76" t="str">
        <f>IF('PFM NON-SELL (Draft Layers)'!AX247="X","X"," ")</f>
        <v xml:space="preserve"> </v>
      </c>
      <c r="AY46" s="76" t="str">
        <f>IF('PFM NON-SELL (Draft Layers)'!AY247="X","X"," ")</f>
        <v xml:space="preserve"> </v>
      </c>
      <c r="AZ46" s="76" t="str">
        <f>IF('PFM NON-SELL (Draft Layers)'!AZ247="X","X"," ")</f>
        <v xml:space="preserve"> </v>
      </c>
      <c r="BA46" s="76" t="str">
        <f>IF('PFM NON-SELL (Draft Layers)'!BA247="X","X"," ")</f>
        <v xml:space="preserve"> </v>
      </c>
      <c r="BB46" s="76" t="str">
        <f>IF('PFM NON-SELL (Draft Layers)'!BB247="X","X"," ")</f>
        <v xml:space="preserve"> </v>
      </c>
      <c r="BC46" s="76" t="str">
        <f>IF('PFM NON-SELL (Draft Layers)'!BC247="X","X"," ")</f>
        <v xml:space="preserve"> </v>
      </c>
      <c r="BD46" s="76" t="str">
        <f>IF('PFM NON-SELL (Draft Layers)'!BD247="X","X"," ")</f>
        <v xml:space="preserve"> </v>
      </c>
      <c r="BE46" s="76" t="str">
        <f>IF('PFM NON-SELL (Draft Layers)'!BE247="X","X"," ")</f>
        <v xml:space="preserve"> </v>
      </c>
      <c r="BF46" s="76" t="str">
        <f>IF('PFM NON-SELL (Draft Layers)'!BF247="X","X"," ")</f>
        <v xml:space="preserve"> </v>
      </c>
      <c r="BG46" s="76"/>
      <c r="BH46" s="76"/>
      <c r="BI46" s="76" t="str">
        <f>IF('PFM NON-SELL (Draft Layers)'!BG247="X","X"," ")</f>
        <v xml:space="preserve"> </v>
      </c>
      <c r="BJ46" s="76" t="str">
        <f>IF('PFM NON-SELL (Draft Layers)'!BJ247="X","X"," ")</f>
        <v xml:space="preserve"> </v>
      </c>
      <c r="BK46" s="76" t="str">
        <f>IF('PFM NON-SELL (Draft Layers)'!BK247="X","X"," ")</f>
        <v xml:space="preserve"> </v>
      </c>
      <c r="BL46" s="76" t="str">
        <f>IF('PFM NON-SELL (Draft Layers)'!BM247="X","X"," ")</f>
        <v xml:space="preserve"> </v>
      </c>
      <c r="BM46" s="76" t="str">
        <f>IF('PFM NON-SELL (Draft Layers)'!BN247="X","X"," ")</f>
        <v xml:space="preserve"> </v>
      </c>
      <c r="BN46" s="76" t="str">
        <f>IF('PFM NON-SELL (Draft Layers)'!BO247="X","X"," ")</f>
        <v>X</v>
      </c>
      <c r="BO46" s="76" t="str">
        <f>IF('PFM NON-SELL (Draft Layers)'!BP247="X","X"," ")</f>
        <v>X</v>
      </c>
      <c r="BP46" s="76" t="str">
        <f>IF('PFM NON-SELL (Draft Layers)'!BQ247="X","X"," ")</f>
        <v xml:space="preserve"> </v>
      </c>
      <c r="BQ46" s="76" t="str">
        <f>IF('PFM NON-SELL (Draft Layers)'!BR247="X","X"," ")</f>
        <v xml:space="preserve"> </v>
      </c>
      <c r="BR46" s="76"/>
      <c r="BS46" s="76"/>
      <c r="BT46" s="76"/>
      <c r="BU46" s="76"/>
      <c r="BV46" s="76" t="str">
        <f>IF('PFM NON-SELL (Draft Layers)'!BW247="X","X"," ")</f>
        <v xml:space="preserve"> </v>
      </c>
      <c r="BW46" s="76"/>
      <c r="BX46" s="76" t="str">
        <f>IF('PFM NON-SELL (Draft Layers)'!BZ247="X","X"," ")</f>
        <v xml:space="preserve"> </v>
      </c>
      <c r="BY46" s="76" t="str">
        <f>IF('PFM NON-SELL (Draft Layers)'!CA247="X","X"," ")</f>
        <v xml:space="preserve"> </v>
      </c>
      <c r="BZ46" s="76" t="str">
        <f>IF('PFM NON-SELL (Draft Layers)'!CB247="X","X"," ")</f>
        <v xml:space="preserve"> </v>
      </c>
      <c r="CA46" s="76" t="str">
        <f>IF('PFM NON-SELL (Draft Layers)'!CC247="X","X"," ")</f>
        <v xml:space="preserve"> </v>
      </c>
      <c r="CB46" s="76" t="str">
        <f>IF('PFM NON-SELL (Draft Layers)'!CD247="X","X"," ")</f>
        <v xml:space="preserve"> </v>
      </c>
      <c r="CC46" s="76" t="str">
        <f>IF('PFM NON-SELL (Draft Layers)'!CE247="X","X"," ")</f>
        <v xml:space="preserve"> </v>
      </c>
      <c r="CD46" s="76" t="str">
        <f>IF('PFM NON-SELL (Draft Layers)'!CF247="X","X"," ")</f>
        <v xml:space="preserve"> </v>
      </c>
      <c r="CE46" s="76" t="str">
        <f>IF('PFM NON-SELL (Draft Layers)'!CG247="X","X"," ")</f>
        <v xml:space="preserve"> </v>
      </c>
      <c r="CF46" s="76" t="str">
        <f>IF('PFM NON-SELL (Draft Layers)'!CH247="X","X"," ")</f>
        <v xml:space="preserve"> </v>
      </c>
      <c r="CG46" s="76" t="str">
        <f>IF('PFM NON-SELL (Draft Layers)'!CI247="X","X"," ")</f>
        <v xml:space="preserve"> </v>
      </c>
      <c r="CH46" s="76" t="str">
        <f>IF('PFM NON-SELL (Draft Layers)'!CJ247="X","X"," ")</f>
        <v xml:space="preserve"> </v>
      </c>
      <c r="CI46" s="76"/>
      <c r="CJ46" s="76"/>
      <c r="CK46" s="76"/>
      <c r="CL46" s="76"/>
      <c r="CM46" s="76" t="str">
        <f>IF('PFM NON-SELL (Draft Layers)'!CV247="X","X"," ")</f>
        <v xml:space="preserve"> </v>
      </c>
      <c r="CN46" s="76" t="str">
        <f>IF('PFM NON-SELL (Draft Layers)'!CW247="X","X"," ")</f>
        <v xml:space="preserve"> </v>
      </c>
      <c r="CO46" s="76" t="str">
        <f>IF('PFM NON-SELL (Draft Layers)'!CX247="X","X"," ")</f>
        <v xml:space="preserve"> </v>
      </c>
      <c r="CP46" s="76" t="str">
        <f>IF('PFM NON-SELL (Draft Layers)'!CY247="X","X"," ")</f>
        <v xml:space="preserve"> </v>
      </c>
      <c r="CQ46" s="76" t="str">
        <f>IF('PFM NON-SELL (Draft Layers)'!CZ247="X","X"," ")</f>
        <v xml:space="preserve"> </v>
      </c>
      <c r="CR46" s="76" t="str">
        <f>IF('PFM NON-SELL (Draft Layers)'!DA247="X","X"," ")</f>
        <v xml:space="preserve"> </v>
      </c>
      <c r="CS46" s="76" t="str">
        <f>IF('PFM NON-SELL (Draft Layers)'!DB247="X","X"," ")</f>
        <v xml:space="preserve"> </v>
      </c>
      <c r="CT46" s="76" t="str">
        <f>IF('PFM NON-SELL (Draft Layers)'!DC247="X","X"," ")</f>
        <v xml:space="preserve"> </v>
      </c>
      <c r="CU46" s="76" t="str">
        <f>IF('PFM NON-SELL (Draft Layers)'!DD247="X","X"," ")</f>
        <v xml:space="preserve"> </v>
      </c>
      <c r="CV46" s="76" t="str">
        <f>IF('PFM NON-SELL (Draft Layers)'!DE247="X","X"," ")</f>
        <v xml:space="preserve"> </v>
      </c>
      <c r="CW46" s="76" t="str">
        <f>IF('PFM NON-SELL (Draft Layers)'!DF247="X","X"," ")</f>
        <v xml:space="preserve"> </v>
      </c>
      <c r="CX46" s="76" t="str">
        <f>IF('PFM NON-SELL (Draft Layers)'!DG247="X","X"," ")</f>
        <v xml:space="preserve"> </v>
      </c>
      <c r="CY46" s="76" t="str">
        <f>IF('PFM NON-SELL (Draft Layers)'!DH247="X","X"," ")</f>
        <v>X</v>
      </c>
      <c r="CZ46" s="76" t="str">
        <f>IF('PFM NON-SELL (Draft Layers)'!DI247="X","X"," ")</f>
        <v xml:space="preserve"> </v>
      </c>
      <c r="DA46" s="76" t="str">
        <f>IF('PFM NON-SELL (Draft Layers)'!DJ247="X","X"," ")</f>
        <v xml:space="preserve"> </v>
      </c>
      <c r="DB46" s="76" t="str">
        <f>IF('PFM NON-SELL (Draft Layers)'!DK247="X","X"," ")</f>
        <v xml:space="preserve"> </v>
      </c>
      <c r="DC46" s="76" t="str">
        <f>IF('PFM NON-SELL (Draft Layers)'!DL247="X","X"," ")</f>
        <v xml:space="preserve"> </v>
      </c>
      <c r="DD46" s="76" t="str">
        <f>IF('PFM NON-SELL (Draft Layers)'!DM247="X","X"," ")</f>
        <v xml:space="preserve"> </v>
      </c>
      <c r="DE46" s="76" t="str">
        <f>IF('PFM NON-SELL (Draft Layers)'!DN247="X","X"," ")</f>
        <v xml:space="preserve"> </v>
      </c>
      <c r="DF46" s="76" t="str">
        <f>IF('PFM NON-SELL (Draft Layers)'!DO247="X","X"," ")</f>
        <v xml:space="preserve"> </v>
      </c>
      <c r="DG46" s="76" t="str">
        <f>IF('PFM NON-SELL (Draft Layers)'!DP247="X","X"," ")</f>
        <v xml:space="preserve"> </v>
      </c>
      <c r="DH46" s="76" t="str">
        <f>IF('PFM NON-SELL (Draft Layers)'!DQ247="X","X"," ")</f>
        <v xml:space="preserve"> </v>
      </c>
      <c r="DI46" s="76" t="str">
        <f>IF('PFM NON-SELL (Draft Layers)'!DR247="X","X"," ")</f>
        <v xml:space="preserve"> </v>
      </c>
      <c r="DJ46" s="76" t="str">
        <f>IF('PFM NON-SELL (Draft Layers)'!DS247="X","X"," ")</f>
        <v xml:space="preserve"> </v>
      </c>
      <c r="DK46" s="76" t="str">
        <f>IF('PFM NON-SELL (Draft Layers)'!DT247="X","X"," ")</f>
        <v xml:space="preserve"> </v>
      </c>
      <c r="DL46" s="76" t="str">
        <f>IF('PFM NON-SELL (Draft Layers)'!DU247="X","X"," ")</f>
        <v xml:space="preserve"> </v>
      </c>
      <c r="DM46" s="76"/>
      <c r="DN46" s="95"/>
      <c r="DO46" s="90">
        <f t="shared" si="6"/>
        <v>4</v>
      </c>
      <c r="DP46" s="21"/>
      <c r="DQ46" s="21"/>
    </row>
    <row r="47" spans="1:121" x14ac:dyDescent="0.3">
      <c r="A47" s="4" t="s">
        <v>126</v>
      </c>
      <c r="B47" s="4" t="s">
        <v>173</v>
      </c>
      <c r="C47" s="4" t="s">
        <v>196</v>
      </c>
      <c r="D47" s="4" t="s">
        <v>197</v>
      </c>
      <c r="E47" s="12">
        <v>32.380000000000003</v>
      </c>
      <c r="F47" s="34">
        <f t="shared" si="7"/>
        <v>32865.700000000004</v>
      </c>
      <c r="G47" s="28">
        <f t="shared" si="8"/>
        <v>1015</v>
      </c>
      <c r="H47" s="28">
        <f t="shared" si="9"/>
        <v>85</v>
      </c>
      <c r="I47" s="26">
        <f t="shared" si="10"/>
        <v>20658.440000000002</v>
      </c>
      <c r="J47" s="24">
        <f t="shared" si="11"/>
        <v>638</v>
      </c>
      <c r="K47" s="31">
        <f t="shared" si="12"/>
        <v>128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145</v>
      </c>
      <c r="R47" s="9">
        <v>116</v>
      </c>
      <c r="S47" s="9">
        <v>145</v>
      </c>
      <c r="T47" s="9">
        <v>116</v>
      </c>
      <c r="U47" s="9">
        <v>116</v>
      </c>
      <c r="V47" s="9">
        <v>145</v>
      </c>
      <c r="W47" s="9">
        <v>116</v>
      </c>
      <c r="X47" s="9">
        <v>116</v>
      </c>
      <c r="Y47" s="9">
        <v>145</v>
      </c>
      <c r="Z47" s="9">
        <v>116</v>
      </c>
      <c r="AA47" s="9">
        <v>116</v>
      </c>
      <c r="AB47" s="9">
        <v>145</v>
      </c>
      <c r="AC47" s="9">
        <v>116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4580.55</v>
      </c>
      <c r="AK47" s="6">
        <v>3664.44</v>
      </c>
      <c r="AL47" s="6">
        <v>4580.55</v>
      </c>
      <c r="AM47" s="6">
        <v>3664.44</v>
      </c>
      <c r="AN47" s="6">
        <v>3664.44</v>
      </c>
      <c r="AO47" s="6">
        <v>4580.55</v>
      </c>
      <c r="AP47" s="6">
        <v>3664.44</v>
      </c>
      <c r="AQ47" s="6">
        <v>3664.44</v>
      </c>
      <c r="AR47" s="6">
        <v>4580.55</v>
      </c>
      <c r="AS47" s="6">
        <v>3664.44</v>
      </c>
      <c r="AT47" s="6">
        <v>3664.44</v>
      </c>
      <c r="AU47" s="6">
        <v>4580.55</v>
      </c>
      <c r="AV47" s="6">
        <v>3664.44</v>
      </c>
      <c r="AW47" s="93" t="str">
        <f>IF('PFM NON-SELL (Draft Layers)'!AW248="X","X"," ")</f>
        <v xml:space="preserve"> </v>
      </c>
      <c r="AX47" s="76" t="str">
        <f>IF('PFM NON-SELL (Draft Layers)'!AX248="X","X"," ")</f>
        <v xml:space="preserve"> </v>
      </c>
      <c r="AY47" s="76" t="str">
        <f>IF('PFM NON-SELL (Draft Layers)'!AY248="X","X"," ")</f>
        <v xml:space="preserve"> </v>
      </c>
      <c r="AZ47" s="76" t="str">
        <f>IF('PFM NON-SELL (Draft Layers)'!AZ248="X","X"," ")</f>
        <v xml:space="preserve"> </v>
      </c>
      <c r="BA47" s="76" t="str">
        <f>IF('PFM NON-SELL (Draft Layers)'!BA248="X","X"," ")</f>
        <v>X</v>
      </c>
      <c r="BB47" s="76" t="str">
        <f>IF('PFM NON-SELL (Draft Layers)'!BB248="X","X"," ")</f>
        <v xml:space="preserve"> </v>
      </c>
      <c r="BC47" s="76" t="str">
        <f>IF('PFM NON-SELL (Draft Layers)'!BC248="X","X"," ")</f>
        <v xml:space="preserve"> </v>
      </c>
      <c r="BD47" s="76" t="str">
        <f>IF('PFM NON-SELL (Draft Layers)'!BD248="X","X"," ")</f>
        <v xml:space="preserve"> </v>
      </c>
      <c r="BE47" s="76" t="str">
        <f>IF('PFM NON-SELL (Draft Layers)'!BE248="X","X"," ")</f>
        <v xml:space="preserve"> </v>
      </c>
      <c r="BF47" s="76" t="str">
        <f>IF('PFM NON-SELL (Draft Layers)'!BF248="X","X"," ")</f>
        <v xml:space="preserve"> </v>
      </c>
      <c r="BG47" s="76"/>
      <c r="BH47" s="76"/>
      <c r="BI47" s="76" t="str">
        <f>IF('PFM NON-SELL (Draft Layers)'!BG248="X","X"," ")</f>
        <v xml:space="preserve"> </v>
      </c>
      <c r="BJ47" s="76" t="str">
        <f>IF('PFM NON-SELL (Draft Layers)'!BJ248="X","X"," ")</f>
        <v xml:space="preserve"> </v>
      </c>
      <c r="BK47" s="76" t="str">
        <f>IF('PFM NON-SELL (Draft Layers)'!BK248="X","X"," ")</f>
        <v xml:space="preserve"> </v>
      </c>
      <c r="BL47" s="76" t="str">
        <f>IF('PFM NON-SELL (Draft Layers)'!BM248="X","X"," ")</f>
        <v xml:space="preserve"> </v>
      </c>
      <c r="BM47" s="76" t="str">
        <f>IF('PFM NON-SELL (Draft Layers)'!BN248="X","X"," ")</f>
        <v xml:space="preserve"> </v>
      </c>
      <c r="BN47" s="76" t="str">
        <f>IF('PFM NON-SELL (Draft Layers)'!BO248="X","X"," ")</f>
        <v>X</v>
      </c>
      <c r="BO47" s="76" t="str">
        <f>IF('PFM NON-SELL (Draft Layers)'!BP248="X","X"," ")</f>
        <v>X</v>
      </c>
      <c r="BP47" s="76" t="str">
        <f>IF('PFM NON-SELL (Draft Layers)'!BQ248="X","X"," ")</f>
        <v xml:space="preserve"> </v>
      </c>
      <c r="BQ47" s="76" t="str">
        <f>IF('PFM NON-SELL (Draft Layers)'!BR248="X","X"," ")</f>
        <v xml:space="preserve"> </v>
      </c>
      <c r="BR47" s="76"/>
      <c r="BS47" s="76"/>
      <c r="BT47" s="76"/>
      <c r="BU47" s="76"/>
      <c r="BV47" s="76" t="str">
        <f>IF('PFM NON-SELL (Draft Layers)'!BW248="X","X"," ")</f>
        <v xml:space="preserve"> </v>
      </c>
      <c r="BW47" s="76"/>
      <c r="BX47" s="76" t="str">
        <f>IF('PFM NON-SELL (Draft Layers)'!BZ248="X","X"," ")</f>
        <v xml:space="preserve"> </v>
      </c>
      <c r="BY47" s="76" t="str">
        <f>IF('PFM NON-SELL (Draft Layers)'!CA248="X","X"," ")</f>
        <v xml:space="preserve"> </v>
      </c>
      <c r="BZ47" s="76" t="str">
        <f>IF('PFM NON-SELL (Draft Layers)'!CB248="X","X"," ")</f>
        <v xml:space="preserve"> </v>
      </c>
      <c r="CA47" s="76" t="str">
        <f>IF('PFM NON-SELL (Draft Layers)'!CC248="X","X"," ")</f>
        <v xml:space="preserve"> </v>
      </c>
      <c r="CB47" s="76" t="str">
        <f>IF('PFM NON-SELL (Draft Layers)'!CD248="X","X"," ")</f>
        <v xml:space="preserve"> </v>
      </c>
      <c r="CC47" s="76" t="str">
        <f>IF('PFM NON-SELL (Draft Layers)'!CE248="X","X"," ")</f>
        <v xml:space="preserve"> </v>
      </c>
      <c r="CD47" s="76" t="str">
        <f>IF('PFM NON-SELL (Draft Layers)'!CF248="X","X"," ")</f>
        <v xml:space="preserve"> </v>
      </c>
      <c r="CE47" s="76" t="str">
        <f>IF('PFM NON-SELL (Draft Layers)'!CG248="X","X"," ")</f>
        <v xml:space="preserve"> </v>
      </c>
      <c r="CF47" s="76" t="str">
        <f>IF('PFM NON-SELL (Draft Layers)'!CH248="X","X"," ")</f>
        <v>X</v>
      </c>
      <c r="CG47" s="76" t="str">
        <f>IF('PFM NON-SELL (Draft Layers)'!CI248="X","X"," ")</f>
        <v>X</v>
      </c>
      <c r="CH47" s="76" t="str">
        <f>IF('PFM NON-SELL (Draft Layers)'!CJ248="X","X"," ")</f>
        <v xml:space="preserve"> </v>
      </c>
      <c r="CI47" s="76"/>
      <c r="CJ47" s="76"/>
      <c r="CK47" s="76"/>
      <c r="CL47" s="76"/>
      <c r="CM47" s="76" t="str">
        <f>IF('PFM NON-SELL (Draft Layers)'!CV248="X","X"," ")</f>
        <v xml:space="preserve"> </v>
      </c>
      <c r="CN47" s="76" t="str">
        <f>IF('PFM NON-SELL (Draft Layers)'!CW248="X","X"," ")</f>
        <v>X</v>
      </c>
      <c r="CO47" s="76" t="str">
        <f>IF('PFM NON-SELL (Draft Layers)'!CX248="X","X"," ")</f>
        <v xml:space="preserve"> </v>
      </c>
      <c r="CP47" s="76" t="str">
        <f>IF('PFM NON-SELL (Draft Layers)'!CY248="X","X"," ")</f>
        <v xml:space="preserve"> </v>
      </c>
      <c r="CQ47" s="76" t="str">
        <f>IF('PFM NON-SELL (Draft Layers)'!CZ248="X","X"," ")</f>
        <v xml:space="preserve"> </v>
      </c>
      <c r="CR47" s="76" t="str">
        <f>IF('PFM NON-SELL (Draft Layers)'!DA248="X","X"," ")</f>
        <v xml:space="preserve"> </v>
      </c>
      <c r="CS47" s="76" t="str">
        <f>IF('PFM NON-SELL (Draft Layers)'!DB248="X","X"," ")</f>
        <v xml:space="preserve"> </v>
      </c>
      <c r="CT47" s="76" t="str">
        <f>IF('PFM NON-SELL (Draft Layers)'!DC248="X","X"," ")</f>
        <v xml:space="preserve"> </v>
      </c>
      <c r="CU47" s="76" t="str">
        <f>IF('PFM NON-SELL (Draft Layers)'!DD248="X","X"," ")</f>
        <v xml:space="preserve"> </v>
      </c>
      <c r="CV47" s="76" t="str">
        <f>IF('PFM NON-SELL (Draft Layers)'!DE248="X","X"," ")</f>
        <v xml:space="preserve"> </v>
      </c>
      <c r="CW47" s="76" t="str">
        <f>IF('PFM NON-SELL (Draft Layers)'!DF248="X","X"," ")</f>
        <v xml:space="preserve"> </v>
      </c>
      <c r="CX47" s="76" t="str">
        <f>IF('PFM NON-SELL (Draft Layers)'!DG248="X","X"," ")</f>
        <v>X</v>
      </c>
      <c r="CY47" s="76" t="str">
        <f>IF('PFM NON-SELL (Draft Layers)'!DH248="X","X"," ")</f>
        <v>X</v>
      </c>
      <c r="CZ47" s="76" t="str">
        <f>IF('PFM NON-SELL (Draft Layers)'!DI248="X","X"," ")</f>
        <v xml:space="preserve"> </v>
      </c>
      <c r="DA47" s="76" t="str">
        <f>IF('PFM NON-SELL (Draft Layers)'!DJ248="X","X"," ")</f>
        <v xml:space="preserve"> </v>
      </c>
      <c r="DB47" s="76" t="str">
        <f>IF('PFM NON-SELL (Draft Layers)'!DK248="X","X"," ")</f>
        <v xml:space="preserve"> </v>
      </c>
      <c r="DC47" s="76" t="str">
        <f>IF('PFM NON-SELL (Draft Layers)'!DL248="X","X"," ")</f>
        <v xml:space="preserve"> </v>
      </c>
      <c r="DD47" s="76" t="str">
        <f>IF('PFM NON-SELL (Draft Layers)'!DM248="X","X"," ")</f>
        <v xml:space="preserve"> </v>
      </c>
      <c r="DE47" s="76" t="str">
        <f>IF('PFM NON-SELL (Draft Layers)'!DN248="X","X"," ")</f>
        <v xml:space="preserve"> </v>
      </c>
      <c r="DF47" s="76" t="str">
        <f>IF('PFM NON-SELL (Draft Layers)'!DO248="X","X"," ")</f>
        <v xml:space="preserve"> </v>
      </c>
      <c r="DG47" s="76" t="str">
        <f>IF('PFM NON-SELL (Draft Layers)'!DP248="X","X"," ")</f>
        <v xml:space="preserve"> </v>
      </c>
      <c r="DH47" s="76" t="str">
        <f>IF('PFM NON-SELL (Draft Layers)'!DQ248="X","X"," ")</f>
        <v xml:space="preserve"> </v>
      </c>
      <c r="DI47" s="76" t="str">
        <f>IF('PFM NON-SELL (Draft Layers)'!DR248="X","X"," ")</f>
        <v xml:space="preserve"> </v>
      </c>
      <c r="DJ47" s="76" t="str">
        <f>IF('PFM NON-SELL (Draft Layers)'!DS248="X","X"," ")</f>
        <v xml:space="preserve"> </v>
      </c>
      <c r="DK47" s="76" t="str">
        <f>IF('PFM NON-SELL (Draft Layers)'!DT248="X","X"," ")</f>
        <v xml:space="preserve"> </v>
      </c>
      <c r="DL47" s="76" t="str">
        <f>IF('PFM NON-SELL (Draft Layers)'!DU248="X","X"," ")</f>
        <v xml:space="preserve"> </v>
      </c>
      <c r="DM47" s="76"/>
      <c r="DN47" s="95"/>
      <c r="DO47" s="90">
        <f t="shared" si="6"/>
        <v>8</v>
      </c>
      <c r="DP47" s="21"/>
      <c r="DQ47" s="21"/>
    </row>
    <row r="48" spans="1:121" x14ac:dyDescent="0.3">
      <c r="A48" s="4" t="s">
        <v>126</v>
      </c>
      <c r="B48" s="4" t="s">
        <v>173</v>
      </c>
      <c r="C48" s="4" t="s">
        <v>198</v>
      </c>
      <c r="D48" s="4" t="s">
        <v>199</v>
      </c>
      <c r="E48" s="12">
        <v>47.95</v>
      </c>
      <c r="F48" s="34">
        <f t="shared" si="7"/>
        <v>74562.25</v>
      </c>
      <c r="G48" s="28">
        <f t="shared" si="8"/>
        <v>1555</v>
      </c>
      <c r="H48" s="28">
        <f t="shared" si="9"/>
        <v>130</v>
      </c>
      <c r="I48" s="26">
        <f t="shared" si="10"/>
        <v>24262.7</v>
      </c>
      <c r="J48" s="24">
        <f t="shared" si="11"/>
        <v>506</v>
      </c>
      <c r="K48" s="31">
        <f t="shared" si="12"/>
        <v>102</v>
      </c>
      <c r="L48" s="9">
        <v>250</v>
      </c>
      <c r="M48" s="9">
        <v>500</v>
      </c>
      <c r="N48" s="9">
        <v>250</v>
      </c>
      <c r="O48" s="9">
        <v>0</v>
      </c>
      <c r="P48" s="9">
        <v>0</v>
      </c>
      <c r="Q48" s="9">
        <v>115</v>
      </c>
      <c r="R48" s="9">
        <v>92</v>
      </c>
      <c r="S48" s="9">
        <v>115</v>
      </c>
      <c r="T48" s="9">
        <v>92</v>
      </c>
      <c r="U48" s="9">
        <v>92</v>
      </c>
      <c r="V48" s="9">
        <v>115</v>
      </c>
      <c r="W48" s="9">
        <v>92</v>
      </c>
      <c r="X48" s="9">
        <v>92</v>
      </c>
      <c r="Y48" s="9">
        <v>115</v>
      </c>
      <c r="Z48" s="9">
        <v>92</v>
      </c>
      <c r="AA48" s="9">
        <v>92</v>
      </c>
      <c r="AB48" s="9">
        <v>115</v>
      </c>
      <c r="AC48" s="9">
        <v>92</v>
      </c>
      <c r="AE48" s="6">
        <v>12627.5</v>
      </c>
      <c r="AF48" s="6">
        <v>25255</v>
      </c>
      <c r="AG48" s="6">
        <v>12627.5</v>
      </c>
      <c r="AH48" s="6">
        <v>0</v>
      </c>
      <c r="AI48" s="6">
        <v>0</v>
      </c>
      <c r="AJ48" s="6">
        <v>5514.25</v>
      </c>
      <c r="AK48" s="6">
        <v>4411.4000000000005</v>
      </c>
      <c r="AL48" s="6">
        <v>5514.25</v>
      </c>
      <c r="AM48" s="6">
        <v>4411.4000000000005</v>
      </c>
      <c r="AN48" s="6">
        <v>4411.4000000000005</v>
      </c>
      <c r="AO48" s="6">
        <v>5514.25</v>
      </c>
      <c r="AP48" s="6">
        <v>4411.4000000000005</v>
      </c>
      <c r="AQ48" s="6">
        <v>4411.4000000000005</v>
      </c>
      <c r="AR48" s="6">
        <v>5514.25</v>
      </c>
      <c r="AS48" s="6">
        <v>4411.4000000000005</v>
      </c>
      <c r="AT48" s="6">
        <v>4411.4000000000005</v>
      </c>
      <c r="AU48" s="6">
        <v>5514.25</v>
      </c>
      <c r="AV48" s="6">
        <v>4411.4000000000005</v>
      </c>
      <c r="AW48" s="93" t="str">
        <f>IF('PFM NON-SELL (Draft Layers)'!AW251="X","X"," ")</f>
        <v>X</v>
      </c>
      <c r="AX48" s="76" t="str">
        <f>IF('PFM NON-SELL (Draft Layers)'!AX251="X","X"," ")</f>
        <v xml:space="preserve"> </v>
      </c>
      <c r="AY48" s="76" t="str">
        <f>IF('PFM NON-SELL (Draft Layers)'!AY251="X","X"," ")</f>
        <v xml:space="preserve"> </v>
      </c>
      <c r="AZ48" s="76" t="str">
        <f>IF('PFM NON-SELL (Draft Layers)'!AZ251="X","X"," ")</f>
        <v xml:space="preserve"> </v>
      </c>
      <c r="BA48" s="76" t="str">
        <f>IF('PFM NON-SELL (Draft Layers)'!BA251="X","X"," ")</f>
        <v>X</v>
      </c>
      <c r="BB48" s="76" t="str">
        <f>IF('PFM NON-SELL (Draft Layers)'!BB251="X","X"," ")</f>
        <v xml:space="preserve"> </v>
      </c>
      <c r="BC48" s="76" t="str">
        <f>IF('PFM NON-SELL (Draft Layers)'!BC251="X","X"," ")</f>
        <v xml:space="preserve"> </v>
      </c>
      <c r="BD48" s="76" t="str">
        <f>IF('PFM NON-SELL (Draft Layers)'!BD251="X","X"," ")</f>
        <v xml:space="preserve"> </v>
      </c>
      <c r="BE48" s="76" t="str">
        <f>IF('PFM NON-SELL (Draft Layers)'!BE251="X","X"," ")</f>
        <v xml:space="preserve"> </v>
      </c>
      <c r="BF48" s="76" t="str">
        <f>IF('PFM NON-SELL (Draft Layers)'!BF251="X","X"," ")</f>
        <v xml:space="preserve"> </v>
      </c>
      <c r="BG48" s="76"/>
      <c r="BH48" s="76"/>
      <c r="BI48" s="76" t="str">
        <f>IF('PFM NON-SELL (Draft Layers)'!BG251="X","X"," ")</f>
        <v xml:space="preserve"> </v>
      </c>
      <c r="BJ48" s="76" t="str">
        <f>IF('PFM NON-SELL (Draft Layers)'!BJ251="X","X"," ")</f>
        <v xml:space="preserve"> </v>
      </c>
      <c r="BK48" s="76" t="str">
        <f>IF('PFM NON-SELL (Draft Layers)'!BK251="X","X"," ")</f>
        <v xml:space="preserve"> </v>
      </c>
      <c r="BL48" s="76" t="str">
        <f>IF('PFM NON-SELL (Draft Layers)'!BM251="X","X"," ")</f>
        <v xml:space="preserve"> </v>
      </c>
      <c r="BM48" s="76" t="str">
        <f>IF('PFM NON-SELL (Draft Layers)'!BN251="X","X"," ")</f>
        <v xml:space="preserve"> </v>
      </c>
      <c r="BN48" s="76" t="str">
        <f>IF('PFM NON-SELL (Draft Layers)'!BO251="X","X"," ")</f>
        <v>X</v>
      </c>
      <c r="BO48" s="76" t="str">
        <f>IF('PFM NON-SELL (Draft Layers)'!BP251="X","X"," ")</f>
        <v>X</v>
      </c>
      <c r="BP48" s="76" t="str">
        <f>IF('PFM NON-SELL (Draft Layers)'!BQ251="X","X"," ")</f>
        <v xml:space="preserve"> </v>
      </c>
      <c r="BQ48" s="76" t="str">
        <f>IF('PFM NON-SELL (Draft Layers)'!BR251="X","X"," ")</f>
        <v xml:space="preserve"> </v>
      </c>
      <c r="BR48" s="76"/>
      <c r="BS48" s="76"/>
      <c r="BT48" s="76"/>
      <c r="BU48" s="76"/>
      <c r="BV48" s="76" t="str">
        <f>IF('PFM NON-SELL (Draft Layers)'!BW251="X","X"," ")</f>
        <v xml:space="preserve"> </v>
      </c>
      <c r="BW48" s="76"/>
      <c r="BX48" s="76" t="str">
        <f>IF('PFM NON-SELL (Draft Layers)'!BZ251="X","X"," ")</f>
        <v xml:space="preserve"> </v>
      </c>
      <c r="BY48" s="76" t="str">
        <f>IF('PFM NON-SELL (Draft Layers)'!CA251="X","X"," ")</f>
        <v xml:space="preserve"> </v>
      </c>
      <c r="BZ48" s="76" t="str">
        <f>IF('PFM NON-SELL (Draft Layers)'!CB251="X","X"," ")</f>
        <v xml:space="preserve"> </v>
      </c>
      <c r="CA48" s="76" t="str">
        <f>IF('PFM NON-SELL (Draft Layers)'!CC251="X","X"," ")</f>
        <v xml:space="preserve"> </v>
      </c>
      <c r="CB48" s="76" t="str">
        <f>IF('PFM NON-SELL (Draft Layers)'!CD251="X","X"," ")</f>
        <v xml:space="preserve"> </v>
      </c>
      <c r="CC48" s="76" t="str">
        <f>IF('PFM NON-SELL (Draft Layers)'!CE251="X","X"," ")</f>
        <v xml:space="preserve"> </v>
      </c>
      <c r="CD48" s="76" t="str">
        <f>IF('PFM NON-SELL (Draft Layers)'!CF251="X","X"," ")</f>
        <v xml:space="preserve"> </v>
      </c>
      <c r="CE48" s="76" t="str">
        <f>IF('PFM NON-SELL (Draft Layers)'!CG251="X","X"," ")</f>
        <v xml:space="preserve"> </v>
      </c>
      <c r="CF48" s="76" t="str">
        <f>IF('PFM NON-SELL (Draft Layers)'!CH251="X","X"," ")</f>
        <v>X</v>
      </c>
      <c r="CG48" s="76" t="str">
        <f>IF('PFM NON-SELL (Draft Layers)'!CI251="X","X"," ")</f>
        <v>X</v>
      </c>
      <c r="CH48" s="76" t="str">
        <f>IF('PFM NON-SELL (Draft Layers)'!CJ251="X","X"," ")</f>
        <v xml:space="preserve"> </v>
      </c>
      <c r="CI48" s="76"/>
      <c r="CJ48" s="76"/>
      <c r="CK48" s="76"/>
      <c r="CL48" s="76"/>
      <c r="CM48" s="76" t="str">
        <f>IF('PFM NON-SELL (Draft Layers)'!CV251="X","X"," ")</f>
        <v xml:space="preserve"> </v>
      </c>
      <c r="CN48" s="76" t="str">
        <f>IF('PFM NON-SELL (Draft Layers)'!CW251="X","X"," ")</f>
        <v>X</v>
      </c>
      <c r="CO48" s="76" t="str">
        <f>IF('PFM NON-SELL (Draft Layers)'!CX251="X","X"," ")</f>
        <v xml:space="preserve"> </v>
      </c>
      <c r="CP48" s="76" t="str">
        <f>IF('PFM NON-SELL (Draft Layers)'!CY251="X","X"," ")</f>
        <v xml:space="preserve"> </v>
      </c>
      <c r="CQ48" s="76" t="str">
        <f>IF('PFM NON-SELL (Draft Layers)'!CZ251="X","X"," ")</f>
        <v xml:space="preserve"> </v>
      </c>
      <c r="CR48" s="76" t="str">
        <f>IF('PFM NON-SELL (Draft Layers)'!DA251="X","X"," ")</f>
        <v xml:space="preserve"> </v>
      </c>
      <c r="CS48" s="76" t="str">
        <f>IF('PFM NON-SELL (Draft Layers)'!DB251="X","X"," ")</f>
        <v xml:space="preserve"> </v>
      </c>
      <c r="CT48" s="76" t="str">
        <f>IF('PFM NON-SELL (Draft Layers)'!DC251="X","X"," ")</f>
        <v xml:space="preserve"> </v>
      </c>
      <c r="CU48" s="76" t="str">
        <f>IF('PFM NON-SELL (Draft Layers)'!DD251="X","X"," ")</f>
        <v xml:space="preserve"> </v>
      </c>
      <c r="CV48" s="76" t="str">
        <f>IF('PFM NON-SELL (Draft Layers)'!DE251="X","X"," ")</f>
        <v xml:space="preserve"> </v>
      </c>
      <c r="CW48" s="76" t="str">
        <f>IF('PFM NON-SELL (Draft Layers)'!DF251="X","X"," ")</f>
        <v xml:space="preserve"> </v>
      </c>
      <c r="CX48" s="76" t="str">
        <f>IF('PFM NON-SELL (Draft Layers)'!DG251="X","X"," ")</f>
        <v>X</v>
      </c>
      <c r="CY48" s="76" t="str">
        <f>IF('PFM NON-SELL (Draft Layers)'!DH251="X","X"," ")</f>
        <v>X</v>
      </c>
      <c r="CZ48" s="76" t="str">
        <f>IF('PFM NON-SELL (Draft Layers)'!DI251="X","X"," ")</f>
        <v xml:space="preserve"> </v>
      </c>
      <c r="DA48" s="76" t="str">
        <f>IF('PFM NON-SELL (Draft Layers)'!DJ251="X","X"," ")</f>
        <v xml:space="preserve"> </v>
      </c>
      <c r="DB48" s="76" t="str">
        <f>IF('PFM NON-SELL (Draft Layers)'!DK251="X","X"," ")</f>
        <v xml:space="preserve"> </v>
      </c>
      <c r="DC48" s="76" t="str">
        <f>IF('PFM NON-SELL (Draft Layers)'!DL251="X","X"," ")</f>
        <v xml:space="preserve"> </v>
      </c>
      <c r="DD48" s="76" t="str">
        <f>IF('PFM NON-SELL (Draft Layers)'!DM251="X","X"," ")</f>
        <v xml:space="preserve"> </v>
      </c>
      <c r="DE48" s="76" t="str">
        <f>IF('PFM NON-SELL (Draft Layers)'!DN251="X","X"," ")</f>
        <v xml:space="preserve"> </v>
      </c>
      <c r="DF48" s="76" t="str">
        <f>IF('PFM NON-SELL (Draft Layers)'!DO251="X","X"," ")</f>
        <v xml:space="preserve"> </v>
      </c>
      <c r="DG48" s="76" t="str">
        <f>IF('PFM NON-SELL (Draft Layers)'!DP251="X","X"," ")</f>
        <v xml:space="preserve"> </v>
      </c>
      <c r="DH48" s="76" t="str">
        <f>IF('PFM NON-SELL (Draft Layers)'!DQ251="X","X"," ")</f>
        <v xml:space="preserve"> </v>
      </c>
      <c r="DI48" s="76" t="str">
        <f>IF('PFM NON-SELL (Draft Layers)'!DR251="X","X"," ")</f>
        <v xml:space="preserve"> </v>
      </c>
      <c r="DJ48" s="76" t="str">
        <f>IF('PFM NON-SELL (Draft Layers)'!DS251="X","X"," ")</f>
        <v xml:space="preserve"> </v>
      </c>
      <c r="DK48" s="76" t="str">
        <f>IF('PFM NON-SELL (Draft Layers)'!DT251="X","X"," ")</f>
        <v xml:space="preserve"> </v>
      </c>
      <c r="DL48" s="76" t="str">
        <f>IF('PFM NON-SELL (Draft Layers)'!DU251="X","X"," ")</f>
        <v xml:space="preserve"> </v>
      </c>
      <c r="DM48" s="76"/>
      <c r="DN48" s="95"/>
      <c r="DO48" s="90">
        <f t="shared" si="6"/>
        <v>9</v>
      </c>
      <c r="DP48" s="21"/>
      <c r="DQ48" s="21"/>
    </row>
    <row r="49" spans="1:121" x14ac:dyDescent="0.3">
      <c r="A49" s="4" t="s">
        <v>126</v>
      </c>
      <c r="B49" s="4" t="s">
        <v>173</v>
      </c>
      <c r="C49" s="4" t="s">
        <v>200</v>
      </c>
      <c r="D49" s="4" t="s">
        <v>199</v>
      </c>
      <c r="E49" s="12">
        <v>47.73</v>
      </c>
      <c r="F49" s="34">
        <f t="shared" si="7"/>
        <v>40809.149999999994</v>
      </c>
      <c r="G49" s="28">
        <f t="shared" si="8"/>
        <v>855</v>
      </c>
      <c r="H49" s="28">
        <f t="shared" si="9"/>
        <v>72</v>
      </c>
      <c r="I49" s="26">
        <f t="shared" si="10"/>
        <v>24151.379999999997</v>
      </c>
      <c r="J49" s="24">
        <f t="shared" si="11"/>
        <v>506</v>
      </c>
      <c r="K49" s="31">
        <f t="shared" si="12"/>
        <v>102</v>
      </c>
      <c r="L49" s="9">
        <v>0</v>
      </c>
      <c r="M49" s="9">
        <v>0</v>
      </c>
      <c r="N49" s="9">
        <v>50</v>
      </c>
      <c r="O49" s="9">
        <v>0</v>
      </c>
      <c r="P49" s="9">
        <v>0</v>
      </c>
      <c r="Q49" s="9">
        <v>115</v>
      </c>
      <c r="R49" s="9">
        <v>92</v>
      </c>
      <c r="S49" s="9">
        <v>115</v>
      </c>
      <c r="T49" s="9">
        <v>92</v>
      </c>
      <c r="U49" s="9">
        <v>92</v>
      </c>
      <c r="V49" s="9">
        <v>115</v>
      </c>
      <c r="W49" s="9">
        <v>92</v>
      </c>
      <c r="X49" s="9">
        <v>92</v>
      </c>
      <c r="Y49" s="9">
        <v>115</v>
      </c>
      <c r="Z49" s="9">
        <v>92</v>
      </c>
      <c r="AA49" s="9">
        <v>92</v>
      </c>
      <c r="AB49" s="9">
        <v>115</v>
      </c>
      <c r="AC49" s="9">
        <v>92</v>
      </c>
      <c r="AE49" s="6">
        <v>0</v>
      </c>
      <c r="AF49" s="6">
        <v>0</v>
      </c>
      <c r="AG49" s="6">
        <v>3260</v>
      </c>
      <c r="AH49" s="6">
        <v>0</v>
      </c>
      <c r="AI49" s="6">
        <v>0</v>
      </c>
      <c r="AJ49" s="6">
        <v>5488.95</v>
      </c>
      <c r="AK49" s="6">
        <v>4391.16</v>
      </c>
      <c r="AL49" s="6">
        <v>5488.95</v>
      </c>
      <c r="AM49" s="6">
        <v>4391.16</v>
      </c>
      <c r="AN49" s="6">
        <v>4391.16</v>
      </c>
      <c r="AO49" s="6">
        <v>5488.95</v>
      </c>
      <c r="AP49" s="6">
        <v>4391.16</v>
      </c>
      <c r="AQ49" s="6">
        <v>4391.16</v>
      </c>
      <c r="AR49" s="6">
        <v>5488.95</v>
      </c>
      <c r="AS49" s="6">
        <v>4391.16</v>
      </c>
      <c r="AT49" s="6">
        <v>4391.16</v>
      </c>
      <c r="AU49" s="6">
        <v>5488.95</v>
      </c>
      <c r="AV49" s="6">
        <v>4391.16</v>
      </c>
      <c r="AW49" s="93" t="str">
        <f>IF('PFM NON-SELL (Draft Layers)'!AW252="X","X"," ")</f>
        <v xml:space="preserve"> </v>
      </c>
      <c r="AX49" s="76" t="str">
        <f>IF('PFM NON-SELL (Draft Layers)'!AX252="X","X"," ")</f>
        <v xml:space="preserve"> </v>
      </c>
      <c r="AY49" s="76" t="str">
        <f>IF('PFM NON-SELL (Draft Layers)'!AY252="X","X"," ")</f>
        <v xml:space="preserve"> </v>
      </c>
      <c r="AZ49" s="76" t="str">
        <f>IF('PFM NON-SELL (Draft Layers)'!AZ252="X","X"," ")</f>
        <v xml:space="preserve"> </v>
      </c>
      <c r="BA49" s="76" t="str">
        <f>IF('PFM NON-SELL (Draft Layers)'!BA252="X","X"," ")</f>
        <v>X</v>
      </c>
      <c r="BB49" s="76" t="str">
        <f>IF('PFM NON-SELL (Draft Layers)'!BB252="X","X"," ")</f>
        <v xml:space="preserve"> </v>
      </c>
      <c r="BC49" s="76" t="str">
        <f>IF('PFM NON-SELL (Draft Layers)'!BC252="X","X"," ")</f>
        <v xml:space="preserve"> </v>
      </c>
      <c r="BD49" s="76" t="str">
        <f>IF('PFM NON-SELL (Draft Layers)'!BD252="X","X"," ")</f>
        <v xml:space="preserve"> </v>
      </c>
      <c r="BE49" s="76" t="str">
        <f>IF('PFM NON-SELL (Draft Layers)'!BE252="X","X"," ")</f>
        <v xml:space="preserve"> </v>
      </c>
      <c r="BF49" s="76" t="str">
        <f>IF('PFM NON-SELL (Draft Layers)'!BF252="X","X"," ")</f>
        <v xml:space="preserve"> </v>
      </c>
      <c r="BG49" s="76"/>
      <c r="BH49" s="76"/>
      <c r="BI49" s="76" t="str">
        <f>IF('PFM NON-SELL (Draft Layers)'!BG252="X","X"," ")</f>
        <v xml:space="preserve"> </v>
      </c>
      <c r="BJ49" s="76" t="str">
        <f>IF('PFM NON-SELL (Draft Layers)'!BJ252="X","X"," ")</f>
        <v xml:space="preserve"> </v>
      </c>
      <c r="BK49" s="76" t="str">
        <f>IF('PFM NON-SELL (Draft Layers)'!BK252="X","X"," ")</f>
        <v xml:space="preserve"> </v>
      </c>
      <c r="BL49" s="76" t="str">
        <f>IF('PFM NON-SELL (Draft Layers)'!BM252="X","X"," ")</f>
        <v xml:space="preserve"> </v>
      </c>
      <c r="BM49" s="76" t="str">
        <f>IF('PFM NON-SELL (Draft Layers)'!BN252="X","X"," ")</f>
        <v xml:space="preserve"> </v>
      </c>
      <c r="BN49" s="76" t="str">
        <f>IF('PFM NON-SELL (Draft Layers)'!BO252="X","X"," ")</f>
        <v xml:space="preserve"> </v>
      </c>
      <c r="BO49" s="76" t="str">
        <f>IF('PFM NON-SELL (Draft Layers)'!BP252="X","X"," ")</f>
        <v xml:space="preserve"> </v>
      </c>
      <c r="BP49" s="76" t="str">
        <f>IF('PFM NON-SELL (Draft Layers)'!BQ252="X","X"," ")</f>
        <v xml:space="preserve"> </v>
      </c>
      <c r="BQ49" s="76" t="str">
        <f>IF('PFM NON-SELL (Draft Layers)'!BR252="X","X"," ")</f>
        <v xml:space="preserve"> </v>
      </c>
      <c r="BR49" s="76"/>
      <c r="BS49" s="76"/>
      <c r="BT49" s="76"/>
      <c r="BU49" s="76"/>
      <c r="BV49" s="76" t="str">
        <f>IF('PFM NON-SELL (Draft Layers)'!BW252="X","X"," ")</f>
        <v xml:space="preserve"> </v>
      </c>
      <c r="BW49" s="76"/>
      <c r="BX49" s="76" t="str">
        <f>IF('PFM NON-SELL (Draft Layers)'!BZ252="X","X"," ")</f>
        <v xml:space="preserve"> </v>
      </c>
      <c r="BY49" s="76" t="str">
        <f>IF('PFM NON-SELL (Draft Layers)'!CA252="X","X"," ")</f>
        <v xml:space="preserve"> </v>
      </c>
      <c r="BZ49" s="76" t="str">
        <f>IF('PFM NON-SELL (Draft Layers)'!CB252="X","X"," ")</f>
        <v xml:space="preserve"> </v>
      </c>
      <c r="CA49" s="76" t="str">
        <f>IF('PFM NON-SELL (Draft Layers)'!CC252="X","X"," ")</f>
        <v xml:space="preserve"> </v>
      </c>
      <c r="CB49" s="76" t="str">
        <f>IF('PFM NON-SELL (Draft Layers)'!CD252="X","X"," ")</f>
        <v xml:space="preserve"> </v>
      </c>
      <c r="CC49" s="76" t="str">
        <f>IF('PFM NON-SELL (Draft Layers)'!CE252="X","X"," ")</f>
        <v xml:space="preserve"> </v>
      </c>
      <c r="CD49" s="76" t="str">
        <f>IF('PFM NON-SELL (Draft Layers)'!CF252="X","X"," ")</f>
        <v xml:space="preserve"> </v>
      </c>
      <c r="CE49" s="76" t="str">
        <f>IF('PFM NON-SELL (Draft Layers)'!CG252="X","X"," ")</f>
        <v xml:space="preserve"> </v>
      </c>
      <c r="CF49" s="76" t="str">
        <f>IF('PFM NON-SELL (Draft Layers)'!CH252="X","X"," ")</f>
        <v>X</v>
      </c>
      <c r="CG49" s="76" t="str">
        <f>IF('PFM NON-SELL (Draft Layers)'!CI252="X","X"," ")</f>
        <v>X</v>
      </c>
      <c r="CH49" s="76" t="str">
        <f>IF('PFM NON-SELL (Draft Layers)'!CJ252="X","X"," ")</f>
        <v xml:space="preserve"> </v>
      </c>
      <c r="CI49" s="76"/>
      <c r="CJ49" s="76"/>
      <c r="CK49" s="76"/>
      <c r="CL49" s="76"/>
      <c r="CM49" s="76" t="str">
        <f>IF('PFM NON-SELL (Draft Layers)'!CV252="X","X"," ")</f>
        <v xml:space="preserve"> </v>
      </c>
      <c r="CN49" s="76" t="str">
        <f>IF('PFM NON-SELL (Draft Layers)'!CW252="X","X"," ")</f>
        <v>X</v>
      </c>
      <c r="CO49" s="76" t="str">
        <f>IF('PFM NON-SELL (Draft Layers)'!CX252="X","X"," ")</f>
        <v xml:space="preserve"> </v>
      </c>
      <c r="CP49" s="76" t="str">
        <f>IF('PFM NON-SELL (Draft Layers)'!CY252="X","X"," ")</f>
        <v xml:space="preserve"> </v>
      </c>
      <c r="CQ49" s="76" t="str">
        <f>IF('PFM NON-SELL (Draft Layers)'!CZ252="X","X"," ")</f>
        <v xml:space="preserve"> </v>
      </c>
      <c r="CR49" s="76" t="str">
        <f>IF('PFM NON-SELL (Draft Layers)'!DA252="X","X"," ")</f>
        <v xml:space="preserve"> </v>
      </c>
      <c r="CS49" s="76" t="str">
        <f>IF('PFM NON-SELL (Draft Layers)'!DB252="X","X"," ")</f>
        <v xml:space="preserve"> </v>
      </c>
      <c r="CT49" s="76" t="str">
        <f>IF('PFM NON-SELL (Draft Layers)'!DC252="X","X"," ")</f>
        <v xml:space="preserve"> </v>
      </c>
      <c r="CU49" s="76" t="str">
        <f>IF('PFM NON-SELL (Draft Layers)'!DD252="X","X"," ")</f>
        <v xml:space="preserve"> </v>
      </c>
      <c r="CV49" s="76" t="str">
        <f>IF('PFM NON-SELL (Draft Layers)'!DE252="X","X"," ")</f>
        <v xml:space="preserve"> </v>
      </c>
      <c r="CW49" s="76" t="str">
        <f>IF('PFM NON-SELL (Draft Layers)'!DF252="X","X"," ")</f>
        <v xml:space="preserve"> </v>
      </c>
      <c r="CX49" s="76" t="str">
        <f>IF('PFM NON-SELL (Draft Layers)'!DG252="X","X"," ")</f>
        <v>X</v>
      </c>
      <c r="CY49" s="76" t="str">
        <f>IF('PFM NON-SELL (Draft Layers)'!DH252="X","X"," ")</f>
        <v>X</v>
      </c>
      <c r="CZ49" s="76" t="str">
        <f>IF('PFM NON-SELL (Draft Layers)'!DI252="X","X"," ")</f>
        <v xml:space="preserve"> </v>
      </c>
      <c r="DA49" s="76" t="str">
        <f>IF('PFM NON-SELL (Draft Layers)'!DJ252="X","X"," ")</f>
        <v xml:space="preserve"> </v>
      </c>
      <c r="DB49" s="76" t="str">
        <f>IF('PFM NON-SELL (Draft Layers)'!DK252="X","X"," ")</f>
        <v xml:space="preserve"> </v>
      </c>
      <c r="DC49" s="76" t="str">
        <f>IF('PFM NON-SELL (Draft Layers)'!DL252="X","X"," ")</f>
        <v xml:space="preserve"> </v>
      </c>
      <c r="DD49" s="76" t="str">
        <f>IF('PFM NON-SELL (Draft Layers)'!DM252="X","X"," ")</f>
        <v xml:space="preserve"> </v>
      </c>
      <c r="DE49" s="76" t="str">
        <f>IF('PFM NON-SELL (Draft Layers)'!DN252="X","X"," ")</f>
        <v xml:space="preserve"> </v>
      </c>
      <c r="DF49" s="76" t="str">
        <f>IF('PFM NON-SELL (Draft Layers)'!DO252="X","X"," ")</f>
        <v xml:space="preserve"> </v>
      </c>
      <c r="DG49" s="76" t="str">
        <f>IF('PFM NON-SELL (Draft Layers)'!DP252="X","X"," ")</f>
        <v xml:space="preserve"> </v>
      </c>
      <c r="DH49" s="76" t="str">
        <f>IF('PFM NON-SELL (Draft Layers)'!DQ252="X","X"," ")</f>
        <v xml:space="preserve"> </v>
      </c>
      <c r="DI49" s="76" t="str">
        <f>IF('PFM NON-SELL (Draft Layers)'!DR252="X","X"," ")</f>
        <v xml:space="preserve"> </v>
      </c>
      <c r="DJ49" s="76" t="str">
        <f>IF('PFM NON-SELL (Draft Layers)'!DS252="X","X"," ")</f>
        <v xml:space="preserve"> </v>
      </c>
      <c r="DK49" s="76" t="str">
        <f>IF('PFM NON-SELL (Draft Layers)'!DT252="X","X"," ")</f>
        <v xml:space="preserve"> </v>
      </c>
      <c r="DL49" s="76" t="str">
        <f>IF('PFM NON-SELL (Draft Layers)'!DU252="X","X"," ")</f>
        <v xml:space="preserve"> </v>
      </c>
      <c r="DM49" s="76"/>
      <c r="DN49" s="95"/>
      <c r="DO49" s="90">
        <f t="shared" si="6"/>
        <v>6</v>
      </c>
      <c r="DP49" s="21"/>
      <c r="DQ49" s="21"/>
    </row>
    <row r="50" spans="1:121" x14ac:dyDescent="0.3">
      <c r="A50" s="4" t="s">
        <v>126</v>
      </c>
      <c r="B50" s="4" t="s">
        <v>173</v>
      </c>
      <c r="C50" s="4" t="s">
        <v>207</v>
      </c>
      <c r="D50" s="4" t="s">
        <v>208</v>
      </c>
      <c r="E50" s="12">
        <v>2.19</v>
      </c>
      <c r="F50" s="34">
        <f t="shared" si="7"/>
        <v>10654.35</v>
      </c>
      <c r="G50" s="28">
        <f t="shared" si="8"/>
        <v>4865</v>
      </c>
      <c r="H50" s="28">
        <f t="shared" si="9"/>
        <v>406</v>
      </c>
      <c r="I50" s="26">
        <f t="shared" si="10"/>
        <v>6697.0199999999995</v>
      </c>
      <c r="J50" s="24">
        <f t="shared" si="11"/>
        <v>3058</v>
      </c>
      <c r="K50" s="31">
        <f t="shared" si="12"/>
        <v>612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695</v>
      </c>
      <c r="R50" s="9">
        <v>556</v>
      </c>
      <c r="S50" s="9">
        <v>695</v>
      </c>
      <c r="T50" s="9">
        <v>556</v>
      </c>
      <c r="U50" s="9">
        <v>556</v>
      </c>
      <c r="V50" s="9">
        <v>695</v>
      </c>
      <c r="W50" s="9">
        <v>556</v>
      </c>
      <c r="X50" s="9">
        <v>556</v>
      </c>
      <c r="Y50" s="9">
        <v>695</v>
      </c>
      <c r="Z50" s="9">
        <v>556</v>
      </c>
      <c r="AA50" s="9">
        <v>556</v>
      </c>
      <c r="AB50" s="9">
        <v>695</v>
      </c>
      <c r="AC50" s="9">
        <v>556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1522.05</v>
      </c>
      <c r="AK50" s="6">
        <v>1217.6399999999999</v>
      </c>
      <c r="AL50" s="6">
        <v>1522.05</v>
      </c>
      <c r="AM50" s="6">
        <v>1217.6399999999999</v>
      </c>
      <c r="AN50" s="6">
        <v>1217.6399999999999</v>
      </c>
      <c r="AO50" s="6">
        <v>1522.05</v>
      </c>
      <c r="AP50" s="6">
        <v>1217.6399999999999</v>
      </c>
      <c r="AQ50" s="6">
        <v>1217.6399999999999</v>
      </c>
      <c r="AR50" s="6">
        <v>1522.05</v>
      </c>
      <c r="AS50" s="6">
        <v>1217.6399999999999</v>
      </c>
      <c r="AT50" s="6">
        <v>1217.6399999999999</v>
      </c>
      <c r="AU50" s="6">
        <v>1522.05</v>
      </c>
      <c r="AV50" s="6">
        <v>1217.6399999999999</v>
      </c>
      <c r="AW50" s="93" t="str">
        <f>IF('PFM NON-SELL (Draft Layers)'!AW254="X","X"," ")</f>
        <v xml:space="preserve"> </v>
      </c>
      <c r="AX50" s="76" t="str">
        <f>IF('PFM NON-SELL (Draft Layers)'!AX254="X","X"," ")</f>
        <v xml:space="preserve"> </v>
      </c>
      <c r="AY50" s="76" t="str">
        <f>IF('PFM NON-SELL (Draft Layers)'!AY254="X","X"," ")</f>
        <v xml:space="preserve"> </v>
      </c>
      <c r="AZ50" s="76" t="str">
        <f>IF('PFM NON-SELL (Draft Layers)'!AZ254="X","X"," ")</f>
        <v xml:space="preserve"> </v>
      </c>
      <c r="BA50" s="76" t="str">
        <f>IF('PFM NON-SELL (Draft Layers)'!BA254="X","X"," ")</f>
        <v xml:space="preserve"> </v>
      </c>
      <c r="BB50" s="76" t="str">
        <f>IF('PFM NON-SELL (Draft Layers)'!BB254="X","X"," ")</f>
        <v>X</v>
      </c>
      <c r="BC50" s="76" t="str">
        <f>IF('PFM NON-SELL (Draft Layers)'!BC254="X","X"," ")</f>
        <v xml:space="preserve"> </v>
      </c>
      <c r="BD50" s="76" t="str">
        <f>IF('PFM NON-SELL (Draft Layers)'!BD254="X","X"," ")</f>
        <v xml:space="preserve"> </v>
      </c>
      <c r="BE50" s="76" t="str">
        <f>IF('PFM NON-SELL (Draft Layers)'!BE254="X","X"," ")</f>
        <v xml:space="preserve"> </v>
      </c>
      <c r="BF50" s="76" t="str">
        <f>IF('PFM NON-SELL (Draft Layers)'!BF254="X","X"," ")</f>
        <v xml:space="preserve"> </v>
      </c>
      <c r="BG50" s="76"/>
      <c r="BH50" s="76"/>
      <c r="BI50" s="76" t="str">
        <f>IF('PFM NON-SELL (Draft Layers)'!BG254="X","X"," ")</f>
        <v xml:space="preserve"> </v>
      </c>
      <c r="BJ50" s="76" t="str">
        <f>IF('PFM NON-SELL (Draft Layers)'!BJ254="X","X"," ")</f>
        <v xml:space="preserve"> </v>
      </c>
      <c r="BK50" s="76" t="str">
        <f>IF('PFM NON-SELL (Draft Layers)'!BK254="X","X"," ")</f>
        <v xml:space="preserve"> </v>
      </c>
      <c r="BL50" s="76" t="str">
        <f>IF('PFM NON-SELL (Draft Layers)'!BM254="X","X"," ")</f>
        <v xml:space="preserve"> </v>
      </c>
      <c r="BM50" s="76" t="str">
        <f>IF('PFM NON-SELL (Draft Layers)'!BN254="X","X"," ")</f>
        <v xml:space="preserve"> </v>
      </c>
      <c r="BN50" s="76" t="str">
        <f>IF('PFM NON-SELL (Draft Layers)'!BO254="X","X"," ")</f>
        <v xml:space="preserve"> </v>
      </c>
      <c r="BO50" s="76" t="str">
        <f>IF('PFM NON-SELL (Draft Layers)'!BP254="X","X"," ")</f>
        <v xml:space="preserve"> </v>
      </c>
      <c r="BP50" s="76" t="str">
        <f>IF('PFM NON-SELL (Draft Layers)'!BQ254="X","X"," ")</f>
        <v xml:space="preserve"> </v>
      </c>
      <c r="BQ50" s="76" t="str">
        <f>IF('PFM NON-SELL (Draft Layers)'!BR254="X","X"," ")</f>
        <v xml:space="preserve"> </v>
      </c>
      <c r="BR50" s="76"/>
      <c r="BS50" s="76"/>
      <c r="BT50" s="76"/>
      <c r="BU50" s="76"/>
      <c r="BV50" s="76" t="str">
        <f>IF('PFM NON-SELL (Draft Layers)'!BW254="X","X"," ")</f>
        <v xml:space="preserve"> </v>
      </c>
      <c r="BW50" s="76"/>
      <c r="BX50" s="76" t="str">
        <f>IF('PFM NON-SELL (Draft Layers)'!BZ254="X","X"," ")</f>
        <v xml:space="preserve"> </v>
      </c>
      <c r="BY50" s="76" t="str">
        <f>IF('PFM NON-SELL (Draft Layers)'!CA254="X","X"," ")</f>
        <v xml:space="preserve"> </v>
      </c>
      <c r="BZ50" s="76" t="str">
        <f>IF('PFM NON-SELL (Draft Layers)'!CB254="X","X"," ")</f>
        <v xml:space="preserve"> </v>
      </c>
      <c r="CA50" s="76" t="str">
        <f>IF('PFM NON-SELL (Draft Layers)'!CC254="X","X"," ")</f>
        <v xml:space="preserve"> </v>
      </c>
      <c r="CB50" s="76" t="str">
        <f>IF('PFM NON-SELL (Draft Layers)'!CD254="X","X"," ")</f>
        <v xml:space="preserve"> </v>
      </c>
      <c r="CC50" s="76" t="str">
        <f>IF('PFM NON-SELL (Draft Layers)'!CE254="X","X"," ")</f>
        <v xml:space="preserve"> </v>
      </c>
      <c r="CD50" s="76" t="str">
        <f>IF('PFM NON-SELL (Draft Layers)'!CF254="X","X"," ")</f>
        <v xml:space="preserve"> </v>
      </c>
      <c r="CE50" s="76" t="str">
        <f>IF('PFM NON-SELL (Draft Layers)'!CG254="X","X"," ")</f>
        <v xml:space="preserve"> </v>
      </c>
      <c r="CF50" s="76" t="str">
        <f>IF('PFM NON-SELL (Draft Layers)'!CH254="X","X"," ")</f>
        <v xml:space="preserve"> </v>
      </c>
      <c r="CG50" s="76" t="str">
        <f>IF('PFM NON-SELL (Draft Layers)'!CI254="X","X"," ")</f>
        <v xml:space="preserve"> </v>
      </c>
      <c r="CH50" s="76" t="str">
        <f>IF('PFM NON-SELL (Draft Layers)'!CJ254="X","X"," ")</f>
        <v xml:space="preserve"> </v>
      </c>
      <c r="CI50" s="76"/>
      <c r="CJ50" s="76"/>
      <c r="CK50" s="76"/>
      <c r="CL50" s="76"/>
      <c r="CM50" s="76" t="str">
        <f>IF('PFM NON-SELL (Draft Layers)'!CV254="X","X"," ")</f>
        <v xml:space="preserve"> </v>
      </c>
      <c r="CN50" s="76" t="str">
        <f>IF('PFM NON-SELL (Draft Layers)'!CW254="X","X"," ")</f>
        <v xml:space="preserve"> </v>
      </c>
      <c r="CO50" s="76" t="str">
        <f>IF('PFM NON-SELL (Draft Layers)'!CX254="X","X"," ")</f>
        <v xml:space="preserve"> </v>
      </c>
      <c r="CP50" s="76" t="str">
        <f>IF('PFM NON-SELL (Draft Layers)'!CY254="X","X"," ")</f>
        <v xml:space="preserve"> </v>
      </c>
      <c r="CQ50" s="76" t="str">
        <f>IF('PFM NON-SELL (Draft Layers)'!CZ254="X","X"," ")</f>
        <v xml:space="preserve"> </v>
      </c>
      <c r="CR50" s="76" t="str">
        <f>IF('PFM NON-SELL (Draft Layers)'!DA254="X","X"," ")</f>
        <v xml:space="preserve"> </v>
      </c>
      <c r="CS50" s="76" t="str">
        <f>IF('PFM NON-SELL (Draft Layers)'!DB254="X","X"," ")</f>
        <v xml:space="preserve"> </v>
      </c>
      <c r="CT50" s="76" t="str">
        <f>IF('PFM NON-SELL (Draft Layers)'!DC254="X","X"," ")</f>
        <v xml:space="preserve"> </v>
      </c>
      <c r="CU50" s="76" t="str">
        <f>IF('PFM NON-SELL (Draft Layers)'!DD254="X","X"," ")</f>
        <v xml:space="preserve"> </v>
      </c>
      <c r="CV50" s="76" t="str">
        <f>IF('PFM NON-SELL (Draft Layers)'!DE254="X","X"," ")</f>
        <v xml:space="preserve"> </v>
      </c>
      <c r="CW50" s="76" t="str">
        <f>IF('PFM NON-SELL (Draft Layers)'!DF254="X","X"," ")</f>
        <v xml:space="preserve"> </v>
      </c>
      <c r="CX50" s="76" t="str">
        <f>IF('PFM NON-SELL (Draft Layers)'!DG254="X","X"," ")</f>
        <v>X</v>
      </c>
      <c r="CY50" s="76" t="str">
        <f>IF('PFM NON-SELL (Draft Layers)'!DH254="X","X"," ")</f>
        <v>X</v>
      </c>
      <c r="CZ50" s="76" t="str">
        <f>IF('PFM NON-SELL (Draft Layers)'!DI254="X","X"," ")</f>
        <v xml:space="preserve"> </v>
      </c>
      <c r="DA50" s="76" t="str">
        <f>IF('PFM NON-SELL (Draft Layers)'!DJ254="X","X"," ")</f>
        <v xml:space="preserve"> </v>
      </c>
      <c r="DB50" s="76" t="str">
        <f>IF('PFM NON-SELL (Draft Layers)'!DK254="X","X"," ")</f>
        <v xml:space="preserve"> </v>
      </c>
      <c r="DC50" s="76" t="str">
        <f>IF('PFM NON-SELL (Draft Layers)'!DL254="X","X"," ")</f>
        <v xml:space="preserve"> </v>
      </c>
      <c r="DD50" s="76" t="str">
        <f>IF('PFM NON-SELL (Draft Layers)'!DM254="X","X"," ")</f>
        <v xml:space="preserve"> </v>
      </c>
      <c r="DE50" s="76" t="str">
        <f>IF('PFM NON-SELL (Draft Layers)'!DN254="X","X"," ")</f>
        <v xml:space="preserve"> </v>
      </c>
      <c r="DF50" s="76" t="str">
        <f>IF('PFM NON-SELL (Draft Layers)'!DO254="X","X"," ")</f>
        <v xml:space="preserve"> </v>
      </c>
      <c r="DG50" s="76" t="str">
        <f>IF('PFM NON-SELL (Draft Layers)'!DP254="X","X"," ")</f>
        <v xml:space="preserve"> </v>
      </c>
      <c r="DH50" s="76" t="str">
        <f>IF('PFM NON-SELL (Draft Layers)'!DQ254="X","X"," ")</f>
        <v xml:space="preserve"> </v>
      </c>
      <c r="DI50" s="76" t="str">
        <f>IF('PFM NON-SELL (Draft Layers)'!DR254="X","X"," ")</f>
        <v xml:space="preserve"> </v>
      </c>
      <c r="DJ50" s="76" t="str">
        <f>IF('PFM NON-SELL (Draft Layers)'!DS254="X","X"," ")</f>
        <v xml:space="preserve"> </v>
      </c>
      <c r="DK50" s="76" t="str">
        <f>IF('PFM NON-SELL (Draft Layers)'!DT254="X","X"," ")</f>
        <v xml:space="preserve"> </v>
      </c>
      <c r="DL50" s="76" t="str">
        <f>IF('PFM NON-SELL (Draft Layers)'!DU254="X","X"," ")</f>
        <v xml:space="preserve"> </v>
      </c>
      <c r="DM50" s="76"/>
      <c r="DN50" s="95"/>
      <c r="DO50" s="90">
        <f t="shared" si="6"/>
        <v>3</v>
      </c>
      <c r="DP50" s="21"/>
      <c r="DQ50" s="21"/>
    </row>
    <row r="51" spans="1:121" x14ac:dyDescent="0.3">
      <c r="A51" s="4" t="s">
        <v>126</v>
      </c>
      <c r="B51" s="4" t="s">
        <v>213</v>
      </c>
      <c r="C51" s="4" t="s">
        <v>214</v>
      </c>
      <c r="D51" s="4" t="s">
        <v>215</v>
      </c>
      <c r="E51" s="12">
        <v>394.62</v>
      </c>
      <c r="F51" s="34">
        <f t="shared" si="7"/>
        <v>295965</v>
      </c>
      <c r="G51" s="28">
        <f t="shared" si="8"/>
        <v>750</v>
      </c>
      <c r="H51" s="28">
        <f t="shared" si="9"/>
        <v>63</v>
      </c>
      <c r="I51" s="26">
        <f t="shared" si="10"/>
        <v>0</v>
      </c>
      <c r="J51" s="24">
        <f t="shared" si="11"/>
        <v>0</v>
      </c>
      <c r="K51" s="31">
        <f t="shared" si="12"/>
        <v>0</v>
      </c>
      <c r="L51" s="9">
        <v>100</v>
      </c>
      <c r="M51" s="9">
        <v>150</v>
      </c>
      <c r="N51" s="9">
        <v>0</v>
      </c>
      <c r="O51" s="9">
        <v>150</v>
      </c>
      <c r="P51" s="9">
        <v>150</v>
      </c>
      <c r="Q51" s="9">
        <v>150</v>
      </c>
      <c r="R51" s="9">
        <v>150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E51" s="6">
        <v>39462</v>
      </c>
      <c r="AF51" s="6">
        <v>59193</v>
      </c>
      <c r="AG51" s="6">
        <v>0</v>
      </c>
      <c r="AH51" s="6">
        <v>59193</v>
      </c>
      <c r="AI51" s="6">
        <v>59193</v>
      </c>
      <c r="AJ51" s="6">
        <v>59193</v>
      </c>
      <c r="AK51" s="6">
        <v>59193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93" t="str">
        <f>IF('PFM NON-SELL (Draft Layers)'!AW255="X","X"," ")</f>
        <v>X</v>
      </c>
      <c r="AX51" s="76" t="str">
        <f>IF('PFM NON-SELL (Draft Layers)'!AX269="X","X"," ")</f>
        <v>X</v>
      </c>
      <c r="AY51" s="76" t="str">
        <f>IF('PFM NON-SELL (Draft Layers)'!AY255="X","X"," ")</f>
        <v>X</v>
      </c>
      <c r="AZ51" s="76" t="str">
        <f>IF('PFM NON-SELL (Draft Layers)'!AZ255="X","X"," ")</f>
        <v xml:space="preserve"> </v>
      </c>
      <c r="BA51" s="76" t="str">
        <f>IF('PFM NON-SELL (Draft Layers)'!BA255="X","X"," ")</f>
        <v>X</v>
      </c>
      <c r="BB51" s="76" t="str">
        <f>IF('PFM NON-SELL (Draft Layers)'!BB255="X","X"," ")</f>
        <v xml:space="preserve"> </v>
      </c>
      <c r="BC51" s="76" t="str">
        <f>IF('PFM NON-SELL (Draft Layers)'!BC255="X","X"," ")</f>
        <v xml:space="preserve"> </v>
      </c>
      <c r="BD51" s="76" t="str">
        <f>IF('PFM NON-SELL (Draft Layers)'!BD255="X","X"," ")</f>
        <v xml:space="preserve"> </v>
      </c>
      <c r="BE51" s="76" t="str">
        <f>IF('PFM NON-SELL (Draft Layers)'!BE255="X","X"," ")</f>
        <v xml:space="preserve"> </v>
      </c>
      <c r="BF51" s="76" t="str">
        <f>IF('PFM NON-SELL (Draft Layers)'!BF255="X","X"," ")</f>
        <v xml:space="preserve"> </v>
      </c>
      <c r="BG51" s="76"/>
      <c r="BH51" s="76"/>
      <c r="BI51" s="76" t="str">
        <f>IF('PFM NON-SELL (Draft Layers)'!BG255="X","X"," ")</f>
        <v xml:space="preserve"> </v>
      </c>
      <c r="BJ51" s="76" t="str">
        <f>IF('PFM NON-SELL (Draft Layers)'!BJ255="X","X"," ")</f>
        <v xml:space="preserve"> </v>
      </c>
      <c r="BK51" s="76" t="str">
        <f>IF('PFM NON-SELL (Draft Layers)'!BK255="X","X"," ")</f>
        <v>X</v>
      </c>
      <c r="BL51" s="76" t="str">
        <f>IF('PFM NON-SELL (Draft Layers)'!BM255="X","X"," ")</f>
        <v xml:space="preserve"> </v>
      </c>
      <c r="BM51" s="76" t="str">
        <f>IF('PFM NON-SELL (Draft Layers)'!BN255="X","X"," ")</f>
        <v xml:space="preserve"> </v>
      </c>
      <c r="BN51" s="76" t="str">
        <f>IF('PFM NON-SELL (Draft Layers)'!BO255="X","X"," ")</f>
        <v>X</v>
      </c>
      <c r="BO51" s="76" t="str">
        <f>IF('PFM NON-SELL (Draft Layers)'!BP255="X","X"," ")</f>
        <v>X</v>
      </c>
      <c r="BP51" s="76" t="str">
        <f>IF('PFM NON-SELL (Draft Layers)'!BQ255="X","X"," ")</f>
        <v xml:space="preserve"> </v>
      </c>
      <c r="BQ51" s="76" t="str">
        <f>IF('PFM NON-SELL (Draft Layers)'!BR255="X","X"," ")</f>
        <v xml:space="preserve"> </v>
      </c>
      <c r="BR51" s="76"/>
      <c r="BS51" s="76"/>
      <c r="BT51" s="76"/>
      <c r="BU51" s="76"/>
      <c r="BV51" s="76" t="str">
        <f>IF('PFM NON-SELL (Draft Layers)'!BW255="X","X"," ")</f>
        <v xml:space="preserve"> </v>
      </c>
      <c r="BW51" s="76"/>
      <c r="BX51" s="76" t="str">
        <f>IF('PFM NON-SELL (Draft Layers)'!BZ255="X","X"," ")</f>
        <v xml:space="preserve"> </v>
      </c>
      <c r="BY51" s="76" t="str">
        <f>IF('PFM NON-SELL (Draft Layers)'!CA255="X","X"," ")</f>
        <v xml:space="preserve"> </v>
      </c>
      <c r="BZ51" s="76" t="str">
        <f>IF('PFM NON-SELL (Draft Layers)'!CB255="X","X"," ")</f>
        <v xml:space="preserve"> </v>
      </c>
      <c r="CA51" s="76" t="str">
        <f>IF('PFM NON-SELL (Draft Layers)'!CC255="X","X"," ")</f>
        <v xml:space="preserve"> </v>
      </c>
      <c r="CB51" s="76" t="str">
        <f>IF('PFM NON-SELL (Draft Layers)'!CD255="X","X"," ")</f>
        <v xml:space="preserve"> </v>
      </c>
      <c r="CC51" s="76" t="str">
        <f>IF('PFM NON-SELL (Draft Layers)'!CE255="X","X"," ")</f>
        <v xml:space="preserve"> </v>
      </c>
      <c r="CD51" s="76" t="str">
        <f>IF('PFM NON-SELL (Draft Layers)'!CF255="X","X"," ")</f>
        <v xml:space="preserve"> </v>
      </c>
      <c r="CE51" s="76" t="str">
        <f>IF('PFM NON-SELL (Draft Layers)'!CG255="X","X"," ")</f>
        <v xml:space="preserve"> </v>
      </c>
      <c r="CF51" s="76" t="str">
        <f>IF('PFM NON-SELL (Draft Layers)'!CH255="X","X"," ")</f>
        <v xml:space="preserve"> </v>
      </c>
      <c r="CG51" s="76" t="str">
        <f>IF('PFM NON-SELL (Draft Layers)'!CI255="X","X"," ")</f>
        <v xml:space="preserve"> </v>
      </c>
      <c r="CH51" s="76" t="str">
        <f>IF('PFM NON-SELL (Draft Layers)'!CJ255="X","X"," ")</f>
        <v xml:space="preserve"> </v>
      </c>
      <c r="CI51" s="76"/>
      <c r="CJ51" s="76"/>
      <c r="CK51" s="76"/>
      <c r="CL51" s="76"/>
      <c r="CM51" s="76" t="str">
        <f>IF('PFM NON-SELL (Draft Layers)'!CV255="X","X"," ")</f>
        <v xml:space="preserve"> </v>
      </c>
      <c r="CN51" s="76" t="str">
        <f>IF('PFM NON-SELL (Draft Layers)'!CW255="X","X"," ")</f>
        <v xml:space="preserve"> </v>
      </c>
      <c r="CO51" s="76" t="str">
        <f>IF('PFM NON-SELL (Draft Layers)'!CX255="X","X"," ")</f>
        <v xml:space="preserve"> </v>
      </c>
      <c r="CP51" s="76" t="str">
        <f>IF('PFM NON-SELL (Draft Layers)'!CY255="X","X"," ")</f>
        <v xml:space="preserve"> </v>
      </c>
      <c r="CQ51" s="76" t="str">
        <f>IF('PFM NON-SELL (Draft Layers)'!CZ255="X","X"," ")</f>
        <v xml:space="preserve"> </v>
      </c>
      <c r="CR51" s="76" t="str">
        <f>IF('PFM NON-SELL (Draft Layers)'!DA255="X","X"," ")</f>
        <v xml:space="preserve"> </v>
      </c>
      <c r="CS51" s="76" t="str">
        <f>IF('PFM NON-SELL (Draft Layers)'!DB255="X","X"," ")</f>
        <v xml:space="preserve"> </v>
      </c>
      <c r="CT51" s="76" t="str">
        <f>IF('PFM NON-SELL (Draft Layers)'!DC255="X","X"," ")</f>
        <v xml:space="preserve"> </v>
      </c>
      <c r="CU51" s="76" t="str">
        <f>IF('PFM NON-SELL (Draft Layers)'!DD255="X","X"," ")</f>
        <v xml:space="preserve"> </v>
      </c>
      <c r="CV51" s="76" t="str">
        <f>IF('PFM NON-SELL (Draft Layers)'!DE255="X","X"," ")</f>
        <v xml:space="preserve"> </v>
      </c>
      <c r="CW51" s="76" t="str">
        <f>IF('PFM NON-SELL (Draft Layers)'!DF255="X","X"," ")</f>
        <v xml:space="preserve"> </v>
      </c>
      <c r="CX51" s="76" t="str">
        <f>IF('PFM NON-SELL (Draft Layers)'!DG255="X","X"," ")</f>
        <v>X</v>
      </c>
      <c r="CY51" s="76" t="str">
        <f>IF('PFM NON-SELL (Draft Layers)'!DH255="X","X"," ")</f>
        <v>X</v>
      </c>
      <c r="CZ51" s="76" t="str">
        <f>IF('PFM NON-SELL (Draft Layers)'!DI255="X","X"," ")</f>
        <v xml:space="preserve"> </v>
      </c>
      <c r="DA51" s="76" t="str">
        <f>IF('PFM NON-SELL (Draft Layers)'!DJ255="X","X"," ")</f>
        <v xml:space="preserve"> </v>
      </c>
      <c r="DB51" s="76" t="str">
        <f>IF('PFM NON-SELL (Draft Layers)'!DK255="X","X"," ")</f>
        <v xml:space="preserve"> </v>
      </c>
      <c r="DC51" s="76" t="str">
        <f>IF('PFM NON-SELL (Draft Layers)'!DL255="X","X"," ")</f>
        <v xml:space="preserve"> </v>
      </c>
      <c r="DD51" s="76" t="str">
        <f>IF('PFM NON-SELL (Draft Layers)'!DM255="X","X"," ")</f>
        <v xml:space="preserve"> </v>
      </c>
      <c r="DE51" s="76" t="str">
        <f>IF('PFM NON-SELL (Draft Layers)'!DN255="X","X"," ")</f>
        <v xml:space="preserve"> </v>
      </c>
      <c r="DF51" s="76" t="str">
        <f>IF('PFM NON-SELL (Draft Layers)'!DO255="X","X"," ")</f>
        <v xml:space="preserve"> </v>
      </c>
      <c r="DG51" s="76" t="str">
        <f>IF('PFM NON-SELL (Draft Layers)'!DP255="X","X"," ")</f>
        <v xml:space="preserve"> </v>
      </c>
      <c r="DH51" s="76" t="str">
        <f>IF('PFM NON-SELL (Draft Layers)'!DQ255="X","X"," ")</f>
        <v xml:space="preserve"> </v>
      </c>
      <c r="DI51" s="76" t="str">
        <f>IF('PFM NON-SELL (Draft Layers)'!DR255="X","X"," ")</f>
        <v xml:space="preserve"> </v>
      </c>
      <c r="DJ51" s="76" t="str">
        <f>IF('PFM NON-SELL (Draft Layers)'!DS255="X","X"," ")</f>
        <v xml:space="preserve"> </v>
      </c>
      <c r="DK51" s="76" t="str">
        <f>IF('PFM NON-SELL (Draft Layers)'!DT255="X","X"," ")</f>
        <v xml:space="preserve"> </v>
      </c>
      <c r="DL51" s="76" t="str">
        <f>IF('PFM NON-SELL (Draft Layers)'!DU255="X","X"," ")</f>
        <v xml:space="preserve"> </v>
      </c>
      <c r="DM51" s="76"/>
      <c r="DN51" s="95"/>
      <c r="DO51" s="90">
        <f t="shared" ref="DO51:DO95" si="13">COUNTIF(AW51:DN51,"x")</f>
        <v>9</v>
      </c>
      <c r="DP51" s="21"/>
      <c r="DQ51" s="21"/>
    </row>
    <row r="52" spans="1:121" x14ac:dyDescent="0.3">
      <c r="A52" s="4" t="s">
        <v>126</v>
      </c>
      <c r="B52" s="4" t="s">
        <v>223</v>
      </c>
      <c r="C52" s="4" t="s">
        <v>226</v>
      </c>
      <c r="D52" s="4" t="s">
        <v>227</v>
      </c>
      <c r="E52" s="12">
        <v>8.43</v>
      </c>
      <c r="F52" s="34">
        <f t="shared" si="7"/>
        <v>4215</v>
      </c>
      <c r="G52" s="28">
        <f t="shared" si="8"/>
        <v>500</v>
      </c>
      <c r="H52" s="28">
        <f t="shared" si="9"/>
        <v>42</v>
      </c>
      <c r="I52" s="26">
        <f t="shared" si="10"/>
        <v>0</v>
      </c>
      <c r="J52" s="24">
        <f t="shared" si="11"/>
        <v>0</v>
      </c>
      <c r="K52" s="31">
        <f t="shared" si="12"/>
        <v>0</v>
      </c>
      <c r="L52" s="9">
        <v>50</v>
      </c>
      <c r="M52" s="9">
        <v>500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E52" s="6">
        <v>477.50000000000006</v>
      </c>
      <c r="AF52" s="6">
        <v>1695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93" t="str">
        <f>IF('PFM NON-SELL (Draft Layers)'!AW269="X","X"," ")</f>
        <v xml:space="preserve"> </v>
      </c>
      <c r="AX52" s="76" t="str">
        <f>IF('PFM NON-SELL (Draft Layers)'!AX256="X","X"," ")</f>
        <v xml:space="preserve"> </v>
      </c>
      <c r="AY52" s="76" t="str">
        <f>IF('PFM NON-SELL (Draft Layers)'!AY256="X","X"," ")</f>
        <v xml:space="preserve"> </v>
      </c>
      <c r="AZ52" s="76" t="str">
        <f>IF('PFM NON-SELL (Draft Layers)'!AZ256="X","X"," ")</f>
        <v xml:space="preserve"> </v>
      </c>
      <c r="BA52" s="76" t="str">
        <f>IF('PFM NON-SELL (Draft Layers)'!BA256="X","X"," ")</f>
        <v xml:space="preserve"> </v>
      </c>
      <c r="BB52" s="76" t="str">
        <f>IF('PFM NON-SELL (Draft Layers)'!BB256="X","X"," ")</f>
        <v xml:space="preserve"> </v>
      </c>
      <c r="BC52" s="76" t="str">
        <f>IF('PFM NON-SELL (Draft Layers)'!BC256="X","X"," ")</f>
        <v xml:space="preserve"> </v>
      </c>
      <c r="BD52" s="76" t="str">
        <f>IF('PFM NON-SELL (Draft Layers)'!BD256="X","X"," ")</f>
        <v xml:space="preserve"> </v>
      </c>
      <c r="BE52" s="76" t="str">
        <f>IF('PFM NON-SELL (Draft Layers)'!BE256="X","X"," ")</f>
        <v xml:space="preserve"> </v>
      </c>
      <c r="BF52" s="76" t="str">
        <f>IF('PFM NON-SELL (Draft Layers)'!BF256="X","X"," ")</f>
        <v xml:space="preserve"> </v>
      </c>
      <c r="BG52" s="76"/>
      <c r="BH52" s="76"/>
      <c r="BI52" s="76" t="str">
        <f>IF('PFM NON-SELL (Draft Layers)'!BG256="X","X"," ")</f>
        <v xml:space="preserve"> </v>
      </c>
      <c r="BJ52" s="76" t="str">
        <f>IF('PFM NON-SELL (Draft Layers)'!BJ256="X","X"," ")</f>
        <v xml:space="preserve"> </v>
      </c>
      <c r="BK52" s="76" t="str">
        <f>IF('PFM NON-SELL (Draft Layers)'!BK256="X","X"," ")</f>
        <v xml:space="preserve"> </v>
      </c>
      <c r="BL52" s="76" t="str">
        <f>IF('PFM NON-SELL (Draft Layers)'!BM256="X","X"," ")</f>
        <v xml:space="preserve"> </v>
      </c>
      <c r="BM52" s="76" t="str">
        <f>IF('PFM NON-SELL (Draft Layers)'!BN256="X","X"," ")</f>
        <v xml:space="preserve"> </v>
      </c>
      <c r="BN52" s="76" t="str">
        <f>IF('PFM NON-SELL (Draft Layers)'!BO256="X","X"," ")</f>
        <v xml:space="preserve"> </v>
      </c>
      <c r="BO52" s="76" t="str">
        <f>IF('PFM NON-SELL (Draft Layers)'!BP256="X","X"," ")</f>
        <v xml:space="preserve"> </v>
      </c>
      <c r="BP52" s="76" t="str">
        <f>IF('PFM NON-SELL (Draft Layers)'!BQ256="X","X"," ")</f>
        <v xml:space="preserve"> </v>
      </c>
      <c r="BQ52" s="76" t="str">
        <f>IF('PFM NON-SELL (Draft Layers)'!BR256="X","X"," ")</f>
        <v xml:space="preserve"> </v>
      </c>
      <c r="BR52" s="76"/>
      <c r="BS52" s="76"/>
      <c r="BT52" s="76"/>
      <c r="BU52" s="76"/>
      <c r="BV52" s="76" t="str">
        <f>IF('PFM NON-SELL (Draft Layers)'!BW256="X","X"," ")</f>
        <v xml:space="preserve"> </v>
      </c>
      <c r="BW52" s="76"/>
      <c r="BX52" s="76" t="str">
        <f>IF('PFM NON-SELL (Draft Layers)'!BZ256="X","X"," ")</f>
        <v xml:space="preserve"> </v>
      </c>
      <c r="BY52" s="76" t="str">
        <f>IF('PFM NON-SELL (Draft Layers)'!CA256="X","X"," ")</f>
        <v xml:space="preserve"> </v>
      </c>
      <c r="BZ52" s="76" t="str">
        <f>IF('PFM NON-SELL (Draft Layers)'!CB256="X","X"," ")</f>
        <v xml:space="preserve"> </v>
      </c>
      <c r="CA52" s="76" t="str">
        <f>IF('PFM NON-SELL (Draft Layers)'!CC256="X","X"," ")</f>
        <v xml:space="preserve"> </v>
      </c>
      <c r="CB52" s="76" t="str">
        <f>IF('PFM NON-SELL (Draft Layers)'!CD256="X","X"," ")</f>
        <v xml:space="preserve"> </v>
      </c>
      <c r="CC52" s="76" t="str">
        <f>IF('PFM NON-SELL (Draft Layers)'!CE256="X","X"," ")</f>
        <v xml:space="preserve"> </v>
      </c>
      <c r="CD52" s="76" t="str">
        <f>IF('PFM NON-SELL (Draft Layers)'!CF256="X","X"," ")</f>
        <v xml:space="preserve"> </v>
      </c>
      <c r="CE52" s="76" t="str">
        <f>IF('PFM NON-SELL (Draft Layers)'!CG256="X","X"," ")</f>
        <v xml:space="preserve"> </v>
      </c>
      <c r="CF52" s="76" t="str">
        <f>IF('PFM NON-SELL (Draft Layers)'!CH256="X","X"," ")</f>
        <v xml:space="preserve"> </v>
      </c>
      <c r="CG52" s="76" t="str">
        <f>IF('PFM NON-SELL (Draft Layers)'!CI256="X","X"," ")</f>
        <v xml:space="preserve"> </v>
      </c>
      <c r="CH52" s="76" t="str">
        <f>IF('PFM NON-SELL (Draft Layers)'!CJ256="X","X"," ")</f>
        <v xml:space="preserve"> </v>
      </c>
      <c r="CI52" s="76"/>
      <c r="CJ52" s="76"/>
      <c r="CK52" s="76"/>
      <c r="CL52" s="76"/>
      <c r="CM52" s="76" t="str">
        <f>IF('PFM NON-SELL (Draft Layers)'!CV256="X","X"," ")</f>
        <v xml:space="preserve"> </v>
      </c>
      <c r="CN52" s="76" t="str">
        <f>IF('PFM NON-SELL (Draft Layers)'!CW256="X","X"," ")</f>
        <v xml:space="preserve"> </v>
      </c>
      <c r="CO52" s="76" t="str">
        <f>IF('PFM NON-SELL (Draft Layers)'!CX256="X","X"," ")</f>
        <v xml:space="preserve"> </v>
      </c>
      <c r="CP52" s="76" t="str">
        <f>IF('PFM NON-SELL (Draft Layers)'!CY256="X","X"," ")</f>
        <v xml:space="preserve"> </v>
      </c>
      <c r="CQ52" s="76" t="str">
        <f>IF('PFM NON-SELL (Draft Layers)'!CZ256="X","X"," ")</f>
        <v xml:space="preserve"> </v>
      </c>
      <c r="CR52" s="76" t="str">
        <f>IF('PFM NON-SELL (Draft Layers)'!DA256="X","X"," ")</f>
        <v xml:space="preserve"> </v>
      </c>
      <c r="CS52" s="76" t="str">
        <f>IF('PFM NON-SELL (Draft Layers)'!DB256="X","X"," ")</f>
        <v xml:space="preserve"> </v>
      </c>
      <c r="CT52" s="76" t="str">
        <f>IF('PFM NON-SELL (Draft Layers)'!DC256="X","X"," ")</f>
        <v>X</v>
      </c>
      <c r="CU52" s="76" t="str">
        <f>IF('PFM NON-SELL (Draft Layers)'!DD256="X","X"," ")</f>
        <v xml:space="preserve"> </v>
      </c>
      <c r="CV52" s="76" t="str">
        <f>IF('PFM NON-SELL (Draft Layers)'!DE256="X","X"," ")</f>
        <v xml:space="preserve"> </v>
      </c>
      <c r="CW52" s="76" t="str">
        <f>IF('PFM NON-SELL (Draft Layers)'!DF256="X","X"," ")</f>
        <v xml:space="preserve"> </v>
      </c>
      <c r="CX52" s="76" t="str">
        <f>IF('PFM NON-SELL (Draft Layers)'!DG256="X","X"," ")</f>
        <v xml:space="preserve"> </v>
      </c>
      <c r="CY52" s="76" t="str">
        <f>IF('PFM NON-SELL (Draft Layers)'!DH256="X","X"," ")</f>
        <v xml:space="preserve"> </v>
      </c>
      <c r="CZ52" s="76" t="str">
        <f>IF('PFM NON-SELL (Draft Layers)'!DI256="X","X"," ")</f>
        <v xml:space="preserve"> </v>
      </c>
      <c r="DA52" s="76" t="str">
        <f>IF('PFM NON-SELL (Draft Layers)'!DJ256="X","X"," ")</f>
        <v xml:space="preserve"> </v>
      </c>
      <c r="DB52" s="76" t="str">
        <f>IF('PFM NON-SELL (Draft Layers)'!DK256="X","X"," ")</f>
        <v xml:space="preserve"> </v>
      </c>
      <c r="DC52" s="76" t="str">
        <f>IF('PFM NON-SELL (Draft Layers)'!DL256="X","X"," ")</f>
        <v xml:space="preserve"> </v>
      </c>
      <c r="DD52" s="76" t="str">
        <f>IF('PFM NON-SELL (Draft Layers)'!DM256="X","X"," ")</f>
        <v xml:space="preserve"> </v>
      </c>
      <c r="DE52" s="76" t="str">
        <f>IF('PFM NON-SELL (Draft Layers)'!DN256="X","X"," ")</f>
        <v xml:space="preserve"> </v>
      </c>
      <c r="DF52" s="76" t="str">
        <f>IF('PFM NON-SELL (Draft Layers)'!DO256="X","X"," ")</f>
        <v xml:space="preserve"> </v>
      </c>
      <c r="DG52" s="76" t="str">
        <f>IF('PFM NON-SELL (Draft Layers)'!DP256="X","X"," ")</f>
        <v xml:space="preserve"> </v>
      </c>
      <c r="DH52" s="76" t="str">
        <f>IF('PFM NON-SELL (Draft Layers)'!DQ256="X","X"," ")</f>
        <v xml:space="preserve"> </v>
      </c>
      <c r="DI52" s="76" t="str">
        <f>IF('PFM NON-SELL (Draft Layers)'!DR256="X","X"," ")</f>
        <v xml:space="preserve"> </v>
      </c>
      <c r="DJ52" s="76" t="str">
        <f>IF('PFM NON-SELL (Draft Layers)'!DS256="X","X"," ")</f>
        <v xml:space="preserve"> </v>
      </c>
      <c r="DK52" s="76" t="str">
        <f>IF('PFM NON-SELL (Draft Layers)'!DT256="X","X"," ")</f>
        <v xml:space="preserve"> </v>
      </c>
      <c r="DL52" s="76" t="str">
        <f>IF('PFM NON-SELL (Draft Layers)'!DU256="X","X"," ")</f>
        <v xml:space="preserve"> </v>
      </c>
      <c r="DM52" s="76"/>
      <c r="DN52" s="95"/>
      <c r="DO52" s="90">
        <f t="shared" si="13"/>
        <v>1</v>
      </c>
      <c r="DP52" s="21"/>
      <c r="DQ52" s="21"/>
    </row>
    <row r="53" spans="1:121" x14ac:dyDescent="0.3">
      <c r="A53" s="4" t="s">
        <v>126</v>
      </c>
      <c r="B53" s="4" t="s">
        <v>223</v>
      </c>
      <c r="C53" s="4" t="s">
        <v>228</v>
      </c>
      <c r="D53" s="4" t="s">
        <v>227</v>
      </c>
      <c r="E53" s="12">
        <v>8.3699999999999992</v>
      </c>
      <c r="F53" s="34">
        <f t="shared" si="7"/>
        <v>4185</v>
      </c>
      <c r="G53" s="28">
        <f t="shared" si="8"/>
        <v>500</v>
      </c>
      <c r="H53" s="28">
        <f t="shared" si="9"/>
        <v>42</v>
      </c>
      <c r="I53" s="26">
        <f t="shared" si="10"/>
        <v>0</v>
      </c>
      <c r="J53" s="24">
        <f t="shared" si="11"/>
        <v>0</v>
      </c>
      <c r="K53" s="31">
        <f t="shared" si="12"/>
        <v>0</v>
      </c>
      <c r="L53" s="9">
        <v>50</v>
      </c>
      <c r="M53" s="9">
        <v>500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E53" s="6">
        <v>474.5</v>
      </c>
      <c r="AF53" s="6">
        <v>1665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93" t="str">
        <f>IF('PFM NON-SELL (Draft Layers)'!AW271="X","X"," ")</f>
        <v>X</v>
      </c>
      <c r="AX53" s="76" t="str">
        <f>IF('PFM NON-SELL (Draft Layers)'!AX271="X","X"," ")</f>
        <v xml:space="preserve"> </v>
      </c>
      <c r="AY53" s="76" t="str">
        <f>IF('PFM NON-SELL (Draft Layers)'!AY271="X","X"," ")</f>
        <v xml:space="preserve"> </v>
      </c>
      <c r="AZ53" s="76" t="str">
        <f>IF('PFM NON-SELL (Draft Layers)'!AZ271="X","X"," ")</f>
        <v xml:space="preserve"> </v>
      </c>
      <c r="BA53" s="76" t="str">
        <f>IF('PFM NON-SELL (Draft Layers)'!BA271="X","X"," ")</f>
        <v xml:space="preserve"> </v>
      </c>
      <c r="BB53" s="76" t="str">
        <f>IF('PFM NON-SELL (Draft Layers)'!BB271="X","X"," ")</f>
        <v xml:space="preserve"> </v>
      </c>
      <c r="BC53" s="76" t="str">
        <f>IF('PFM NON-SELL (Draft Layers)'!BC271="X","X"," ")</f>
        <v xml:space="preserve"> </v>
      </c>
      <c r="BD53" s="76" t="str">
        <f>IF('PFM NON-SELL (Draft Layers)'!BD271="X","X"," ")</f>
        <v xml:space="preserve"> </v>
      </c>
      <c r="BE53" s="76" t="str">
        <f>IF('PFM NON-SELL (Draft Layers)'!BE271="X","X"," ")</f>
        <v xml:space="preserve"> </v>
      </c>
      <c r="BF53" s="76" t="str">
        <f>IF('PFM NON-SELL (Draft Layers)'!BF271="X","X"," ")</f>
        <v xml:space="preserve"> </v>
      </c>
      <c r="BG53" s="76" t="str">
        <f>IF('PFM NON-SELL (Draft Layers)'!BG271="X","X"," ")</f>
        <v xml:space="preserve"> </v>
      </c>
      <c r="BH53" s="76" t="str">
        <f>IF('PFM NON-SELL (Draft Layers)'!BH271="X","X"," ")</f>
        <v xml:space="preserve"> </v>
      </c>
      <c r="BI53" s="76" t="str">
        <f>IF('PFM NON-SELL (Draft Layers)'!BI271="X","X"," ")</f>
        <v xml:space="preserve"> </v>
      </c>
      <c r="BJ53" s="76" t="str">
        <f>IF('PFM NON-SELL (Draft Layers)'!BJ271="X","X"," ")</f>
        <v xml:space="preserve"> </v>
      </c>
      <c r="BK53" s="76" t="str">
        <f>IF('PFM NON-SELL (Draft Layers)'!BK271="X","X"," ")</f>
        <v xml:space="preserve"> </v>
      </c>
      <c r="BL53" s="76" t="str">
        <f>IF('PFM NON-SELL (Draft Layers)'!BM271="X","X"," ")</f>
        <v xml:space="preserve"> </v>
      </c>
      <c r="BM53" s="76" t="str">
        <f>IF('PFM NON-SELL (Draft Layers)'!BN271="X","X"," ")</f>
        <v xml:space="preserve"> </v>
      </c>
      <c r="BN53" s="76" t="str">
        <f>IF('PFM NON-SELL (Draft Layers)'!BO271="X","X"," ")</f>
        <v>X</v>
      </c>
      <c r="BO53" s="94" t="str">
        <f>IF('PFM NON-SELL (Draft Layers)'!BP271="X","X"," ")</f>
        <v>X</v>
      </c>
      <c r="BP53" s="76" t="str">
        <f>IF('PFM NON-SELL (Draft Layers)'!BQ271="X","X"," ")</f>
        <v xml:space="preserve"> </v>
      </c>
      <c r="BQ53" s="76" t="str">
        <f>IF('PFM NON-SELL (Draft Layers)'!BR271="X","X"," ")</f>
        <v xml:space="preserve"> </v>
      </c>
      <c r="BR53" s="76" t="str">
        <f>IF('PFM NON-SELL (Draft Layers)'!BS271="X","X"," ")</f>
        <v xml:space="preserve"> </v>
      </c>
      <c r="BS53" s="76" t="str">
        <f>IF('PFM NON-SELL (Draft Layers)'!BT271="X","X"," ")</f>
        <v xml:space="preserve"> </v>
      </c>
      <c r="BT53" s="76" t="str">
        <f>IF('PFM NON-SELL (Draft Layers)'!BU271="X","X"," ")</f>
        <v xml:space="preserve"> </v>
      </c>
      <c r="BU53" s="76" t="str">
        <f>IF('PFM NON-SELL (Draft Layers)'!BV271="X","X"," ")</f>
        <v xml:space="preserve"> </v>
      </c>
      <c r="BV53" s="76" t="str">
        <f>IF('PFM NON-SELL (Draft Layers)'!BW271="X","X"," ")</f>
        <v xml:space="preserve"> </v>
      </c>
      <c r="BW53" s="76" t="str">
        <f>IF('PFM NON-SELL (Draft Layers)'!BY271="X","X"," ")</f>
        <v xml:space="preserve"> </v>
      </c>
      <c r="BX53" s="76" t="str">
        <f>IF('PFM NON-SELL (Draft Layers)'!BZ271="X","X"," ")</f>
        <v xml:space="preserve"> </v>
      </c>
      <c r="BY53" s="76" t="str">
        <f>IF('PFM NON-SELL (Draft Layers)'!CA271="X","X"," ")</f>
        <v xml:space="preserve"> </v>
      </c>
      <c r="BZ53" s="76" t="str">
        <f>IF('PFM NON-SELL (Draft Layers)'!CB271="X","X"," ")</f>
        <v xml:space="preserve"> </v>
      </c>
      <c r="CA53" s="76" t="str">
        <f>IF('PFM NON-SELL (Draft Layers)'!CC271="X","X"," ")</f>
        <v xml:space="preserve"> </v>
      </c>
      <c r="CB53" s="76" t="str">
        <f>IF('PFM NON-SELL (Draft Layers)'!CD271="X","X"," ")</f>
        <v xml:space="preserve"> </v>
      </c>
      <c r="CC53" s="76" t="str">
        <f>IF('PFM NON-SELL (Draft Layers)'!CE271="X","X"," ")</f>
        <v xml:space="preserve"> </v>
      </c>
      <c r="CD53" s="76" t="str">
        <f>IF('PFM NON-SELL (Draft Layers)'!CF271="X","X"," ")</f>
        <v xml:space="preserve"> </v>
      </c>
      <c r="CE53" s="76" t="str">
        <f>IF('PFM NON-SELL (Draft Layers)'!CG271="X","X"," ")</f>
        <v xml:space="preserve"> </v>
      </c>
      <c r="CF53" s="76" t="str">
        <f>IF('PFM NON-SELL (Draft Layers)'!CH271="X","X"," ")</f>
        <v xml:space="preserve"> </v>
      </c>
      <c r="CG53" s="76" t="str">
        <f>IF('PFM NON-SELL (Draft Layers)'!CI271="X","X"," ")</f>
        <v xml:space="preserve"> </v>
      </c>
      <c r="CH53" s="76" t="str">
        <f>IF('PFM NON-SELL (Draft Layers)'!CJ271="X","X"," ")</f>
        <v xml:space="preserve"> </v>
      </c>
      <c r="CI53" s="76" t="str">
        <f>IF('PFM NON-SELL (Draft Layers)'!CN271="X","X"," ")</f>
        <v xml:space="preserve"> </v>
      </c>
      <c r="CJ53" s="76" t="str">
        <f>IF('PFM NON-SELL (Draft Layers)'!CO271="X","X"," ")</f>
        <v xml:space="preserve"> </v>
      </c>
      <c r="CK53" s="76" t="str">
        <f>IF('PFM NON-SELL (Draft Layers)'!CP271="X","X"," ")</f>
        <v xml:space="preserve"> </v>
      </c>
      <c r="CL53" s="76" t="str">
        <f>IF('PFM NON-SELL (Draft Layers)'!CQ271="X","X"," ")</f>
        <v xml:space="preserve"> </v>
      </c>
      <c r="CM53" s="76" t="str">
        <f>IF('PFM NON-SELL (Draft Layers)'!CV271="X","X"," ")</f>
        <v xml:space="preserve"> </v>
      </c>
      <c r="CN53" s="76" t="str">
        <f>IF('PFM NON-SELL (Draft Layers)'!CW271="X","X"," ")</f>
        <v xml:space="preserve"> </v>
      </c>
      <c r="CO53" s="76" t="str">
        <f>IF('PFM NON-SELL (Draft Layers)'!CX271="X","X"," ")</f>
        <v xml:space="preserve"> </v>
      </c>
      <c r="CP53" s="76" t="str">
        <f>IF('PFM NON-SELL (Draft Layers)'!CY271="X","X"," ")</f>
        <v xml:space="preserve"> </v>
      </c>
      <c r="CQ53" s="76" t="str">
        <f>IF('PFM NON-SELL (Draft Layers)'!CZ271="X","X"," ")</f>
        <v xml:space="preserve"> </v>
      </c>
      <c r="CR53" s="76" t="str">
        <f>IF('PFM NON-SELL (Draft Layers)'!DA271="X","X"," ")</f>
        <v xml:space="preserve"> </v>
      </c>
      <c r="CS53" s="76" t="str">
        <f>IF('PFM NON-SELL (Draft Layers)'!DB271="X","X"," ")</f>
        <v xml:space="preserve"> </v>
      </c>
      <c r="CT53" s="76" t="str">
        <f>IF('PFM NON-SELL (Draft Layers)'!DC271="X","X"," ")</f>
        <v xml:space="preserve"> </v>
      </c>
      <c r="CU53" s="76" t="str">
        <f>IF('PFM NON-SELL (Draft Layers)'!DD271="X","X"," ")</f>
        <v xml:space="preserve"> </v>
      </c>
      <c r="CV53" s="76" t="str">
        <f>IF('PFM NON-SELL (Draft Layers)'!DE271="X","X"," ")</f>
        <v xml:space="preserve"> </v>
      </c>
      <c r="CW53" s="76" t="str">
        <f>IF('PFM NON-SELL (Draft Layers)'!DF271="X","X"," ")</f>
        <v xml:space="preserve"> </v>
      </c>
      <c r="CX53" s="76" t="str">
        <f>IF('PFM NON-SELL (Draft Layers)'!DG271="X","X"," ")</f>
        <v>X</v>
      </c>
      <c r="CY53" s="96" t="str">
        <f>IF('PFM NON-SELL (Draft Layers)'!DH271="X","X"," ")</f>
        <v>X</v>
      </c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95"/>
      <c r="DO53" s="90">
        <f t="shared" si="13"/>
        <v>5</v>
      </c>
      <c r="DP53" s="21"/>
      <c r="DQ53" s="21"/>
    </row>
    <row r="54" spans="1:121" x14ac:dyDescent="0.3">
      <c r="A54" s="4" t="s">
        <v>126</v>
      </c>
      <c r="B54" s="4" t="s">
        <v>238</v>
      </c>
      <c r="C54" s="4" t="s">
        <v>243</v>
      </c>
      <c r="D54" s="4" t="s">
        <v>244</v>
      </c>
      <c r="E54" s="12">
        <v>11.67</v>
      </c>
      <c r="F54" s="34">
        <f t="shared" si="7"/>
        <v>11039.82</v>
      </c>
      <c r="G54" s="28">
        <f t="shared" si="8"/>
        <v>946</v>
      </c>
      <c r="H54" s="28">
        <f t="shared" si="9"/>
        <v>79</v>
      </c>
      <c r="I54" s="26">
        <f t="shared" si="10"/>
        <v>5648.28</v>
      </c>
      <c r="J54" s="24">
        <f t="shared" si="11"/>
        <v>484</v>
      </c>
      <c r="K54" s="31">
        <f t="shared" si="12"/>
        <v>97</v>
      </c>
      <c r="L54" s="9">
        <v>0</v>
      </c>
      <c r="M54" s="9">
        <v>0</v>
      </c>
      <c r="N54" s="9">
        <v>0</v>
      </c>
      <c r="O54" s="9">
        <v>88</v>
      </c>
      <c r="P54" s="9">
        <v>88</v>
      </c>
      <c r="Q54" s="9">
        <v>110</v>
      </c>
      <c r="R54" s="9">
        <v>88</v>
      </c>
      <c r="S54" s="9">
        <v>110</v>
      </c>
      <c r="T54" s="9">
        <v>88</v>
      </c>
      <c r="U54" s="9">
        <v>88</v>
      </c>
      <c r="V54" s="9">
        <v>110</v>
      </c>
      <c r="W54" s="9">
        <v>88</v>
      </c>
      <c r="X54" s="9">
        <v>88</v>
      </c>
      <c r="Y54" s="9">
        <v>110</v>
      </c>
      <c r="Z54" s="9">
        <v>88</v>
      </c>
      <c r="AA54" s="9">
        <v>88</v>
      </c>
      <c r="AB54" s="9">
        <v>110</v>
      </c>
      <c r="AC54" s="9">
        <v>88</v>
      </c>
      <c r="AE54" s="6">
        <v>0</v>
      </c>
      <c r="AF54" s="6">
        <v>0</v>
      </c>
      <c r="AG54" s="6">
        <v>0</v>
      </c>
      <c r="AH54" s="6">
        <v>912.56</v>
      </c>
      <c r="AI54" s="6">
        <v>912.56</v>
      </c>
      <c r="AJ54" s="6">
        <v>1140.6999999999998</v>
      </c>
      <c r="AK54" s="6">
        <v>912.56</v>
      </c>
      <c r="AL54" s="6">
        <v>1140.6999999999998</v>
      </c>
      <c r="AM54" s="6">
        <v>912.56</v>
      </c>
      <c r="AN54" s="6">
        <v>912.56</v>
      </c>
      <c r="AO54" s="6">
        <v>1140.6999999999998</v>
      </c>
      <c r="AP54" s="6">
        <v>912.56</v>
      </c>
      <c r="AQ54" s="6">
        <v>912.56</v>
      </c>
      <c r="AR54" s="6">
        <v>1140.6999999999998</v>
      </c>
      <c r="AS54" s="6">
        <v>912.56</v>
      </c>
      <c r="AT54" s="6">
        <v>912.56</v>
      </c>
      <c r="AU54" s="6">
        <v>1140.6999999999998</v>
      </c>
      <c r="AV54" s="6">
        <v>912.56</v>
      </c>
      <c r="AW54" s="93" t="str">
        <f>IF('PFM NON-SELL (Draft Layers)'!AW273="X","X"," ")</f>
        <v>X</v>
      </c>
      <c r="AX54" s="76" t="str">
        <f>IF('PFM NON-SELL (Draft Layers)'!AX273="X","X"," ")</f>
        <v xml:space="preserve"> </v>
      </c>
      <c r="AY54" s="76" t="str">
        <f>IF('PFM NON-SELL (Draft Layers)'!AY273="X","X"," ")</f>
        <v xml:space="preserve"> </v>
      </c>
      <c r="AZ54" s="76" t="str">
        <f>IF('PFM NON-SELL (Draft Layers)'!AZ273="X","X"," ")</f>
        <v xml:space="preserve"> </v>
      </c>
      <c r="BA54" s="76" t="str">
        <f>IF('PFM NON-SELL (Draft Layers)'!BA273="X","X"," ")</f>
        <v xml:space="preserve"> </v>
      </c>
      <c r="BB54" s="76" t="str">
        <f>IF('PFM NON-SELL (Draft Layers)'!BB273="X","X"," ")</f>
        <v xml:space="preserve"> </v>
      </c>
      <c r="BC54" s="76" t="str">
        <f>IF('PFM NON-SELL (Draft Layers)'!BC273="X","X"," ")</f>
        <v xml:space="preserve"> </v>
      </c>
      <c r="BD54" s="76" t="str">
        <f>IF('PFM NON-SELL (Draft Layers)'!BD273="X","X"," ")</f>
        <v xml:space="preserve"> </v>
      </c>
      <c r="BE54" s="76" t="str">
        <f>IF('PFM NON-SELL (Draft Layers)'!BE273="X","X"," ")</f>
        <v xml:space="preserve"> </v>
      </c>
      <c r="BF54" s="76" t="str">
        <f>IF('PFM NON-SELL (Draft Layers)'!BF273="X","X"," ")</f>
        <v xml:space="preserve"> </v>
      </c>
      <c r="BG54" s="76" t="str">
        <f>IF('PFM NON-SELL (Draft Layers)'!BG273="X","X"," ")</f>
        <v xml:space="preserve"> </v>
      </c>
      <c r="BH54" s="76" t="str">
        <f>IF('PFM NON-SELL (Draft Layers)'!BH273="X","X"," ")</f>
        <v xml:space="preserve"> </v>
      </c>
      <c r="BI54" s="76" t="str">
        <f>IF('PFM NON-SELL (Draft Layers)'!BI273="X","X"," ")</f>
        <v xml:space="preserve"> </v>
      </c>
      <c r="BJ54" s="76" t="str">
        <f>IF('PFM NON-SELL (Draft Layers)'!BJ273="X","X"," ")</f>
        <v xml:space="preserve"> </v>
      </c>
      <c r="BK54" s="76" t="str">
        <f>IF('PFM NON-SELL (Draft Layers)'!BK273="X","X"," ")</f>
        <v xml:space="preserve"> </v>
      </c>
      <c r="BL54" s="76" t="str">
        <f>IF('PFM NON-SELL (Draft Layers)'!BM273="X","X"," ")</f>
        <v xml:space="preserve"> </v>
      </c>
      <c r="BM54" s="76" t="str">
        <f>IF('PFM NON-SELL (Draft Layers)'!BN273="X","X"," ")</f>
        <v xml:space="preserve"> </v>
      </c>
      <c r="BN54" s="76" t="str">
        <f>IF('PFM NON-SELL (Draft Layers)'!BO273="X","X"," ")</f>
        <v>X</v>
      </c>
      <c r="BO54" s="94" t="str">
        <f>IF('PFM NON-SELL (Draft Layers)'!BP273="X","X"," ")</f>
        <v>X</v>
      </c>
      <c r="BP54" s="76" t="str">
        <f>IF('PFM NON-SELL (Draft Layers)'!BQ273="X","X"," ")</f>
        <v xml:space="preserve"> </v>
      </c>
      <c r="BQ54" s="76" t="str">
        <f>IF('PFM NON-SELL (Draft Layers)'!BR273="X","X"," ")</f>
        <v xml:space="preserve"> </v>
      </c>
      <c r="BR54" s="76" t="str">
        <f>IF('PFM NON-SELL (Draft Layers)'!BS273="X","X"," ")</f>
        <v xml:space="preserve"> </v>
      </c>
      <c r="BS54" s="76" t="str">
        <f>IF('PFM NON-SELL (Draft Layers)'!BT273="X","X"," ")</f>
        <v xml:space="preserve"> </v>
      </c>
      <c r="BT54" s="76" t="str">
        <f>IF('PFM NON-SELL (Draft Layers)'!BU273="X","X"," ")</f>
        <v xml:space="preserve"> </v>
      </c>
      <c r="BU54" s="76" t="str">
        <f>IF('PFM NON-SELL (Draft Layers)'!BV273="X","X"," ")</f>
        <v xml:space="preserve"> </v>
      </c>
      <c r="BV54" s="76" t="str">
        <f>IF('PFM NON-SELL (Draft Layers)'!BW273="X","X"," ")</f>
        <v xml:space="preserve"> </v>
      </c>
      <c r="BW54" s="76" t="str">
        <f>IF('PFM NON-SELL (Draft Layers)'!BY273="X","X"," ")</f>
        <v xml:space="preserve"> </v>
      </c>
      <c r="BX54" s="76" t="str">
        <f>IF('PFM NON-SELL (Draft Layers)'!BZ273="X","X"," ")</f>
        <v xml:space="preserve"> </v>
      </c>
      <c r="BY54" s="76" t="str">
        <f>IF('PFM NON-SELL (Draft Layers)'!CA273="X","X"," ")</f>
        <v xml:space="preserve"> </v>
      </c>
      <c r="BZ54" s="76" t="str">
        <f>IF('PFM NON-SELL (Draft Layers)'!CB273="X","X"," ")</f>
        <v xml:space="preserve"> </v>
      </c>
      <c r="CA54" s="76" t="str">
        <f>IF('PFM NON-SELL (Draft Layers)'!CC273="X","X"," ")</f>
        <v xml:space="preserve"> </v>
      </c>
      <c r="CB54" s="76" t="str">
        <f>IF('PFM NON-SELL (Draft Layers)'!CD273="X","X"," ")</f>
        <v xml:space="preserve"> </v>
      </c>
      <c r="CC54" s="76" t="str">
        <f>IF('PFM NON-SELL (Draft Layers)'!CE273="X","X"," ")</f>
        <v xml:space="preserve"> </v>
      </c>
      <c r="CD54" s="76" t="str">
        <f>IF('PFM NON-SELL (Draft Layers)'!CF273="X","X"," ")</f>
        <v xml:space="preserve"> </v>
      </c>
      <c r="CE54" s="76" t="str">
        <f>IF('PFM NON-SELL (Draft Layers)'!CG273="X","X"," ")</f>
        <v xml:space="preserve"> </v>
      </c>
      <c r="CF54" s="76" t="str">
        <f>IF('PFM NON-SELL (Draft Layers)'!CH273="X","X"," ")</f>
        <v xml:space="preserve"> </v>
      </c>
      <c r="CG54" s="76" t="str">
        <f>IF('PFM NON-SELL (Draft Layers)'!CI273="X","X"," ")</f>
        <v xml:space="preserve"> </v>
      </c>
      <c r="CH54" s="76" t="str">
        <f>IF('PFM NON-SELL (Draft Layers)'!CJ273="X","X"," ")</f>
        <v xml:space="preserve"> </v>
      </c>
      <c r="CI54" s="76" t="str">
        <f>IF('PFM NON-SELL (Draft Layers)'!CN273="X","X"," ")</f>
        <v xml:space="preserve"> </v>
      </c>
      <c r="CJ54" s="76" t="str">
        <f>IF('PFM NON-SELL (Draft Layers)'!CO273="X","X"," ")</f>
        <v xml:space="preserve"> </v>
      </c>
      <c r="CK54" s="76" t="str">
        <f>IF('PFM NON-SELL (Draft Layers)'!CP273="X","X"," ")</f>
        <v xml:space="preserve"> </v>
      </c>
      <c r="CL54" s="76" t="str">
        <f>IF('PFM NON-SELL (Draft Layers)'!CQ273="X","X"," ")</f>
        <v xml:space="preserve"> </v>
      </c>
      <c r="CM54" s="76" t="str">
        <f>IF('PFM NON-SELL (Draft Layers)'!CV273="X","X"," ")</f>
        <v xml:space="preserve"> </v>
      </c>
      <c r="CN54" s="76" t="str">
        <f>IF('PFM NON-SELL (Draft Layers)'!CW273="X","X"," ")</f>
        <v xml:space="preserve"> </v>
      </c>
      <c r="CO54" s="76" t="str">
        <f>IF('PFM NON-SELL (Draft Layers)'!CX273="X","X"," ")</f>
        <v xml:space="preserve"> </v>
      </c>
      <c r="CP54" s="76" t="str">
        <f>IF('PFM NON-SELL (Draft Layers)'!CY273="X","X"," ")</f>
        <v xml:space="preserve"> </v>
      </c>
      <c r="CQ54" s="76" t="str">
        <f>IF('PFM NON-SELL (Draft Layers)'!CZ273="X","X"," ")</f>
        <v xml:space="preserve"> </v>
      </c>
      <c r="CR54" s="76" t="str">
        <f>IF('PFM NON-SELL (Draft Layers)'!DA273="X","X"," ")</f>
        <v xml:space="preserve"> </v>
      </c>
      <c r="CS54" s="76" t="str">
        <f>IF('PFM NON-SELL (Draft Layers)'!DB273="X","X"," ")</f>
        <v xml:space="preserve"> </v>
      </c>
      <c r="CT54" s="76" t="str">
        <f>IF('PFM NON-SELL (Draft Layers)'!DC273="X","X"," ")</f>
        <v xml:space="preserve"> </v>
      </c>
      <c r="CU54" s="76" t="str">
        <f>IF('PFM NON-SELL (Draft Layers)'!DD273="X","X"," ")</f>
        <v xml:space="preserve"> </v>
      </c>
      <c r="CV54" s="76" t="str">
        <f>IF('PFM NON-SELL (Draft Layers)'!DE273="X","X"," ")</f>
        <v xml:space="preserve"> </v>
      </c>
      <c r="CW54" s="76" t="str">
        <f>IF('PFM NON-SELL (Draft Layers)'!DF273="X","X"," ")</f>
        <v xml:space="preserve"> </v>
      </c>
      <c r="CX54" s="76" t="str">
        <f>IF('PFM NON-SELL (Draft Layers)'!DG273="X","X"," ")</f>
        <v xml:space="preserve"> </v>
      </c>
      <c r="CY54" s="96" t="str">
        <f>IF('PFM NON-SELL (Draft Layers)'!DH273="X","X"," ")</f>
        <v>X</v>
      </c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95"/>
      <c r="DO54" s="90">
        <f t="shared" si="13"/>
        <v>4</v>
      </c>
      <c r="DP54" s="21"/>
      <c r="DQ54" s="21"/>
    </row>
    <row r="55" spans="1:121" x14ac:dyDescent="0.3">
      <c r="A55" s="4" t="s">
        <v>126</v>
      </c>
      <c r="B55" s="4" t="s">
        <v>238</v>
      </c>
      <c r="C55" s="4" t="s">
        <v>245</v>
      </c>
      <c r="D55" s="4" t="s">
        <v>246</v>
      </c>
      <c r="E55" s="12">
        <v>3.2</v>
      </c>
      <c r="F55" s="34">
        <f t="shared" si="7"/>
        <v>1651.2</v>
      </c>
      <c r="G55" s="28">
        <f t="shared" si="8"/>
        <v>516</v>
      </c>
      <c r="H55" s="28">
        <f t="shared" si="9"/>
        <v>43</v>
      </c>
      <c r="I55" s="26">
        <f t="shared" si="10"/>
        <v>844.80000000000007</v>
      </c>
      <c r="J55" s="24">
        <f t="shared" si="11"/>
        <v>264</v>
      </c>
      <c r="K55" s="31">
        <f t="shared" si="12"/>
        <v>53</v>
      </c>
      <c r="L55" s="9">
        <v>0</v>
      </c>
      <c r="M55" s="9">
        <v>0</v>
      </c>
      <c r="N55" s="9">
        <v>0</v>
      </c>
      <c r="O55" s="9">
        <v>48</v>
      </c>
      <c r="P55" s="9">
        <v>48</v>
      </c>
      <c r="Q55" s="9">
        <v>60</v>
      </c>
      <c r="R55" s="9">
        <v>48</v>
      </c>
      <c r="S55" s="9">
        <v>60</v>
      </c>
      <c r="T55" s="9">
        <v>48</v>
      </c>
      <c r="U55" s="9">
        <v>48</v>
      </c>
      <c r="V55" s="9">
        <v>60</v>
      </c>
      <c r="W55" s="9">
        <v>48</v>
      </c>
      <c r="X55" s="9">
        <v>48</v>
      </c>
      <c r="Y55" s="9">
        <v>60</v>
      </c>
      <c r="Z55" s="9">
        <v>48</v>
      </c>
      <c r="AA55" s="9">
        <v>48</v>
      </c>
      <c r="AB55" s="9">
        <v>60</v>
      </c>
      <c r="AC55" s="9">
        <v>48</v>
      </c>
      <c r="AE55" s="6">
        <v>0</v>
      </c>
      <c r="AF55" s="6">
        <v>0</v>
      </c>
      <c r="AG55" s="6">
        <v>0</v>
      </c>
      <c r="AH55" s="6">
        <v>153.60000000000002</v>
      </c>
      <c r="AI55" s="6">
        <v>153.60000000000002</v>
      </c>
      <c r="AJ55" s="6">
        <v>192</v>
      </c>
      <c r="AK55" s="6">
        <v>153.60000000000002</v>
      </c>
      <c r="AL55" s="6">
        <v>192</v>
      </c>
      <c r="AM55" s="6">
        <v>153.60000000000002</v>
      </c>
      <c r="AN55" s="6">
        <v>153.60000000000002</v>
      </c>
      <c r="AO55" s="6">
        <v>192</v>
      </c>
      <c r="AP55" s="6">
        <v>153.60000000000002</v>
      </c>
      <c r="AQ55" s="6">
        <v>153.60000000000002</v>
      </c>
      <c r="AR55" s="6">
        <v>192</v>
      </c>
      <c r="AS55" s="6">
        <v>153.60000000000002</v>
      </c>
      <c r="AT55" s="6">
        <v>153.60000000000002</v>
      </c>
      <c r="AU55" s="6">
        <v>192</v>
      </c>
      <c r="AV55" s="6">
        <v>153.60000000000002</v>
      </c>
      <c r="AW55" s="93" t="s">
        <v>833</v>
      </c>
      <c r="AX55" s="76" t="s">
        <v>833</v>
      </c>
      <c r="AY55" s="76" t="s">
        <v>631</v>
      </c>
      <c r="AZ55" s="76" t="s">
        <v>833</v>
      </c>
      <c r="BA55" s="76" t="s">
        <v>833</v>
      </c>
      <c r="BB55" s="76" t="s">
        <v>833</v>
      </c>
      <c r="BC55" s="76" t="s">
        <v>833</v>
      </c>
      <c r="BD55" s="76" t="s">
        <v>833</v>
      </c>
      <c r="BE55" s="76" t="s">
        <v>833</v>
      </c>
      <c r="BF55" s="76" t="s">
        <v>833</v>
      </c>
      <c r="BG55" s="76" t="s">
        <v>833</v>
      </c>
      <c r="BH55" s="76" t="s">
        <v>833</v>
      </c>
      <c r="BI55" s="76" t="s">
        <v>833</v>
      </c>
      <c r="BJ55" s="76" t="s">
        <v>833</v>
      </c>
      <c r="BK55" s="76" t="s">
        <v>833</v>
      </c>
      <c r="BL55" s="76" t="s">
        <v>833</v>
      </c>
      <c r="BM55" s="76" t="s">
        <v>833</v>
      </c>
      <c r="BN55" s="76" t="s">
        <v>631</v>
      </c>
      <c r="BO55" s="94" t="s">
        <v>631</v>
      </c>
      <c r="BP55" s="76" t="s">
        <v>833</v>
      </c>
      <c r="BQ55" s="76" t="s">
        <v>833</v>
      </c>
      <c r="BR55" s="76" t="s">
        <v>833</v>
      </c>
      <c r="BS55" s="76" t="s">
        <v>833</v>
      </c>
      <c r="BT55" s="76" t="s">
        <v>833</v>
      </c>
      <c r="BU55" s="76" t="s">
        <v>833</v>
      </c>
      <c r="BV55" s="76" t="s">
        <v>833</v>
      </c>
      <c r="BW55" s="76" t="s">
        <v>833</v>
      </c>
      <c r="BX55" s="76" t="s">
        <v>833</v>
      </c>
      <c r="BY55" s="76" t="s">
        <v>833</v>
      </c>
      <c r="BZ55" s="76" t="s">
        <v>833</v>
      </c>
      <c r="CA55" s="76" t="s">
        <v>833</v>
      </c>
      <c r="CB55" s="76" t="s">
        <v>833</v>
      </c>
      <c r="CC55" s="76" t="s">
        <v>833</v>
      </c>
      <c r="CD55" s="76" t="s">
        <v>833</v>
      </c>
      <c r="CE55" s="76" t="s">
        <v>833</v>
      </c>
      <c r="CF55" s="76" t="s">
        <v>833</v>
      </c>
      <c r="CG55" s="76" t="s">
        <v>833</v>
      </c>
      <c r="CH55" s="76" t="s">
        <v>833</v>
      </c>
      <c r="CI55" s="76" t="s">
        <v>833</v>
      </c>
      <c r="CJ55" s="76" t="s">
        <v>833</v>
      </c>
      <c r="CK55" s="76" t="s">
        <v>833</v>
      </c>
      <c r="CL55" s="76" t="s">
        <v>833</v>
      </c>
      <c r="CM55" s="76" t="s">
        <v>833</v>
      </c>
      <c r="CN55" s="76" t="s">
        <v>833</v>
      </c>
      <c r="CO55" s="76" t="s">
        <v>833</v>
      </c>
      <c r="CP55" s="76" t="s">
        <v>833</v>
      </c>
      <c r="CQ55" s="76" t="s">
        <v>833</v>
      </c>
      <c r="CR55" s="76" t="s">
        <v>833</v>
      </c>
      <c r="CS55" s="76" t="s">
        <v>833</v>
      </c>
      <c r="CT55" s="76" t="s">
        <v>833</v>
      </c>
      <c r="CU55" s="76" t="s">
        <v>833</v>
      </c>
      <c r="CV55" s="76" t="s">
        <v>833</v>
      </c>
      <c r="CW55" s="76" t="s">
        <v>833</v>
      </c>
      <c r="CX55" s="76" t="s">
        <v>833</v>
      </c>
      <c r="CY55" s="96" t="s">
        <v>631</v>
      </c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95"/>
      <c r="DO55" s="90">
        <f t="shared" si="13"/>
        <v>4</v>
      </c>
      <c r="DP55" s="21"/>
      <c r="DQ55" s="21"/>
    </row>
    <row r="56" spans="1:121" x14ac:dyDescent="0.3">
      <c r="A56" s="4" t="s">
        <v>126</v>
      </c>
      <c r="B56" s="4" t="s">
        <v>238</v>
      </c>
      <c r="C56" s="4" t="s">
        <v>247</v>
      </c>
      <c r="D56" s="4" t="s">
        <v>248</v>
      </c>
      <c r="E56" s="12">
        <v>183.26</v>
      </c>
      <c r="F56" s="34">
        <f t="shared" si="7"/>
        <v>70921.62</v>
      </c>
      <c r="G56" s="28">
        <f t="shared" si="8"/>
        <v>387</v>
      </c>
      <c r="H56" s="28">
        <f t="shared" si="9"/>
        <v>33</v>
      </c>
      <c r="I56" s="26">
        <f t="shared" si="10"/>
        <v>36285.479999999996</v>
      </c>
      <c r="J56" s="24">
        <f t="shared" si="11"/>
        <v>198</v>
      </c>
      <c r="K56" s="31">
        <f t="shared" si="12"/>
        <v>40</v>
      </c>
      <c r="L56" s="9">
        <v>0</v>
      </c>
      <c r="M56" s="9">
        <v>0</v>
      </c>
      <c r="N56" s="9">
        <v>0</v>
      </c>
      <c r="O56" s="9">
        <v>36</v>
      </c>
      <c r="P56" s="9">
        <v>36</v>
      </c>
      <c r="Q56" s="9">
        <v>45</v>
      </c>
      <c r="R56" s="9">
        <v>36</v>
      </c>
      <c r="S56" s="9">
        <v>45</v>
      </c>
      <c r="T56" s="9">
        <v>36</v>
      </c>
      <c r="U56" s="9">
        <v>36</v>
      </c>
      <c r="V56" s="9">
        <v>45</v>
      </c>
      <c r="W56" s="9">
        <v>36</v>
      </c>
      <c r="X56" s="9">
        <v>36</v>
      </c>
      <c r="Y56" s="9">
        <v>45</v>
      </c>
      <c r="Z56" s="9">
        <v>36</v>
      </c>
      <c r="AA56" s="9">
        <v>36</v>
      </c>
      <c r="AB56" s="9">
        <v>45</v>
      </c>
      <c r="AC56" s="9">
        <v>36</v>
      </c>
      <c r="AE56" s="6">
        <v>0</v>
      </c>
      <c r="AF56" s="6">
        <v>0</v>
      </c>
      <c r="AG56" s="6">
        <v>0</v>
      </c>
      <c r="AH56" s="6">
        <v>6597.36</v>
      </c>
      <c r="AI56" s="6">
        <v>6597.36</v>
      </c>
      <c r="AJ56" s="6">
        <v>8246.6999999999989</v>
      </c>
      <c r="AK56" s="6">
        <v>6597.36</v>
      </c>
      <c r="AL56" s="6">
        <v>8246.6999999999989</v>
      </c>
      <c r="AM56" s="6">
        <v>6597.36</v>
      </c>
      <c r="AN56" s="6">
        <v>6597.36</v>
      </c>
      <c r="AO56" s="6">
        <v>8246.6999999999989</v>
      </c>
      <c r="AP56" s="6">
        <v>6597.36</v>
      </c>
      <c r="AQ56" s="6">
        <v>6597.36</v>
      </c>
      <c r="AR56" s="6">
        <v>8246.6999999999989</v>
      </c>
      <c r="AS56" s="6">
        <v>6597.36</v>
      </c>
      <c r="AT56" s="6">
        <v>6597.36</v>
      </c>
      <c r="AU56" s="6">
        <v>8246.6999999999989</v>
      </c>
      <c r="AV56" s="6">
        <v>6597.36</v>
      </c>
      <c r="AW56" s="93" t="s">
        <v>631</v>
      </c>
      <c r="AX56" s="76" t="s">
        <v>833</v>
      </c>
      <c r="AY56" s="76" t="s">
        <v>833</v>
      </c>
      <c r="AZ56" s="76" t="s">
        <v>833</v>
      </c>
      <c r="BA56" s="76" t="s">
        <v>631</v>
      </c>
      <c r="BB56" s="76" t="s">
        <v>631</v>
      </c>
      <c r="BC56" s="76" t="s">
        <v>833</v>
      </c>
      <c r="BD56" s="76" t="s">
        <v>833</v>
      </c>
      <c r="BE56" s="76" t="s">
        <v>833</v>
      </c>
      <c r="BF56" s="76" t="s">
        <v>833</v>
      </c>
      <c r="BG56" s="76" t="s">
        <v>833</v>
      </c>
      <c r="BH56" s="76" t="s">
        <v>833</v>
      </c>
      <c r="BI56" s="76" t="s">
        <v>833</v>
      </c>
      <c r="BJ56" s="76" t="s">
        <v>833</v>
      </c>
      <c r="BK56" s="76" t="s">
        <v>833</v>
      </c>
      <c r="BL56" s="76" t="s">
        <v>833</v>
      </c>
      <c r="BM56" s="76" t="s">
        <v>833</v>
      </c>
      <c r="BN56" s="76" t="s">
        <v>631</v>
      </c>
      <c r="BO56" s="94" t="s">
        <v>631</v>
      </c>
      <c r="BP56" s="76" t="s">
        <v>833</v>
      </c>
      <c r="BQ56" s="76" t="s">
        <v>833</v>
      </c>
      <c r="BR56" s="76" t="s">
        <v>833</v>
      </c>
      <c r="BS56" s="76" t="s">
        <v>833</v>
      </c>
      <c r="BT56" s="76" t="s">
        <v>833</v>
      </c>
      <c r="BU56" s="76" t="s">
        <v>833</v>
      </c>
      <c r="BV56" s="76" t="s">
        <v>833</v>
      </c>
      <c r="BW56" s="76" t="s">
        <v>833</v>
      </c>
      <c r="BX56" s="76" t="s">
        <v>833</v>
      </c>
      <c r="BY56" s="76" t="s">
        <v>833</v>
      </c>
      <c r="BZ56" s="76" t="s">
        <v>833</v>
      </c>
      <c r="CA56" s="76" t="s">
        <v>833</v>
      </c>
      <c r="CB56" s="76" t="s">
        <v>833</v>
      </c>
      <c r="CC56" s="76" t="s">
        <v>833</v>
      </c>
      <c r="CD56" s="76" t="s">
        <v>833</v>
      </c>
      <c r="CE56" s="76" t="s">
        <v>833</v>
      </c>
      <c r="CF56" s="76" t="s">
        <v>833</v>
      </c>
      <c r="CG56" s="76" t="s">
        <v>833</v>
      </c>
      <c r="CH56" s="76" t="s">
        <v>833</v>
      </c>
      <c r="CI56" s="76" t="s">
        <v>833</v>
      </c>
      <c r="CJ56" s="76" t="s">
        <v>833</v>
      </c>
      <c r="CK56" s="76" t="s">
        <v>833</v>
      </c>
      <c r="CL56" s="76" t="s">
        <v>833</v>
      </c>
      <c r="CM56" s="76" t="s">
        <v>833</v>
      </c>
      <c r="CN56" s="76" t="s">
        <v>833</v>
      </c>
      <c r="CO56" s="76" t="s">
        <v>833</v>
      </c>
      <c r="CP56" s="76" t="s">
        <v>833</v>
      </c>
      <c r="CQ56" s="76" t="s">
        <v>833</v>
      </c>
      <c r="CR56" s="76" t="s">
        <v>833</v>
      </c>
      <c r="CS56" s="76" t="s">
        <v>833</v>
      </c>
      <c r="CT56" s="76" t="s">
        <v>833</v>
      </c>
      <c r="CU56" s="76" t="s">
        <v>833</v>
      </c>
      <c r="CV56" s="76" t="s">
        <v>833</v>
      </c>
      <c r="CW56" s="76" t="s">
        <v>833</v>
      </c>
      <c r="CX56" s="76" t="s">
        <v>631</v>
      </c>
      <c r="CY56" s="76" t="s">
        <v>631</v>
      </c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95"/>
      <c r="DO56" s="90">
        <f t="shared" si="13"/>
        <v>7</v>
      </c>
      <c r="DP56" s="21"/>
      <c r="DQ56" s="21"/>
    </row>
    <row r="57" spans="1:121" x14ac:dyDescent="0.3">
      <c r="A57" s="4" t="s">
        <v>126</v>
      </c>
      <c r="B57" s="4" t="s">
        <v>238</v>
      </c>
      <c r="C57" s="4" t="s">
        <v>250</v>
      </c>
      <c r="D57" s="4" t="s">
        <v>251</v>
      </c>
      <c r="E57" s="12">
        <v>10.98</v>
      </c>
      <c r="F57" s="34">
        <f t="shared" si="7"/>
        <v>10859.220000000001</v>
      </c>
      <c r="G57" s="28">
        <f t="shared" si="8"/>
        <v>989</v>
      </c>
      <c r="H57" s="28">
        <f t="shared" si="9"/>
        <v>83</v>
      </c>
      <c r="I57" s="26">
        <f t="shared" si="10"/>
        <v>5555.88</v>
      </c>
      <c r="J57" s="24">
        <f t="shared" si="11"/>
        <v>506</v>
      </c>
      <c r="K57" s="31">
        <f t="shared" si="12"/>
        <v>102</v>
      </c>
      <c r="L57" s="9">
        <v>0</v>
      </c>
      <c r="M57" s="9">
        <v>0</v>
      </c>
      <c r="N57" s="9">
        <v>0</v>
      </c>
      <c r="O57" s="9">
        <v>92</v>
      </c>
      <c r="P57" s="9">
        <v>92</v>
      </c>
      <c r="Q57" s="9">
        <v>115</v>
      </c>
      <c r="R57" s="9">
        <v>92</v>
      </c>
      <c r="S57" s="9">
        <v>115</v>
      </c>
      <c r="T57" s="9">
        <v>92</v>
      </c>
      <c r="U57" s="9">
        <v>92</v>
      </c>
      <c r="V57" s="9">
        <v>115</v>
      </c>
      <c r="W57" s="9">
        <v>92</v>
      </c>
      <c r="X57" s="9">
        <v>92</v>
      </c>
      <c r="Y57" s="9">
        <v>115</v>
      </c>
      <c r="Z57" s="9">
        <v>92</v>
      </c>
      <c r="AA57" s="9">
        <v>92</v>
      </c>
      <c r="AB57" s="9">
        <v>115</v>
      </c>
      <c r="AC57" s="9">
        <v>92</v>
      </c>
      <c r="AE57" s="6">
        <v>0</v>
      </c>
      <c r="AF57" s="6">
        <v>0</v>
      </c>
      <c r="AG57" s="6">
        <v>0</v>
      </c>
      <c r="AH57" s="6">
        <v>980.72</v>
      </c>
      <c r="AI57" s="6">
        <v>980.72</v>
      </c>
      <c r="AJ57" s="6">
        <v>1225.9000000000001</v>
      </c>
      <c r="AK57" s="6">
        <v>980.72</v>
      </c>
      <c r="AL57" s="6">
        <v>1225.9000000000001</v>
      </c>
      <c r="AM57" s="6">
        <v>980.72</v>
      </c>
      <c r="AN57" s="6">
        <v>980.72</v>
      </c>
      <c r="AO57" s="6">
        <v>1225.9000000000001</v>
      </c>
      <c r="AP57" s="6">
        <v>980.72</v>
      </c>
      <c r="AQ57" s="6">
        <v>980.72</v>
      </c>
      <c r="AR57" s="6">
        <v>1225.9000000000001</v>
      </c>
      <c r="AS57" s="6">
        <v>980.72</v>
      </c>
      <c r="AT57" s="6">
        <v>980.72</v>
      </c>
      <c r="AU57" s="6">
        <v>1225.9000000000001</v>
      </c>
      <c r="AV57" s="6">
        <v>980.72</v>
      </c>
      <c r="AW57" s="93" t="s">
        <v>833</v>
      </c>
      <c r="AX57" s="76" t="s">
        <v>833</v>
      </c>
      <c r="AY57" s="76" t="s">
        <v>833</v>
      </c>
      <c r="AZ57" s="76" t="s">
        <v>833</v>
      </c>
      <c r="BA57" s="76" t="s">
        <v>631</v>
      </c>
      <c r="BB57" s="76" t="s">
        <v>631</v>
      </c>
      <c r="BC57" s="76" t="s">
        <v>833</v>
      </c>
      <c r="BD57" s="76" t="s">
        <v>833</v>
      </c>
      <c r="BE57" s="76" t="s">
        <v>833</v>
      </c>
      <c r="BF57" s="76" t="s">
        <v>833</v>
      </c>
      <c r="BG57" s="76" t="s">
        <v>833</v>
      </c>
      <c r="BH57" s="76" t="s">
        <v>833</v>
      </c>
      <c r="BI57" s="76" t="s">
        <v>833</v>
      </c>
      <c r="BJ57" s="76" t="s">
        <v>833</v>
      </c>
      <c r="BK57" s="76" t="s">
        <v>833</v>
      </c>
      <c r="BL57" s="76" t="s">
        <v>833</v>
      </c>
      <c r="BM57" s="76" t="s">
        <v>833</v>
      </c>
      <c r="BN57" s="76" t="s">
        <v>631</v>
      </c>
      <c r="BO57" s="76" t="s">
        <v>833</v>
      </c>
      <c r="BP57" s="76" t="s">
        <v>833</v>
      </c>
      <c r="BQ57" s="76" t="s">
        <v>833</v>
      </c>
      <c r="BR57" s="76" t="s">
        <v>833</v>
      </c>
      <c r="BS57" s="76" t="s">
        <v>833</v>
      </c>
      <c r="BT57" s="76" t="s">
        <v>833</v>
      </c>
      <c r="BU57" s="76" t="s">
        <v>833</v>
      </c>
      <c r="BV57" s="76" t="s">
        <v>833</v>
      </c>
      <c r="BW57" s="76" t="s">
        <v>833</v>
      </c>
      <c r="BX57" s="76" t="s">
        <v>833</v>
      </c>
      <c r="BY57" s="76" t="s">
        <v>833</v>
      </c>
      <c r="BZ57" s="76" t="s">
        <v>833</v>
      </c>
      <c r="CA57" s="76" t="s">
        <v>833</v>
      </c>
      <c r="CB57" s="76" t="s">
        <v>833</v>
      </c>
      <c r="CC57" s="76" t="s">
        <v>833</v>
      </c>
      <c r="CD57" s="76" t="s">
        <v>833</v>
      </c>
      <c r="CE57" s="76" t="s">
        <v>833</v>
      </c>
      <c r="CF57" s="76" t="s">
        <v>833</v>
      </c>
      <c r="CG57" s="76" t="s">
        <v>833</v>
      </c>
      <c r="CH57" s="76" t="s">
        <v>833</v>
      </c>
      <c r="CI57" s="76" t="s">
        <v>833</v>
      </c>
      <c r="CJ57" s="76" t="s">
        <v>833</v>
      </c>
      <c r="CK57" s="76" t="s">
        <v>833</v>
      </c>
      <c r="CL57" s="76" t="s">
        <v>833</v>
      </c>
      <c r="CM57" s="76" t="s">
        <v>833</v>
      </c>
      <c r="CN57" s="76" t="s">
        <v>833</v>
      </c>
      <c r="CO57" s="76" t="s">
        <v>833</v>
      </c>
      <c r="CP57" s="76" t="s">
        <v>833</v>
      </c>
      <c r="CQ57" s="76" t="s">
        <v>833</v>
      </c>
      <c r="CR57" s="76" t="s">
        <v>833</v>
      </c>
      <c r="CS57" s="76" t="s">
        <v>833</v>
      </c>
      <c r="CT57" s="76" t="s">
        <v>833</v>
      </c>
      <c r="CU57" s="76" t="s">
        <v>833</v>
      </c>
      <c r="CV57" s="76" t="s">
        <v>833</v>
      </c>
      <c r="CW57" s="76" t="s">
        <v>833</v>
      </c>
      <c r="CX57" s="76" t="s">
        <v>631</v>
      </c>
      <c r="CY57" s="96" t="s">
        <v>631</v>
      </c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95"/>
      <c r="DO57" s="90">
        <f t="shared" si="13"/>
        <v>5</v>
      </c>
      <c r="DP57" s="21"/>
      <c r="DQ57" s="21"/>
    </row>
    <row r="58" spans="1:121" x14ac:dyDescent="0.3">
      <c r="A58" s="4" t="s">
        <v>126</v>
      </c>
      <c r="B58" s="4" t="s">
        <v>238</v>
      </c>
      <c r="C58" s="4" t="s">
        <v>254</v>
      </c>
      <c r="D58" s="4" t="s">
        <v>255</v>
      </c>
      <c r="E58" s="12">
        <v>5.34</v>
      </c>
      <c r="F58" s="34">
        <f t="shared" si="7"/>
        <v>26406.3</v>
      </c>
      <c r="G58" s="28">
        <f t="shared" si="8"/>
        <v>4945</v>
      </c>
      <c r="H58" s="28">
        <f t="shared" si="9"/>
        <v>413</v>
      </c>
      <c r="I58" s="26">
        <f t="shared" si="10"/>
        <v>13510.199999999999</v>
      </c>
      <c r="J58" s="24">
        <f t="shared" si="11"/>
        <v>2530</v>
      </c>
      <c r="K58" s="31">
        <f t="shared" si="12"/>
        <v>506</v>
      </c>
      <c r="L58" s="9">
        <v>0</v>
      </c>
      <c r="M58" s="9">
        <v>0</v>
      </c>
      <c r="N58" s="9">
        <v>0</v>
      </c>
      <c r="O58" s="9">
        <v>460</v>
      </c>
      <c r="P58" s="9">
        <v>460</v>
      </c>
      <c r="Q58" s="9">
        <v>575</v>
      </c>
      <c r="R58" s="9">
        <v>460</v>
      </c>
      <c r="S58" s="9">
        <v>575</v>
      </c>
      <c r="T58" s="9">
        <v>460</v>
      </c>
      <c r="U58" s="9">
        <v>460</v>
      </c>
      <c r="V58" s="9">
        <v>575</v>
      </c>
      <c r="W58" s="9">
        <v>460</v>
      </c>
      <c r="X58" s="9">
        <v>460</v>
      </c>
      <c r="Y58" s="9">
        <v>575</v>
      </c>
      <c r="Z58" s="9">
        <v>460</v>
      </c>
      <c r="AA58" s="9">
        <v>460</v>
      </c>
      <c r="AB58" s="9">
        <v>575</v>
      </c>
      <c r="AC58" s="9">
        <v>460</v>
      </c>
      <c r="AE58" s="6">
        <v>0</v>
      </c>
      <c r="AF58" s="6">
        <v>0</v>
      </c>
      <c r="AG58" s="6">
        <v>0</v>
      </c>
      <c r="AH58" s="6">
        <v>2456.4</v>
      </c>
      <c r="AI58" s="6">
        <v>2456.4</v>
      </c>
      <c r="AJ58" s="6">
        <v>3070.5</v>
      </c>
      <c r="AK58" s="6">
        <v>2456.4</v>
      </c>
      <c r="AL58" s="6">
        <v>3070.5</v>
      </c>
      <c r="AM58" s="6">
        <v>2456.4</v>
      </c>
      <c r="AN58" s="6">
        <v>2456.4</v>
      </c>
      <c r="AO58" s="6">
        <v>3070.5</v>
      </c>
      <c r="AP58" s="6">
        <v>2456.4</v>
      </c>
      <c r="AQ58" s="6">
        <v>2456.4</v>
      </c>
      <c r="AR58" s="6">
        <v>3070.5</v>
      </c>
      <c r="AS58" s="6">
        <v>2456.4</v>
      </c>
      <c r="AT58" s="6">
        <v>2456.4</v>
      </c>
      <c r="AU58" s="6">
        <v>3070.5</v>
      </c>
      <c r="AV58" s="6">
        <v>2456.4</v>
      </c>
      <c r="AW58" s="93" t="s">
        <v>833</v>
      </c>
      <c r="AX58" s="76" t="s">
        <v>833</v>
      </c>
      <c r="AY58" s="76" t="s">
        <v>833</v>
      </c>
      <c r="AZ58" s="76" t="s">
        <v>833</v>
      </c>
      <c r="BA58" s="76" t="s">
        <v>833</v>
      </c>
      <c r="BB58" s="76" t="s">
        <v>631</v>
      </c>
      <c r="BC58" s="76" t="s">
        <v>833</v>
      </c>
      <c r="BD58" s="76" t="s">
        <v>833</v>
      </c>
      <c r="BE58" s="76" t="s">
        <v>833</v>
      </c>
      <c r="BF58" s="76" t="s">
        <v>833</v>
      </c>
      <c r="BG58" s="76" t="s">
        <v>833</v>
      </c>
      <c r="BH58" s="76" t="s">
        <v>833</v>
      </c>
      <c r="BI58" s="76" t="s">
        <v>833</v>
      </c>
      <c r="BJ58" s="76" t="s">
        <v>833</v>
      </c>
      <c r="BK58" s="76" t="s">
        <v>833</v>
      </c>
      <c r="BL58" s="76" t="s">
        <v>833</v>
      </c>
      <c r="BM58" s="76" t="s">
        <v>833</v>
      </c>
      <c r="BN58" s="76" t="s">
        <v>631</v>
      </c>
      <c r="BO58" s="76" t="s">
        <v>833</v>
      </c>
      <c r="BP58" s="76" t="s">
        <v>833</v>
      </c>
      <c r="BQ58" s="76" t="s">
        <v>833</v>
      </c>
      <c r="BR58" s="76" t="s">
        <v>833</v>
      </c>
      <c r="BS58" s="76" t="s">
        <v>833</v>
      </c>
      <c r="BT58" s="76" t="s">
        <v>833</v>
      </c>
      <c r="BU58" s="76" t="s">
        <v>833</v>
      </c>
      <c r="BV58" s="76" t="s">
        <v>833</v>
      </c>
      <c r="BW58" s="76" t="s">
        <v>833</v>
      </c>
      <c r="BX58" s="76" t="s">
        <v>833</v>
      </c>
      <c r="BY58" s="76" t="s">
        <v>833</v>
      </c>
      <c r="BZ58" s="76" t="s">
        <v>833</v>
      </c>
      <c r="CA58" s="76" t="s">
        <v>833</v>
      </c>
      <c r="CB58" s="76" t="s">
        <v>833</v>
      </c>
      <c r="CC58" s="76" t="s">
        <v>833</v>
      </c>
      <c r="CD58" s="76" t="s">
        <v>833</v>
      </c>
      <c r="CE58" s="76" t="s">
        <v>833</v>
      </c>
      <c r="CF58" s="76" t="s">
        <v>833</v>
      </c>
      <c r="CG58" s="76" t="s">
        <v>833</v>
      </c>
      <c r="CH58" s="76" t="s">
        <v>833</v>
      </c>
      <c r="CI58" s="76" t="s">
        <v>833</v>
      </c>
      <c r="CJ58" s="76" t="s">
        <v>833</v>
      </c>
      <c r="CK58" s="76" t="s">
        <v>833</v>
      </c>
      <c r="CL58" s="76" t="s">
        <v>833</v>
      </c>
      <c r="CM58" s="76" t="s">
        <v>833</v>
      </c>
      <c r="CN58" s="76" t="s">
        <v>833</v>
      </c>
      <c r="CO58" s="76" t="s">
        <v>833</v>
      </c>
      <c r="CP58" s="76" t="s">
        <v>833</v>
      </c>
      <c r="CQ58" s="76" t="s">
        <v>833</v>
      </c>
      <c r="CR58" s="76" t="s">
        <v>833</v>
      </c>
      <c r="CS58" s="76" t="s">
        <v>833</v>
      </c>
      <c r="CT58" s="76" t="s">
        <v>833</v>
      </c>
      <c r="CU58" s="76" t="s">
        <v>833</v>
      </c>
      <c r="CV58" s="76" t="s">
        <v>833</v>
      </c>
      <c r="CW58" s="76" t="s">
        <v>833</v>
      </c>
      <c r="CX58" s="76" t="s">
        <v>631</v>
      </c>
      <c r="CY58" s="96" t="s">
        <v>631</v>
      </c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95"/>
      <c r="DO58" s="90">
        <f t="shared" si="13"/>
        <v>4</v>
      </c>
      <c r="DP58" s="21"/>
      <c r="DQ58" s="21"/>
    </row>
    <row r="59" spans="1:121" x14ac:dyDescent="0.3">
      <c r="A59" s="4" t="s">
        <v>126</v>
      </c>
      <c r="B59" s="4" t="s">
        <v>238</v>
      </c>
      <c r="C59" s="4" t="s">
        <v>260</v>
      </c>
      <c r="D59" s="4" t="s">
        <v>261</v>
      </c>
      <c r="E59" s="12">
        <v>31.58</v>
      </c>
      <c r="F59" s="34">
        <f t="shared" si="7"/>
        <v>184900.9</v>
      </c>
      <c r="G59" s="28">
        <f t="shared" si="8"/>
        <v>5855</v>
      </c>
      <c r="H59" s="28">
        <f t="shared" si="9"/>
        <v>488</v>
      </c>
      <c r="I59" s="26">
        <f t="shared" si="10"/>
        <v>63917.919999999998</v>
      </c>
      <c r="J59" s="24">
        <f t="shared" si="11"/>
        <v>2024</v>
      </c>
      <c r="K59" s="31">
        <f t="shared" si="12"/>
        <v>405</v>
      </c>
      <c r="L59" s="9">
        <v>339</v>
      </c>
      <c r="M59" s="9">
        <v>600</v>
      </c>
      <c r="N59" s="9">
        <v>600</v>
      </c>
      <c r="O59" s="9">
        <v>600</v>
      </c>
      <c r="P59" s="9">
        <v>600</v>
      </c>
      <c r="Q59" s="9">
        <v>695</v>
      </c>
      <c r="R59" s="9">
        <v>368</v>
      </c>
      <c r="S59" s="9">
        <v>460</v>
      </c>
      <c r="T59" s="9">
        <v>368</v>
      </c>
      <c r="U59" s="9">
        <v>368</v>
      </c>
      <c r="V59" s="9">
        <v>460</v>
      </c>
      <c r="W59" s="9">
        <v>368</v>
      </c>
      <c r="X59" s="9">
        <v>368</v>
      </c>
      <c r="Y59" s="9">
        <v>460</v>
      </c>
      <c r="Z59" s="9">
        <v>368</v>
      </c>
      <c r="AA59" s="9">
        <v>368</v>
      </c>
      <c r="AB59" s="9">
        <v>460</v>
      </c>
      <c r="AC59" s="9">
        <v>368</v>
      </c>
      <c r="AE59" s="6">
        <v>9488.61</v>
      </c>
      <c r="AF59" s="6">
        <v>16794</v>
      </c>
      <c r="AG59" s="6">
        <v>16794</v>
      </c>
      <c r="AH59" s="6">
        <v>18828</v>
      </c>
      <c r="AI59" s="6">
        <v>18828</v>
      </c>
      <c r="AJ59" s="6">
        <v>21809.1</v>
      </c>
      <c r="AK59" s="6">
        <v>11547.84</v>
      </c>
      <c r="AL59" s="6">
        <v>14434.8</v>
      </c>
      <c r="AM59" s="6">
        <v>10734.560000000001</v>
      </c>
      <c r="AN59" s="6">
        <v>10734.560000000001</v>
      </c>
      <c r="AO59" s="6">
        <v>13418.2</v>
      </c>
      <c r="AP59" s="6">
        <v>10734.560000000001</v>
      </c>
      <c r="AQ59" s="6">
        <v>10734.560000000001</v>
      </c>
      <c r="AR59" s="6">
        <v>13418.2</v>
      </c>
      <c r="AS59" s="6">
        <v>10734.560000000001</v>
      </c>
      <c r="AT59" s="6">
        <v>10734.560000000001</v>
      </c>
      <c r="AU59" s="6">
        <v>13418.2</v>
      </c>
      <c r="AV59" s="6">
        <v>10734.560000000001</v>
      </c>
      <c r="AW59" s="93" t="s">
        <v>833</v>
      </c>
      <c r="AX59" s="76" t="s">
        <v>833</v>
      </c>
      <c r="AY59" s="76" t="s">
        <v>833</v>
      </c>
      <c r="AZ59" s="76" t="s">
        <v>833</v>
      </c>
      <c r="BA59" s="76" t="s">
        <v>631</v>
      </c>
      <c r="BB59" s="76" t="s">
        <v>631</v>
      </c>
      <c r="BC59" s="76" t="s">
        <v>833</v>
      </c>
      <c r="BD59" s="76" t="s">
        <v>833</v>
      </c>
      <c r="BE59" s="76" t="s">
        <v>833</v>
      </c>
      <c r="BF59" s="76" t="s">
        <v>833</v>
      </c>
      <c r="BG59" s="76" t="s">
        <v>833</v>
      </c>
      <c r="BH59" s="76" t="s">
        <v>833</v>
      </c>
      <c r="BI59" s="76" t="s">
        <v>833</v>
      </c>
      <c r="BJ59" s="76" t="s">
        <v>631</v>
      </c>
      <c r="BK59" s="76" t="s">
        <v>833</v>
      </c>
      <c r="BL59" s="76" t="s">
        <v>833</v>
      </c>
      <c r="BM59" s="76" t="s">
        <v>833</v>
      </c>
      <c r="BN59" s="76" t="s">
        <v>833</v>
      </c>
      <c r="BO59" s="94" t="s">
        <v>631</v>
      </c>
      <c r="BP59" s="76" t="s">
        <v>833</v>
      </c>
      <c r="BQ59" s="76" t="s">
        <v>833</v>
      </c>
      <c r="BR59" s="76" t="s">
        <v>833</v>
      </c>
      <c r="BS59" s="76" t="s">
        <v>833</v>
      </c>
      <c r="BT59" s="76" t="s">
        <v>833</v>
      </c>
      <c r="BU59" s="76" t="s">
        <v>833</v>
      </c>
      <c r="BV59" s="76" t="s">
        <v>833</v>
      </c>
      <c r="BW59" s="76" t="s">
        <v>833</v>
      </c>
      <c r="BX59" s="76" t="s">
        <v>833</v>
      </c>
      <c r="BY59" s="76" t="s">
        <v>833</v>
      </c>
      <c r="BZ59" s="76" t="s">
        <v>833</v>
      </c>
      <c r="CA59" s="76" t="s">
        <v>833</v>
      </c>
      <c r="CB59" s="76" t="s">
        <v>833</v>
      </c>
      <c r="CC59" s="76" t="s">
        <v>833</v>
      </c>
      <c r="CD59" s="76" t="s">
        <v>833</v>
      </c>
      <c r="CE59" s="76" t="s">
        <v>833</v>
      </c>
      <c r="CF59" s="76" t="s">
        <v>631</v>
      </c>
      <c r="CG59" s="94" t="s">
        <v>631</v>
      </c>
      <c r="CH59" s="76" t="s">
        <v>833</v>
      </c>
      <c r="CI59" s="76" t="s">
        <v>833</v>
      </c>
      <c r="CJ59" s="76" t="s">
        <v>833</v>
      </c>
      <c r="CK59" s="76" t="s">
        <v>833</v>
      </c>
      <c r="CL59" s="76" t="s">
        <v>833</v>
      </c>
      <c r="CM59" s="76" t="s">
        <v>833</v>
      </c>
      <c r="CN59" s="76" t="s">
        <v>833</v>
      </c>
      <c r="CO59" s="76" t="s">
        <v>833</v>
      </c>
      <c r="CP59" s="76" t="s">
        <v>833</v>
      </c>
      <c r="CQ59" s="76" t="s">
        <v>833</v>
      </c>
      <c r="CR59" s="76" t="s">
        <v>833</v>
      </c>
      <c r="CS59" s="76" t="s">
        <v>833</v>
      </c>
      <c r="CT59" s="76" t="s">
        <v>833</v>
      </c>
      <c r="CU59" s="76" t="s">
        <v>833</v>
      </c>
      <c r="CV59" s="76" t="s">
        <v>833</v>
      </c>
      <c r="CW59" s="76" t="s">
        <v>833</v>
      </c>
      <c r="CX59" s="76" t="s">
        <v>631</v>
      </c>
      <c r="CY59" s="96" t="s">
        <v>631</v>
      </c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95"/>
      <c r="DO59" s="90">
        <f t="shared" si="13"/>
        <v>8</v>
      </c>
      <c r="DP59" s="21"/>
      <c r="DQ59" s="21"/>
    </row>
    <row r="60" spans="1:121" x14ac:dyDescent="0.3">
      <c r="A60" s="4" t="s">
        <v>126</v>
      </c>
      <c r="B60" s="4" t="s">
        <v>264</v>
      </c>
      <c r="C60" s="4" t="s">
        <v>265</v>
      </c>
      <c r="D60" s="4" t="s">
        <v>266</v>
      </c>
      <c r="E60" s="12">
        <v>13.2</v>
      </c>
      <c r="F60" s="34">
        <f t="shared" si="7"/>
        <v>115830</v>
      </c>
      <c r="G60" s="28">
        <f t="shared" si="8"/>
        <v>8775</v>
      </c>
      <c r="H60" s="28">
        <f t="shared" si="9"/>
        <v>732</v>
      </c>
      <c r="I60" s="26">
        <f t="shared" si="10"/>
        <v>65340</v>
      </c>
      <c r="J60" s="24">
        <f t="shared" si="11"/>
        <v>4950</v>
      </c>
      <c r="K60" s="31">
        <f t="shared" si="12"/>
        <v>990</v>
      </c>
      <c r="L60" s="9">
        <v>500</v>
      </c>
      <c r="M60" s="9">
        <v>0</v>
      </c>
      <c r="N60" s="9">
        <v>0</v>
      </c>
      <c r="O60" s="9">
        <v>0</v>
      </c>
      <c r="P60" s="9">
        <v>900</v>
      </c>
      <c r="Q60" s="9">
        <v>1125</v>
      </c>
      <c r="R60" s="9">
        <v>900</v>
      </c>
      <c r="S60" s="9">
        <v>1125</v>
      </c>
      <c r="T60" s="9">
        <v>900</v>
      </c>
      <c r="U60" s="9">
        <v>900</v>
      </c>
      <c r="V60" s="9">
        <v>1125</v>
      </c>
      <c r="W60" s="9">
        <v>900</v>
      </c>
      <c r="X60" s="9">
        <v>900</v>
      </c>
      <c r="Y60" s="9">
        <v>1125</v>
      </c>
      <c r="Z60" s="9">
        <v>900</v>
      </c>
      <c r="AA60" s="9">
        <v>900</v>
      </c>
      <c r="AB60" s="9">
        <v>1125</v>
      </c>
      <c r="AC60" s="9">
        <v>900</v>
      </c>
      <c r="AE60" s="6">
        <v>6600</v>
      </c>
      <c r="AF60" s="6">
        <v>0</v>
      </c>
      <c r="AG60" s="6">
        <v>0</v>
      </c>
      <c r="AH60" s="6">
        <v>0</v>
      </c>
      <c r="AI60" s="6">
        <v>11880</v>
      </c>
      <c r="AJ60" s="6">
        <v>14850</v>
      </c>
      <c r="AK60" s="6">
        <v>11880</v>
      </c>
      <c r="AL60" s="6">
        <v>14850</v>
      </c>
      <c r="AM60" s="6">
        <v>11880</v>
      </c>
      <c r="AN60" s="6">
        <v>11880</v>
      </c>
      <c r="AO60" s="6">
        <v>14850</v>
      </c>
      <c r="AP60" s="6">
        <v>11880</v>
      </c>
      <c r="AQ60" s="6">
        <v>11880</v>
      </c>
      <c r="AR60" s="6">
        <v>14850</v>
      </c>
      <c r="AS60" s="6">
        <v>11880</v>
      </c>
      <c r="AT60" s="6">
        <v>11880</v>
      </c>
      <c r="AU60" s="6">
        <v>14850</v>
      </c>
      <c r="AV60" s="6">
        <v>11880</v>
      </c>
      <c r="AW60" s="93" t="s">
        <v>631</v>
      </c>
      <c r="AX60" s="76" t="s">
        <v>833</v>
      </c>
      <c r="AY60" s="76" t="s">
        <v>833</v>
      </c>
      <c r="AZ60" s="76" t="s">
        <v>833</v>
      </c>
      <c r="BA60" s="76" t="s">
        <v>833</v>
      </c>
      <c r="BB60" s="76" t="s">
        <v>833</v>
      </c>
      <c r="BC60" s="76" t="s">
        <v>833</v>
      </c>
      <c r="BD60" s="76" t="s">
        <v>833</v>
      </c>
      <c r="BE60" s="76" t="s">
        <v>833</v>
      </c>
      <c r="BF60" s="76" t="s">
        <v>833</v>
      </c>
      <c r="BG60" s="76" t="s">
        <v>833</v>
      </c>
      <c r="BH60" s="76" t="s">
        <v>833</v>
      </c>
      <c r="BI60" s="76" t="s">
        <v>833</v>
      </c>
      <c r="BJ60" s="76" t="s">
        <v>833</v>
      </c>
      <c r="BK60" s="76" t="s">
        <v>833</v>
      </c>
      <c r="BL60" s="76" t="s">
        <v>833</v>
      </c>
      <c r="BM60" s="76" t="s">
        <v>833</v>
      </c>
      <c r="BN60" s="76" t="s">
        <v>833</v>
      </c>
      <c r="BO60" s="94" t="s">
        <v>631</v>
      </c>
      <c r="BP60" s="76" t="s">
        <v>833</v>
      </c>
      <c r="BQ60" s="76" t="s">
        <v>833</v>
      </c>
      <c r="BR60" s="76" t="s">
        <v>833</v>
      </c>
      <c r="BS60" s="76" t="s">
        <v>833</v>
      </c>
      <c r="BT60" s="76" t="s">
        <v>833</v>
      </c>
      <c r="BU60" s="76" t="s">
        <v>833</v>
      </c>
      <c r="BV60" s="76" t="s">
        <v>833</v>
      </c>
      <c r="BW60" s="76" t="s">
        <v>833</v>
      </c>
      <c r="BX60" s="76" t="s">
        <v>833</v>
      </c>
      <c r="BY60" s="76" t="s">
        <v>833</v>
      </c>
      <c r="BZ60" s="76" t="s">
        <v>833</v>
      </c>
      <c r="CA60" s="76" t="s">
        <v>833</v>
      </c>
      <c r="CB60" s="76" t="s">
        <v>833</v>
      </c>
      <c r="CC60" s="76" t="s">
        <v>833</v>
      </c>
      <c r="CD60" s="76" t="s">
        <v>833</v>
      </c>
      <c r="CE60" s="76" t="s">
        <v>833</v>
      </c>
      <c r="CF60" s="76" t="s">
        <v>833</v>
      </c>
      <c r="CG60" s="76" t="s">
        <v>833</v>
      </c>
      <c r="CH60" s="76" t="s">
        <v>833</v>
      </c>
      <c r="CI60" s="76" t="s">
        <v>833</v>
      </c>
      <c r="CJ60" s="76" t="s">
        <v>833</v>
      </c>
      <c r="CK60" s="76" t="s">
        <v>833</v>
      </c>
      <c r="CL60" s="76" t="s">
        <v>833</v>
      </c>
      <c r="CM60" s="76" t="s">
        <v>833</v>
      </c>
      <c r="CN60" s="76" t="s">
        <v>833</v>
      </c>
      <c r="CO60" s="76" t="s">
        <v>833</v>
      </c>
      <c r="CP60" s="76" t="s">
        <v>833</v>
      </c>
      <c r="CQ60" s="76" t="s">
        <v>833</v>
      </c>
      <c r="CR60" s="76" t="s">
        <v>833</v>
      </c>
      <c r="CS60" s="76" t="s">
        <v>833</v>
      </c>
      <c r="CT60" s="76" t="s">
        <v>833</v>
      </c>
      <c r="CU60" s="76" t="s">
        <v>833</v>
      </c>
      <c r="CV60" s="76" t="s">
        <v>833</v>
      </c>
      <c r="CW60" s="76" t="s">
        <v>833</v>
      </c>
      <c r="CX60" s="76" t="s">
        <v>631</v>
      </c>
      <c r="CY60" s="96" t="s">
        <v>631</v>
      </c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95"/>
      <c r="DO60" s="90">
        <f t="shared" si="13"/>
        <v>4</v>
      </c>
      <c r="DP60" s="21"/>
      <c r="DQ60" s="21"/>
    </row>
    <row r="61" spans="1:121" x14ac:dyDescent="0.3">
      <c r="A61" s="4" t="s">
        <v>126</v>
      </c>
      <c r="B61" s="4" t="s">
        <v>264</v>
      </c>
      <c r="C61" s="4" t="s">
        <v>267</v>
      </c>
      <c r="D61" s="4" t="s">
        <v>268</v>
      </c>
      <c r="E61" s="12">
        <v>193.82</v>
      </c>
      <c r="F61" s="34">
        <f t="shared" si="7"/>
        <v>2156635.14</v>
      </c>
      <c r="G61" s="28">
        <f t="shared" si="8"/>
        <v>11127</v>
      </c>
      <c r="H61" s="28">
        <f t="shared" si="9"/>
        <v>928</v>
      </c>
      <c r="I61" s="26">
        <f t="shared" si="10"/>
        <v>919482.08</v>
      </c>
      <c r="J61" s="24">
        <f t="shared" si="11"/>
        <v>4744</v>
      </c>
      <c r="K61" s="31">
        <f t="shared" si="12"/>
        <v>949</v>
      </c>
      <c r="L61" s="9">
        <v>249</v>
      </c>
      <c r="M61" s="9">
        <v>1000</v>
      </c>
      <c r="N61" s="9">
        <v>900</v>
      </c>
      <c r="O61" s="9">
        <v>400</v>
      </c>
      <c r="P61" s="9">
        <v>800</v>
      </c>
      <c r="Q61" s="9">
        <v>1000</v>
      </c>
      <c r="R61" s="9">
        <v>1000</v>
      </c>
      <c r="S61" s="9">
        <v>1155</v>
      </c>
      <c r="T61" s="9">
        <v>1000</v>
      </c>
      <c r="U61" s="9">
        <v>1000</v>
      </c>
      <c r="V61" s="9">
        <v>1040</v>
      </c>
      <c r="W61" s="9">
        <v>832</v>
      </c>
      <c r="X61" s="9">
        <v>1000</v>
      </c>
      <c r="Y61" s="9">
        <v>1040</v>
      </c>
      <c r="Z61" s="9">
        <v>832</v>
      </c>
      <c r="AA61" s="9">
        <v>1000</v>
      </c>
      <c r="AB61" s="9">
        <v>1040</v>
      </c>
      <c r="AC61" s="9">
        <v>832</v>
      </c>
      <c r="AE61" s="6">
        <v>48261.18</v>
      </c>
      <c r="AF61" s="6">
        <v>193820</v>
      </c>
      <c r="AG61" s="6">
        <v>174438</v>
      </c>
      <c r="AH61" s="6">
        <v>77528</v>
      </c>
      <c r="AI61" s="6">
        <v>155056</v>
      </c>
      <c r="AJ61" s="6">
        <v>193000</v>
      </c>
      <c r="AK61" s="6">
        <v>193820</v>
      </c>
      <c r="AL61" s="6">
        <v>223862.1</v>
      </c>
      <c r="AM61" s="6">
        <v>193820</v>
      </c>
      <c r="AN61" s="6">
        <v>193820</v>
      </c>
      <c r="AO61" s="6">
        <v>201572.8</v>
      </c>
      <c r="AP61" s="6">
        <v>161258.23999999999</v>
      </c>
      <c r="AQ61" s="6">
        <v>193820</v>
      </c>
      <c r="AR61" s="6">
        <v>201572.8</v>
      </c>
      <c r="AS61" s="6">
        <v>161258.23999999999</v>
      </c>
      <c r="AT61" s="6">
        <v>193820</v>
      </c>
      <c r="AU61" s="6">
        <v>201572.8</v>
      </c>
      <c r="AV61" s="6">
        <v>161258.23999999999</v>
      </c>
      <c r="AW61" s="93" t="s">
        <v>833</v>
      </c>
      <c r="AX61" s="76" t="s">
        <v>631</v>
      </c>
      <c r="AY61" s="76" t="s">
        <v>833</v>
      </c>
      <c r="AZ61" s="76" t="s">
        <v>833</v>
      </c>
      <c r="BA61" s="76" t="s">
        <v>833</v>
      </c>
      <c r="BB61" s="76" t="s">
        <v>833</v>
      </c>
      <c r="BC61" s="76" t="s">
        <v>833</v>
      </c>
      <c r="BD61" s="76" t="s">
        <v>833</v>
      </c>
      <c r="BE61" s="76" t="s">
        <v>833</v>
      </c>
      <c r="BF61" s="76" t="s">
        <v>833</v>
      </c>
      <c r="BG61" s="76" t="s">
        <v>833</v>
      </c>
      <c r="BH61" s="76" t="s">
        <v>833</v>
      </c>
      <c r="BI61" s="76" t="s">
        <v>833</v>
      </c>
      <c r="BJ61" s="76" t="s">
        <v>833</v>
      </c>
      <c r="BK61" s="76" t="s">
        <v>833</v>
      </c>
      <c r="BL61" s="76" t="s">
        <v>833</v>
      </c>
      <c r="BM61" s="76" t="s">
        <v>833</v>
      </c>
      <c r="BN61" s="76" t="s">
        <v>631</v>
      </c>
      <c r="BO61" s="94" t="s">
        <v>631</v>
      </c>
      <c r="BP61" s="76" t="s">
        <v>833</v>
      </c>
      <c r="BQ61" s="76" t="s">
        <v>833</v>
      </c>
      <c r="BR61" s="76" t="s">
        <v>833</v>
      </c>
      <c r="BS61" s="76" t="s">
        <v>833</v>
      </c>
      <c r="BT61" s="76" t="s">
        <v>833</v>
      </c>
      <c r="BU61" s="76" t="s">
        <v>833</v>
      </c>
      <c r="BV61" s="76" t="s">
        <v>833</v>
      </c>
      <c r="BW61" s="76" t="s">
        <v>833</v>
      </c>
      <c r="BX61" s="76" t="s">
        <v>833</v>
      </c>
      <c r="BY61" s="76" t="s">
        <v>833</v>
      </c>
      <c r="BZ61" s="76" t="s">
        <v>833</v>
      </c>
      <c r="CA61" s="76" t="s">
        <v>833</v>
      </c>
      <c r="CB61" s="76" t="s">
        <v>833</v>
      </c>
      <c r="CC61" s="76" t="s">
        <v>833</v>
      </c>
      <c r="CD61" s="76" t="s">
        <v>833</v>
      </c>
      <c r="CE61" s="76" t="s">
        <v>833</v>
      </c>
      <c r="CF61" s="76" t="s">
        <v>833</v>
      </c>
      <c r="CG61" s="76" t="s">
        <v>833</v>
      </c>
      <c r="CH61" s="76" t="s">
        <v>833</v>
      </c>
      <c r="CI61" s="76" t="s">
        <v>833</v>
      </c>
      <c r="CJ61" s="76" t="s">
        <v>833</v>
      </c>
      <c r="CK61" s="76" t="s">
        <v>833</v>
      </c>
      <c r="CL61" s="76" t="s">
        <v>833</v>
      </c>
      <c r="CM61" s="76" t="s">
        <v>833</v>
      </c>
      <c r="CN61" s="76" t="s">
        <v>833</v>
      </c>
      <c r="CO61" s="76" t="s">
        <v>833</v>
      </c>
      <c r="CP61" s="76" t="s">
        <v>833</v>
      </c>
      <c r="CQ61" s="76" t="s">
        <v>833</v>
      </c>
      <c r="CR61" s="76" t="s">
        <v>833</v>
      </c>
      <c r="CS61" s="76" t="s">
        <v>833</v>
      </c>
      <c r="CT61" s="76" t="s">
        <v>833</v>
      </c>
      <c r="CU61" s="76" t="s">
        <v>833</v>
      </c>
      <c r="CV61" s="76" t="s">
        <v>833</v>
      </c>
      <c r="CW61" s="76" t="s">
        <v>833</v>
      </c>
      <c r="CX61" s="76" t="s">
        <v>631</v>
      </c>
      <c r="CY61" s="96" t="s">
        <v>631</v>
      </c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95"/>
      <c r="DO61" s="90">
        <f t="shared" si="13"/>
        <v>5</v>
      </c>
      <c r="DP61" s="21"/>
      <c r="DQ61" s="21"/>
    </row>
    <row r="62" spans="1:121" x14ac:dyDescent="0.3">
      <c r="A62" s="4" t="s">
        <v>126</v>
      </c>
      <c r="B62" s="4" t="s">
        <v>271</v>
      </c>
      <c r="C62" s="4" t="s">
        <v>280</v>
      </c>
      <c r="D62" s="4" t="s">
        <v>281</v>
      </c>
      <c r="E62" s="12">
        <v>17.41</v>
      </c>
      <c r="F62" s="34">
        <f t="shared" si="7"/>
        <v>2089.1999999999998</v>
      </c>
      <c r="G62" s="28">
        <f t="shared" si="8"/>
        <v>120</v>
      </c>
      <c r="H62" s="28">
        <f t="shared" si="9"/>
        <v>10</v>
      </c>
      <c r="I62" s="26">
        <f t="shared" si="10"/>
        <v>0</v>
      </c>
      <c r="J62" s="24">
        <f t="shared" si="11"/>
        <v>0</v>
      </c>
      <c r="K62" s="31">
        <f t="shared" si="12"/>
        <v>0</v>
      </c>
      <c r="L62" s="9">
        <v>0</v>
      </c>
      <c r="M62" s="9">
        <v>120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E62" s="6">
        <v>0</v>
      </c>
      <c r="AF62" s="6">
        <v>2089.1999999999998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93" t="s">
        <v>631</v>
      </c>
      <c r="AX62" s="76" t="s">
        <v>631</v>
      </c>
      <c r="AY62" s="76" t="s">
        <v>833</v>
      </c>
      <c r="AZ62" s="76" t="s">
        <v>833</v>
      </c>
      <c r="BA62" s="76" t="s">
        <v>833</v>
      </c>
      <c r="BB62" s="76" t="s">
        <v>833</v>
      </c>
      <c r="BC62" s="76" t="s">
        <v>833</v>
      </c>
      <c r="BD62" s="76" t="s">
        <v>833</v>
      </c>
      <c r="BE62" s="76" t="s">
        <v>833</v>
      </c>
      <c r="BF62" s="76" t="s">
        <v>833</v>
      </c>
      <c r="BG62" s="76" t="s">
        <v>833</v>
      </c>
      <c r="BH62" s="76" t="s">
        <v>833</v>
      </c>
      <c r="BI62" s="76" t="s">
        <v>833</v>
      </c>
      <c r="BJ62" s="76" t="s">
        <v>833</v>
      </c>
      <c r="BK62" s="76" t="s">
        <v>833</v>
      </c>
      <c r="BL62" s="76" t="s">
        <v>833</v>
      </c>
      <c r="BM62" s="76" t="s">
        <v>833</v>
      </c>
      <c r="BN62" s="76" t="s">
        <v>631</v>
      </c>
      <c r="BO62" s="94" t="s">
        <v>631</v>
      </c>
      <c r="BP62" s="76" t="s">
        <v>833</v>
      </c>
      <c r="BQ62" s="76" t="s">
        <v>833</v>
      </c>
      <c r="BR62" s="76" t="s">
        <v>833</v>
      </c>
      <c r="BS62" s="76" t="s">
        <v>833</v>
      </c>
      <c r="BT62" s="76" t="s">
        <v>833</v>
      </c>
      <c r="BU62" s="76" t="s">
        <v>833</v>
      </c>
      <c r="BV62" s="76" t="s">
        <v>833</v>
      </c>
      <c r="BW62" s="76" t="s">
        <v>833</v>
      </c>
      <c r="BX62" s="76" t="s">
        <v>833</v>
      </c>
      <c r="BY62" s="76" t="s">
        <v>833</v>
      </c>
      <c r="BZ62" s="76" t="s">
        <v>833</v>
      </c>
      <c r="CA62" s="76" t="s">
        <v>833</v>
      </c>
      <c r="CB62" s="76" t="s">
        <v>833</v>
      </c>
      <c r="CC62" s="76" t="s">
        <v>833</v>
      </c>
      <c r="CD62" s="76" t="s">
        <v>833</v>
      </c>
      <c r="CE62" s="76" t="s">
        <v>833</v>
      </c>
      <c r="CF62" s="76" t="s">
        <v>833</v>
      </c>
      <c r="CG62" s="76" t="s">
        <v>833</v>
      </c>
      <c r="CH62" s="76" t="s">
        <v>833</v>
      </c>
      <c r="CI62" s="76" t="s">
        <v>833</v>
      </c>
      <c r="CJ62" s="76" t="s">
        <v>833</v>
      </c>
      <c r="CK62" s="76" t="s">
        <v>833</v>
      </c>
      <c r="CL62" s="76" t="s">
        <v>833</v>
      </c>
      <c r="CM62" s="76" t="s">
        <v>833</v>
      </c>
      <c r="CN62" s="76" t="s">
        <v>833</v>
      </c>
      <c r="CO62" s="76" t="s">
        <v>833</v>
      </c>
      <c r="CP62" s="76" t="s">
        <v>833</v>
      </c>
      <c r="CQ62" s="76" t="s">
        <v>833</v>
      </c>
      <c r="CR62" s="76" t="s">
        <v>833</v>
      </c>
      <c r="CS62" s="76" t="s">
        <v>833</v>
      </c>
      <c r="CT62" s="76" t="s">
        <v>833</v>
      </c>
      <c r="CU62" s="76" t="s">
        <v>833</v>
      </c>
      <c r="CV62" s="76" t="s">
        <v>833</v>
      </c>
      <c r="CW62" s="76" t="s">
        <v>833</v>
      </c>
      <c r="CX62" s="76" t="s">
        <v>631</v>
      </c>
      <c r="CY62" s="96" t="s">
        <v>631</v>
      </c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95"/>
      <c r="DO62" s="90">
        <f t="shared" si="13"/>
        <v>6</v>
      </c>
      <c r="DP62" s="21"/>
      <c r="DQ62" s="21"/>
    </row>
    <row r="63" spans="1:121" x14ac:dyDescent="0.3">
      <c r="A63" s="4" t="s">
        <v>126</v>
      </c>
      <c r="B63" s="4" t="s">
        <v>282</v>
      </c>
      <c r="C63" s="4" t="s">
        <v>283</v>
      </c>
      <c r="D63" s="4" t="s">
        <v>277</v>
      </c>
      <c r="E63" s="12">
        <v>18.25</v>
      </c>
      <c r="F63" s="34">
        <f t="shared" si="7"/>
        <v>164414.25</v>
      </c>
      <c r="G63" s="28">
        <f t="shared" si="8"/>
        <v>9009</v>
      </c>
      <c r="H63" s="28">
        <f t="shared" si="9"/>
        <v>751</v>
      </c>
      <c r="I63" s="26">
        <f t="shared" si="10"/>
        <v>92746.5</v>
      </c>
      <c r="J63" s="24">
        <f t="shared" si="11"/>
        <v>5082</v>
      </c>
      <c r="K63" s="31">
        <f t="shared" si="12"/>
        <v>1017</v>
      </c>
      <c r="L63" s="9">
        <v>1000</v>
      </c>
      <c r="M63" s="9">
        <v>0</v>
      </c>
      <c r="N63" s="9">
        <v>0</v>
      </c>
      <c r="O63" s="9">
        <v>0</v>
      </c>
      <c r="P63" s="9">
        <v>924</v>
      </c>
      <c r="Q63" s="9">
        <v>1155</v>
      </c>
      <c r="R63" s="9">
        <v>924</v>
      </c>
      <c r="S63" s="9">
        <v>1155</v>
      </c>
      <c r="T63" s="9">
        <v>924</v>
      </c>
      <c r="U63" s="9">
        <v>924</v>
      </c>
      <c r="V63" s="9">
        <v>1155</v>
      </c>
      <c r="W63" s="9">
        <v>924</v>
      </c>
      <c r="X63" s="9">
        <v>924</v>
      </c>
      <c r="Y63" s="9">
        <v>1155</v>
      </c>
      <c r="Z63" s="9">
        <v>924</v>
      </c>
      <c r="AA63" s="9">
        <v>924</v>
      </c>
      <c r="AB63" s="9">
        <v>1155</v>
      </c>
      <c r="AC63" s="9">
        <v>924</v>
      </c>
      <c r="AE63" s="6">
        <v>16850</v>
      </c>
      <c r="AF63" s="6">
        <v>0</v>
      </c>
      <c r="AG63" s="6">
        <v>0</v>
      </c>
      <c r="AH63" s="6">
        <v>0</v>
      </c>
      <c r="AI63" s="6">
        <v>15855.84</v>
      </c>
      <c r="AJ63" s="6">
        <v>19819.8</v>
      </c>
      <c r="AK63" s="6">
        <v>15855.84</v>
      </c>
      <c r="AL63" s="6">
        <v>19461.75</v>
      </c>
      <c r="AM63" s="6">
        <v>15569.400000000001</v>
      </c>
      <c r="AN63" s="6">
        <v>15569.400000000001</v>
      </c>
      <c r="AO63" s="6">
        <v>19461.75</v>
      </c>
      <c r="AP63" s="6">
        <v>15569.400000000001</v>
      </c>
      <c r="AQ63" s="6">
        <v>15569.400000000001</v>
      </c>
      <c r="AR63" s="6">
        <v>19461.75</v>
      </c>
      <c r="AS63" s="6">
        <v>15569.400000000001</v>
      </c>
      <c r="AT63" s="6">
        <v>15569.400000000001</v>
      </c>
      <c r="AU63" s="6">
        <v>19461.75</v>
      </c>
      <c r="AV63" s="6">
        <v>15569.400000000001</v>
      </c>
      <c r="AW63" s="93" t="s">
        <v>631</v>
      </c>
      <c r="AX63" s="76" t="s">
        <v>833</v>
      </c>
      <c r="AY63" s="76" t="s">
        <v>833</v>
      </c>
      <c r="AZ63" s="76" t="s">
        <v>833</v>
      </c>
      <c r="BA63" s="76" t="s">
        <v>833</v>
      </c>
      <c r="BB63" s="76" t="s">
        <v>833</v>
      </c>
      <c r="BC63" s="76" t="s">
        <v>833</v>
      </c>
      <c r="BD63" s="76" t="s">
        <v>833</v>
      </c>
      <c r="BE63" s="76" t="s">
        <v>833</v>
      </c>
      <c r="BF63" s="76" t="s">
        <v>833</v>
      </c>
      <c r="BG63" s="76" t="s">
        <v>833</v>
      </c>
      <c r="BH63" s="76" t="s">
        <v>833</v>
      </c>
      <c r="BI63" s="76" t="s">
        <v>833</v>
      </c>
      <c r="BJ63" s="76" t="s">
        <v>833</v>
      </c>
      <c r="BK63" s="76" t="s">
        <v>833</v>
      </c>
      <c r="BL63" s="76" t="s">
        <v>833</v>
      </c>
      <c r="BM63" s="76" t="s">
        <v>833</v>
      </c>
      <c r="BN63" s="76" t="s">
        <v>833</v>
      </c>
      <c r="BO63" s="94" t="s">
        <v>631</v>
      </c>
      <c r="BP63" s="76" t="s">
        <v>833</v>
      </c>
      <c r="BQ63" s="76" t="s">
        <v>833</v>
      </c>
      <c r="BR63" s="76" t="s">
        <v>833</v>
      </c>
      <c r="BS63" s="76" t="s">
        <v>833</v>
      </c>
      <c r="BT63" s="76" t="s">
        <v>833</v>
      </c>
      <c r="BU63" s="76" t="s">
        <v>833</v>
      </c>
      <c r="BV63" s="76" t="s">
        <v>833</v>
      </c>
      <c r="BW63" s="76" t="s">
        <v>833</v>
      </c>
      <c r="BX63" s="76" t="s">
        <v>833</v>
      </c>
      <c r="BY63" s="76" t="s">
        <v>833</v>
      </c>
      <c r="BZ63" s="76" t="s">
        <v>833</v>
      </c>
      <c r="CA63" s="76" t="s">
        <v>833</v>
      </c>
      <c r="CB63" s="76" t="s">
        <v>833</v>
      </c>
      <c r="CC63" s="76" t="s">
        <v>833</v>
      </c>
      <c r="CD63" s="76" t="s">
        <v>833</v>
      </c>
      <c r="CE63" s="76" t="s">
        <v>833</v>
      </c>
      <c r="CF63" s="76" t="s">
        <v>833</v>
      </c>
      <c r="CG63" s="76" t="s">
        <v>833</v>
      </c>
      <c r="CH63" s="76" t="s">
        <v>833</v>
      </c>
      <c r="CI63" s="76" t="s">
        <v>833</v>
      </c>
      <c r="CJ63" s="76" t="s">
        <v>833</v>
      </c>
      <c r="CK63" s="76" t="s">
        <v>833</v>
      </c>
      <c r="CL63" s="76" t="s">
        <v>833</v>
      </c>
      <c r="CM63" s="76" t="s">
        <v>833</v>
      </c>
      <c r="CN63" s="76" t="s">
        <v>833</v>
      </c>
      <c r="CO63" s="76" t="s">
        <v>833</v>
      </c>
      <c r="CP63" s="76" t="s">
        <v>833</v>
      </c>
      <c r="CQ63" s="76" t="s">
        <v>833</v>
      </c>
      <c r="CR63" s="76" t="s">
        <v>833</v>
      </c>
      <c r="CS63" s="76" t="s">
        <v>833</v>
      </c>
      <c r="CT63" s="76" t="s">
        <v>833</v>
      </c>
      <c r="CU63" s="76" t="s">
        <v>833</v>
      </c>
      <c r="CV63" s="76" t="s">
        <v>833</v>
      </c>
      <c r="CW63" s="76" t="s">
        <v>833</v>
      </c>
      <c r="CX63" s="76" t="s">
        <v>631</v>
      </c>
      <c r="CY63" s="96" t="s">
        <v>631</v>
      </c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95"/>
      <c r="DO63" s="90">
        <f t="shared" si="13"/>
        <v>4</v>
      </c>
      <c r="DP63" s="21"/>
      <c r="DQ63" s="21"/>
    </row>
    <row r="64" spans="1:121" x14ac:dyDescent="0.3">
      <c r="A64" s="4" t="s">
        <v>126</v>
      </c>
      <c r="B64" s="4" t="s">
        <v>282</v>
      </c>
      <c r="C64" s="4" t="s">
        <v>284</v>
      </c>
      <c r="D64" s="4" t="s">
        <v>220</v>
      </c>
      <c r="E64" s="12">
        <v>8.98</v>
      </c>
      <c r="F64" s="34">
        <f t="shared" ref="F64:F96" si="14">E64*G64</f>
        <v>80900.820000000007</v>
      </c>
      <c r="G64" s="28">
        <f t="shared" ref="G64:G96" si="15">SUM(M64:X64)</f>
        <v>9009</v>
      </c>
      <c r="H64" s="28">
        <f t="shared" ref="H64:H96" si="16">ROUNDUP(G64/12,0)</f>
        <v>751</v>
      </c>
      <c r="I64" s="26">
        <f t="shared" ref="I64:I96" si="17">J64*E64</f>
        <v>45636.36</v>
      </c>
      <c r="J64" s="24">
        <f t="shared" ref="J64:J96" si="18">SUM(Y64:AC64)</f>
        <v>5082</v>
      </c>
      <c r="K64" s="31">
        <f t="shared" ref="K64:K96" si="19">ROUNDUP(J64/5,0)</f>
        <v>1017</v>
      </c>
      <c r="L64" s="9">
        <v>0</v>
      </c>
      <c r="M64" s="9">
        <v>0</v>
      </c>
      <c r="N64" s="9">
        <v>0</v>
      </c>
      <c r="O64" s="9">
        <v>0</v>
      </c>
      <c r="P64" s="9">
        <v>924</v>
      </c>
      <c r="Q64" s="9">
        <v>1155</v>
      </c>
      <c r="R64" s="9">
        <v>924</v>
      </c>
      <c r="S64" s="9">
        <v>1155</v>
      </c>
      <c r="T64" s="9">
        <v>924</v>
      </c>
      <c r="U64" s="9">
        <v>924</v>
      </c>
      <c r="V64" s="9">
        <v>1155</v>
      </c>
      <c r="W64" s="9">
        <v>924</v>
      </c>
      <c r="X64" s="9">
        <v>924</v>
      </c>
      <c r="Y64" s="9">
        <v>1155</v>
      </c>
      <c r="Z64" s="9">
        <v>924</v>
      </c>
      <c r="AA64" s="9">
        <v>924</v>
      </c>
      <c r="AB64" s="9">
        <v>1155</v>
      </c>
      <c r="AC64" s="9">
        <v>924</v>
      </c>
      <c r="AE64" s="6">
        <v>0</v>
      </c>
      <c r="AF64" s="6">
        <v>0</v>
      </c>
      <c r="AG64" s="6">
        <v>0</v>
      </c>
      <c r="AH64" s="6">
        <v>0</v>
      </c>
      <c r="AI64" s="6">
        <v>7900.2000000000007</v>
      </c>
      <c r="AJ64" s="6">
        <v>9875.25</v>
      </c>
      <c r="AK64" s="6">
        <v>7900.2000000000007</v>
      </c>
      <c r="AL64" s="6">
        <v>9875.25</v>
      </c>
      <c r="AM64" s="6">
        <v>7900.2000000000007</v>
      </c>
      <c r="AN64" s="6">
        <v>7900.2000000000007</v>
      </c>
      <c r="AO64" s="6">
        <v>9875.25</v>
      </c>
      <c r="AP64" s="6">
        <v>7900.2000000000007</v>
      </c>
      <c r="AQ64" s="6">
        <v>7900.2000000000007</v>
      </c>
      <c r="AR64" s="6">
        <v>9875.25</v>
      </c>
      <c r="AS64" s="6">
        <v>7900.2000000000007</v>
      </c>
      <c r="AT64" s="6">
        <v>7900.2000000000007</v>
      </c>
      <c r="AU64" s="6">
        <v>9875.25</v>
      </c>
      <c r="AV64" s="6">
        <v>7900.2000000000007</v>
      </c>
      <c r="AW64" s="93" t="s">
        <v>631</v>
      </c>
      <c r="AX64" s="76" t="s">
        <v>833</v>
      </c>
      <c r="AY64" s="76" t="s">
        <v>833</v>
      </c>
      <c r="AZ64" s="76" t="s">
        <v>833</v>
      </c>
      <c r="BA64" s="76" t="s">
        <v>833</v>
      </c>
      <c r="BB64" s="76" t="s">
        <v>833</v>
      </c>
      <c r="BC64" s="76" t="s">
        <v>833</v>
      </c>
      <c r="BD64" s="76" t="s">
        <v>833</v>
      </c>
      <c r="BE64" s="76" t="s">
        <v>833</v>
      </c>
      <c r="BF64" s="76" t="s">
        <v>833</v>
      </c>
      <c r="BG64" s="76" t="s">
        <v>833</v>
      </c>
      <c r="BH64" s="76" t="s">
        <v>833</v>
      </c>
      <c r="BI64" s="76" t="s">
        <v>833</v>
      </c>
      <c r="BJ64" s="76" t="s">
        <v>833</v>
      </c>
      <c r="BK64" s="76" t="s">
        <v>833</v>
      </c>
      <c r="BL64" s="76" t="s">
        <v>833</v>
      </c>
      <c r="BM64" s="76" t="s">
        <v>833</v>
      </c>
      <c r="BN64" s="76" t="s">
        <v>631</v>
      </c>
      <c r="BO64" s="94" t="s">
        <v>631</v>
      </c>
      <c r="BP64" s="76" t="s">
        <v>833</v>
      </c>
      <c r="BQ64" s="76" t="s">
        <v>833</v>
      </c>
      <c r="BR64" s="76" t="s">
        <v>833</v>
      </c>
      <c r="BS64" s="76" t="s">
        <v>833</v>
      </c>
      <c r="BT64" s="76" t="s">
        <v>833</v>
      </c>
      <c r="BU64" s="76" t="s">
        <v>833</v>
      </c>
      <c r="BV64" s="76" t="s">
        <v>833</v>
      </c>
      <c r="BW64" s="76" t="s">
        <v>833</v>
      </c>
      <c r="BX64" s="76" t="s">
        <v>833</v>
      </c>
      <c r="BY64" s="76" t="s">
        <v>833</v>
      </c>
      <c r="BZ64" s="76" t="s">
        <v>833</v>
      </c>
      <c r="CA64" s="76" t="s">
        <v>833</v>
      </c>
      <c r="CB64" s="76" t="s">
        <v>833</v>
      </c>
      <c r="CC64" s="76" t="s">
        <v>833</v>
      </c>
      <c r="CD64" s="76" t="s">
        <v>833</v>
      </c>
      <c r="CE64" s="76" t="s">
        <v>833</v>
      </c>
      <c r="CF64" s="76" t="s">
        <v>833</v>
      </c>
      <c r="CG64" s="76" t="s">
        <v>833</v>
      </c>
      <c r="CH64" s="76" t="s">
        <v>833</v>
      </c>
      <c r="CI64" s="76" t="s">
        <v>833</v>
      </c>
      <c r="CJ64" s="76" t="s">
        <v>833</v>
      </c>
      <c r="CK64" s="76" t="s">
        <v>833</v>
      </c>
      <c r="CL64" s="76" t="s">
        <v>833</v>
      </c>
      <c r="CM64" s="76" t="s">
        <v>833</v>
      </c>
      <c r="CN64" s="76" t="s">
        <v>833</v>
      </c>
      <c r="CO64" s="76" t="s">
        <v>833</v>
      </c>
      <c r="CP64" s="76" t="s">
        <v>833</v>
      </c>
      <c r="CQ64" s="76" t="s">
        <v>833</v>
      </c>
      <c r="CR64" s="76" t="s">
        <v>833</v>
      </c>
      <c r="CS64" s="76" t="s">
        <v>833</v>
      </c>
      <c r="CT64" s="76" t="s">
        <v>833</v>
      </c>
      <c r="CU64" s="76" t="s">
        <v>833</v>
      </c>
      <c r="CV64" s="76" t="s">
        <v>833</v>
      </c>
      <c r="CW64" s="76" t="s">
        <v>833</v>
      </c>
      <c r="CX64" s="76" t="s">
        <v>631</v>
      </c>
      <c r="CY64" s="96" t="s">
        <v>631</v>
      </c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95"/>
      <c r="DO64" s="90">
        <f t="shared" si="13"/>
        <v>5</v>
      </c>
      <c r="DP64" s="21"/>
      <c r="DQ64" s="21"/>
    </row>
    <row r="65" spans="1:121" x14ac:dyDescent="0.3">
      <c r="A65" s="4" t="s">
        <v>126</v>
      </c>
      <c r="B65" s="4" t="s">
        <v>282</v>
      </c>
      <c r="C65" s="4" t="s">
        <v>287</v>
      </c>
      <c r="D65" s="4" t="s">
        <v>288</v>
      </c>
      <c r="E65" s="12">
        <v>193.04</v>
      </c>
      <c r="F65" s="34">
        <f t="shared" si="14"/>
        <v>1592000.88</v>
      </c>
      <c r="G65" s="28">
        <f t="shared" si="15"/>
        <v>8247</v>
      </c>
      <c r="H65" s="28">
        <f t="shared" si="16"/>
        <v>688</v>
      </c>
      <c r="I65" s="26">
        <f t="shared" si="17"/>
        <v>734710.24</v>
      </c>
      <c r="J65" s="24">
        <f t="shared" si="18"/>
        <v>3806</v>
      </c>
      <c r="K65" s="31">
        <f t="shared" si="19"/>
        <v>762</v>
      </c>
      <c r="L65" s="9">
        <v>0</v>
      </c>
      <c r="M65" s="9">
        <v>0</v>
      </c>
      <c r="N65" s="9">
        <v>1000</v>
      </c>
      <c r="O65" s="9">
        <v>500</v>
      </c>
      <c r="P65" s="9">
        <v>692</v>
      </c>
      <c r="Q65" s="9">
        <v>865</v>
      </c>
      <c r="R65" s="9">
        <v>692</v>
      </c>
      <c r="S65" s="9">
        <v>865</v>
      </c>
      <c r="T65" s="9">
        <v>692</v>
      </c>
      <c r="U65" s="9">
        <v>692</v>
      </c>
      <c r="V65" s="9">
        <v>865</v>
      </c>
      <c r="W65" s="9">
        <v>692</v>
      </c>
      <c r="X65" s="9">
        <v>692</v>
      </c>
      <c r="Y65" s="9">
        <v>865</v>
      </c>
      <c r="Z65" s="9">
        <v>692</v>
      </c>
      <c r="AA65" s="9">
        <v>692</v>
      </c>
      <c r="AB65" s="9">
        <v>865</v>
      </c>
      <c r="AC65" s="9">
        <v>692</v>
      </c>
      <c r="AE65" s="6">
        <v>0</v>
      </c>
      <c r="AF65" s="6">
        <v>0</v>
      </c>
      <c r="AG65" s="6">
        <v>193040</v>
      </c>
      <c r="AH65" s="6">
        <v>96520</v>
      </c>
      <c r="AI65" s="6">
        <v>133583.67999999999</v>
      </c>
      <c r="AJ65" s="6">
        <v>166979.6</v>
      </c>
      <c r="AK65" s="6">
        <v>133583.67999999999</v>
      </c>
      <c r="AL65" s="6">
        <v>166979.6</v>
      </c>
      <c r="AM65" s="6">
        <v>133583.67999999999</v>
      </c>
      <c r="AN65" s="6">
        <v>133583.67999999999</v>
      </c>
      <c r="AO65" s="6">
        <v>166979.6</v>
      </c>
      <c r="AP65" s="6">
        <v>133583.67999999999</v>
      </c>
      <c r="AQ65" s="6">
        <v>133583.67999999999</v>
      </c>
      <c r="AR65" s="6">
        <v>166979.6</v>
      </c>
      <c r="AS65" s="6">
        <v>133583.67999999999</v>
      </c>
      <c r="AT65" s="6">
        <v>133583.67999999999</v>
      </c>
      <c r="AU65" s="6">
        <v>166979.6</v>
      </c>
      <c r="AV65" s="6">
        <v>133583.67999999999</v>
      </c>
      <c r="AW65" s="93" t="s">
        <v>631</v>
      </c>
      <c r="AX65" s="76" t="s">
        <v>631</v>
      </c>
      <c r="AY65" s="76" t="s">
        <v>833</v>
      </c>
      <c r="AZ65" s="76" t="s">
        <v>833</v>
      </c>
      <c r="BA65" s="76" t="s">
        <v>631</v>
      </c>
      <c r="BB65" s="76" t="s">
        <v>631</v>
      </c>
      <c r="BC65" s="76" t="s">
        <v>833</v>
      </c>
      <c r="BD65" s="76" t="s">
        <v>833</v>
      </c>
      <c r="BE65" s="76" t="s">
        <v>833</v>
      </c>
      <c r="BF65" s="76" t="s">
        <v>833</v>
      </c>
      <c r="BG65" s="76" t="s">
        <v>833</v>
      </c>
      <c r="BH65" s="76" t="s">
        <v>833</v>
      </c>
      <c r="BI65" s="76" t="s">
        <v>833</v>
      </c>
      <c r="BJ65" s="76" t="s">
        <v>631</v>
      </c>
      <c r="BK65" s="76" t="s">
        <v>631</v>
      </c>
      <c r="BL65" s="76" t="s">
        <v>833</v>
      </c>
      <c r="BM65" s="76" t="s">
        <v>833</v>
      </c>
      <c r="BN65" s="76" t="s">
        <v>631</v>
      </c>
      <c r="BO65" s="94" t="s">
        <v>631</v>
      </c>
      <c r="BP65" s="76" t="s">
        <v>833</v>
      </c>
      <c r="BQ65" s="76" t="s">
        <v>833</v>
      </c>
      <c r="BR65" s="76" t="s">
        <v>833</v>
      </c>
      <c r="BS65" s="76" t="s">
        <v>833</v>
      </c>
      <c r="BT65" s="76" t="s">
        <v>833</v>
      </c>
      <c r="BU65" s="76" t="s">
        <v>833</v>
      </c>
      <c r="BV65" s="76" t="s">
        <v>833</v>
      </c>
      <c r="BW65" s="76" t="s">
        <v>833</v>
      </c>
      <c r="BX65" s="76" t="s">
        <v>833</v>
      </c>
      <c r="BY65" s="76" t="s">
        <v>833</v>
      </c>
      <c r="BZ65" s="76" t="s">
        <v>833</v>
      </c>
      <c r="CA65" s="76" t="s">
        <v>833</v>
      </c>
      <c r="CB65" s="76" t="s">
        <v>833</v>
      </c>
      <c r="CC65" s="76" t="s">
        <v>833</v>
      </c>
      <c r="CD65" s="76" t="s">
        <v>833</v>
      </c>
      <c r="CE65" s="76" t="s">
        <v>833</v>
      </c>
      <c r="CF65" s="76" t="s">
        <v>833</v>
      </c>
      <c r="CG65" s="76" t="s">
        <v>833</v>
      </c>
      <c r="CH65" s="76" t="s">
        <v>833</v>
      </c>
      <c r="CI65" s="76" t="s">
        <v>833</v>
      </c>
      <c r="CJ65" s="76" t="s">
        <v>833</v>
      </c>
      <c r="CK65" s="76" t="s">
        <v>833</v>
      </c>
      <c r="CL65" s="76" t="s">
        <v>833</v>
      </c>
      <c r="CM65" s="76" t="s">
        <v>833</v>
      </c>
      <c r="CN65" s="76" t="s">
        <v>833</v>
      </c>
      <c r="CO65" s="76" t="s">
        <v>833</v>
      </c>
      <c r="CP65" s="76" t="s">
        <v>833</v>
      </c>
      <c r="CQ65" s="76" t="s">
        <v>833</v>
      </c>
      <c r="CR65" s="76" t="s">
        <v>833</v>
      </c>
      <c r="CS65" s="76" t="s">
        <v>833</v>
      </c>
      <c r="CT65" s="76" t="s">
        <v>833</v>
      </c>
      <c r="CU65" s="76" t="s">
        <v>833</v>
      </c>
      <c r="CV65" s="76" t="s">
        <v>833</v>
      </c>
      <c r="CW65" s="76" t="s">
        <v>833</v>
      </c>
      <c r="CX65" s="76" t="s">
        <v>631</v>
      </c>
      <c r="CY65" s="96" t="s">
        <v>631</v>
      </c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95"/>
      <c r="DO65" s="90">
        <f t="shared" si="13"/>
        <v>10</v>
      </c>
      <c r="DP65" s="21"/>
      <c r="DQ65" s="21"/>
    </row>
    <row r="66" spans="1:121" x14ac:dyDescent="0.3">
      <c r="A66" s="4" t="s">
        <v>126</v>
      </c>
      <c r="B66" s="4" t="s">
        <v>282</v>
      </c>
      <c r="C66" s="4" t="s">
        <v>289</v>
      </c>
      <c r="D66" s="4" t="s">
        <v>290</v>
      </c>
      <c r="E66" s="12">
        <v>14.15</v>
      </c>
      <c r="F66" s="34">
        <f t="shared" si="14"/>
        <v>141627.35</v>
      </c>
      <c r="G66" s="28">
        <f t="shared" si="15"/>
        <v>10009</v>
      </c>
      <c r="H66" s="28">
        <f t="shared" si="16"/>
        <v>835</v>
      </c>
      <c r="I66" s="26">
        <f t="shared" si="17"/>
        <v>71910.3</v>
      </c>
      <c r="J66" s="24">
        <f t="shared" si="18"/>
        <v>5082</v>
      </c>
      <c r="K66" s="31">
        <f t="shared" si="19"/>
        <v>1017</v>
      </c>
      <c r="L66" s="9">
        <v>0</v>
      </c>
      <c r="M66" s="9">
        <v>1000</v>
      </c>
      <c r="N66" s="9">
        <v>0</v>
      </c>
      <c r="O66" s="9">
        <v>0</v>
      </c>
      <c r="P66" s="9">
        <v>924</v>
      </c>
      <c r="Q66" s="9">
        <v>1155</v>
      </c>
      <c r="R66" s="9">
        <v>924</v>
      </c>
      <c r="S66" s="9">
        <v>1155</v>
      </c>
      <c r="T66" s="9">
        <v>924</v>
      </c>
      <c r="U66" s="9">
        <v>924</v>
      </c>
      <c r="V66" s="9">
        <v>1155</v>
      </c>
      <c r="W66" s="9">
        <v>924</v>
      </c>
      <c r="X66" s="9">
        <v>924</v>
      </c>
      <c r="Y66" s="9">
        <v>1155</v>
      </c>
      <c r="Z66" s="9">
        <v>924</v>
      </c>
      <c r="AA66" s="9">
        <v>924</v>
      </c>
      <c r="AB66" s="9">
        <v>1155</v>
      </c>
      <c r="AC66" s="9">
        <v>924</v>
      </c>
      <c r="AE66" s="6">
        <v>0</v>
      </c>
      <c r="AF66" s="6">
        <v>13360</v>
      </c>
      <c r="AG66" s="6">
        <v>0</v>
      </c>
      <c r="AH66" s="6">
        <v>0</v>
      </c>
      <c r="AI66" s="6">
        <v>12326.16</v>
      </c>
      <c r="AJ66" s="6">
        <v>15407.7</v>
      </c>
      <c r="AK66" s="6">
        <v>12326.16</v>
      </c>
      <c r="AL66" s="6">
        <v>15430.8</v>
      </c>
      <c r="AM66" s="6">
        <v>12344.64</v>
      </c>
      <c r="AN66" s="6">
        <v>12344.64</v>
      </c>
      <c r="AO66" s="6">
        <v>15430.8</v>
      </c>
      <c r="AP66" s="6">
        <v>12344.64</v>
      </c>
      <c r="AQ66" s="6">
        <v>12344.64</v>
      </c>
      <c r="AR66" s="6">
        <v>15430.8</v>
      </c>
      <c r="AS66" s="6">
        <v>12344.64</v>
      </c>
      <c r="AT66" s="6">
        <v>12344.64</v>
      </c>
      <c r="AU66" s="6">
        <v>15430.8</v>
      </c>
      <c r="AV66" s="6">
        <v>12344.64</v>
      </c>
      <c r="AW66" s="93" t="s">
        <v>833</v>
      </c>
      <c r="AX66" s="76" t="s">
        <v>833</v>
      </c>
      <c r="AY66" s="76" t="s">
        <v>833</v>
      </c>
      <c r="AZ66" s="76" t="s">
        <v>833</v>
      </c>
      <c r="BA66" s="76" t="s">
        <v>631</v>
      </c>
      <c r="BB66" s="76" t="s">
        <v>833</v>
      </c>
      <c r="BC66" s="76" t="s">
        <v>833</v>
      </c>
      <c r="BD66" s="76" t="s">
        <v>833</v>
      </c>
      <c r="BE66" s="76" t="s">
        <v>833</v>
      </c>
      <c r="BF66" s="76" t="s">
        <v>833</v>
      </c>
      <c r="BG66" s="76" t="s">
        <v>833</v>
      </c>
      <c r="BH66" s="76" t="s">
        <v>833</v>
      </c>
      <c r="BI66" s="76" t="s">
        <v>833</v>
      </c>
      <c r="BJ66" s="76" t="s">
        <v>833</v>
      </c>
      <c r="BK66" s="76" t="s">
        <v>833</v>
      </c>
      <c r="BL66" s="76" t="s">
        <v>833</v>
      </c>
      <c r="BM66" s="76" t="s">
        <v>833</v>
      </c>
      <c r="BN66" s="76" t="s">
        <v>833</v>
      </c>
      <c r="BO66" s="76" t="s">
        <v>833</v>
      </c>
      <c r="BP66" s="76" t="s">
        <v>833</v>
      </c>
      <c r="BQ66" s="76" t="s">
        <v>833</v>
      </c>
      <c r="BR66" s="76" t="s">
        <v>833</v>
      </c>
      <c r="BS66" s="76" t="s">
        <v>833</v>
      </c>
      <c r="BT66" s="76" t="s">
        <v>833</v>
      </c>
      <c r="BU66" s="76" t="s">
        <v>833</v>
      </c>
      <c r="BV66" s="76" t="s">
        <v>833</v>
      </c>
      <c r="BW66" s="76" t="s">
        <v>833</v>
      </c>
      <c r="BX66" s="76" t="s">
        <v>833</v>
      </c>
      <c r="BY66" s="76" t="s">
        <v>833</v>
      </c>
      <c r="BZ66" s="76" t="s">
        <v>833</v>
      </c>
      <c r="CA66" s="76" t="s">
        <v>833</v>
      </c>
      <c r="CB66" s="76" t="s">
        <v>833</v>
      </c>
      <c r="CC66" s="76" t="s">
        <v>833</v>
      </c>
      <c r="CD66" s="76" t="s">
        <v>833</v>
      </c>
      <c r="CE66" s="76" t="s">
        <v>833</v>
      </c>
      <c r="CF66" s="76" t="s">
        <v>833</v>
      </c>
      <c r="CG66" s="76" t="s">
        <v>833</v>
      </c>
      <c r="CH66" s="76" t="s">
        <v>833</v>
      </c>
      <c r="CI66" s="76" t="s">
        <v>833</v>
      </c>
      <c r="CJ66" s="76" t="s">
        <v>833</v>
      </c>
      <c r="CK66" s="76" t="s">
        <v>833</v>
      </c>
      <c r="CL66" s="76" t="s">
        <v>833</v>
      </c>
      <c r="CM66" s="76" t="s">
        <v>833</v>
      </c>
      <c r="CN66" s="76" t="s">
        <v>833</v>
      </c>
      <c r="CO66" s="76" t="s">
        <v>833</v>
      </c>
      <c r="CP66" s="76" t="s">
        <v>833</v>
      </c>
      <c r="CQ66" s="76" t="s">
        <v>833</v>
      </c>
      <c r="CR66" s="76" t="s">
        <v>833</v>
      </c>
      <c r="CS66" s="76" t="s">
        <v>833</v>
      </c>
      <c r="CT66" s="76" t="s">
        <v>833</v>
      </c>
      <c r="CU66" s="76" t="s">
        <v>833</v>
      </c>
      <c r="CV66" s="76" t="s">
        <v>833</v>
      </c>
      <c r="CW66" s="76" t="s">
        <v>833</v>
      </c>
      <c r="CX66" s="76" t="s">
        <v>631</v>
      </c>
      <c r="CY66" s="96" t="s">
        <v>631</v>
      </c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95"/>
      <c r="DO66" s="90">
        <f t="shared" si="13"/>
        <v>3</v>
      </c>
      <c r="DP66" s="21"/>
      <c r="DQ66" s="21"/>
    </row>
    <row r="67" spans="1:121" x14ac:dyDescent="0.3">
      <c r="A67" s="4" t="s">
        <v>126</v>
      </c>
      <c r="B67" s="4" t="s">
        <v>282</v>
      </c>
      <c r="C67" s="4" t="s">
        <v>291</v>
      </c>
      <c r="D67" s="4" t="s">
        <v>292</v>
      </c>
      <c r="E67" s="12">
        <v>17.71</v>
      </c>
      <c r="F67" s="34">
        <f t="shared" si="14"/>
        <v>79429.350000000006</v>
      </c>
      <c r="G67" s="28">
        <f t="shared" si="15"/>
        <v>4485</v>
      </c>
      <c r="H67" s="28">
        <f t="shared" si="16"/>
        <v>374</v>
      </c>
      <c r="I67" s="26">
        <f t="shared" si="17"/>
        <v>44806.3</v>
      </c>
      <c r="J67" s="24">
        <f t="shared" si="18"/>
        <v>2530</v>
      </c>
      <c r="K67" s="31">
        <f t="shared" si="19"/>
        <v>506</v>
      </c>
      <c r="L67" s="9">
        <v>0</v>
      </c>
      <c r="M67" s="9">
        <v>0</v>
      </c>
      <c r="N67" s="9">
        <v>0</v>
      </c>
      <c r="O67" s="9">
        <v>0</v>
      </c>
      <c r="P67" s="9">
        <v>460</v>
      </c>
      <c r="Q67" s="9">
        <v>575</v>
      </c>
      <c r="R67" s="9">
        <v>460</v>
      </c>
      <c r="S67" s="9">
        <v>575</v>
      </c>
      <c r="T67" s="9">
        <v>460</v>
      </c>
      <c r="U67" s="9">
        <v>460</v>
      </c>
      <c r="V67" s="9">
        <v>575</v>
      </c>
      <c r="W67" s="9">
        <v>460</v>
      </c>
      <c r="X67" s="9">
        <v>460</v>
      </c>
      <c r="Y67" s="9">
        <v>575</v>
      </c>
      <c r="Z67" s="9">
        <v>460</v>
      </c>
      <c r="AA67" s="9">
        <v>460</v>
      </c>
      <c r="AB67" s="9">
        <v>575</v>
      </c>
      <c r="AC67" s="9">
        <v>460</v>
      </c>
      <c r="AE67" s="6">
        <v>0</v>
      </c>
      <c r="AF67" s="6">
        <v>0</v>
      </c>
      <c r="AG67" s="6">
        <v>0</v>
      </c>
      <c r="AH67" s="6">
        <v>0</v>
      </c>
      <c r="AI67" s="6">
        <v>7410.5999999999995</v>
      </c>
      <c r="AJ67" s="6">
        <v>9263.25</v>
      </c>
      <c r="AK67" s="6">
        <v>7410.5999999999995</v>
      </c>
      <c r="AL67" s="6">
        <v>9263.25</v>
      </c>
      <c r="AM67" s="6">
        <v>7410.5999999999995</v>
      </c>
      <c r="AN67" s="6">
        <v>7410.5999999999995</v>
      </c>
      <c r="AO67" s="6">
        <v>9263.25</v>
      </c>
      <c r="AP67" s="6">
        <v>7410.5999999999995</v>
      </c>
      <c r="AQ67" s="6">
        <v>7410.5999999999995</v>
      </c>
      <c r="AR67" s="6">
        <v>9263.25</v>
      </c>
      <c r="AS67" s="6">
        <v>7410.5999999999995</v>
      </c>
      <c r="AT67" s="6">
        <v>7410.5999999999995</v>
      </c>
      <c r="AU67" s="6">
        <v>9263.25</v>
      </c>
      <c r="AV67" s="6">
        <v>7410.5999999999995</v>
      </c>
      <c r="AW67" s="93" t="s">
        <v>631</v>
      </c>
      <c r="AX67" s="76" t="s">
        <v>833</v>
      </c>
      <c r="AY67" s="76" t="s">
        <v>833</v>
      </c>
      <c r="AZ67" s="76" t="s">
        <v>833</v>
      </c>
      <c r="BA67" s="76" t="s">
        <v>833</v>
      </c>
      <c r="BB67" s="76" t="s">
        <v>833</v>
      </c>
      <c r="BC67" s="76" t="s">
        <v>833</v>
      </c>
      <c r="BD67" s="76" t="s">
        <v>833</v>
      </c>
      <c r="BE67" s="76" t="s">
        <v>833</v>
      </c>
      <c r="BF67" s="76" t="s">
        <v>833</v>
      </c>
      <c r="BG67" s="76" t="s">
        <v>833</v>
      </c>
      <c r="BH67" s="76" t="s">
        <v>833</v>
      </c>
      <c r="BI67" s="76" t="s">
        <v>833</v>
      </c>
      <c r="BJ67" s="76" t="s">
        <v>833</v>
      </c>
      <c r="BK67" s="76" t="s">
        <v>833</v>
      </c>
      <c r="BL67" s="76" t="s">
        <v>833</v>
      </c>
      <c r="BM67" s="76" t="s">
        <v>833</v>
      </c>
      <c r="BN67" s="76" t="s">
        <v>833</v>
      </c>
      <c r="BO67" s="94" t="s">
        <v>631</v>
      </c>
      <c r="BP67" s="76" t="s">
        <v>833</v>
      </c>
      <c r="BQ67" s="76" t="s">
        <v>833</v>
      </c>
      <c r="BR67" s="76" t="s">
        <v>833</v>
      </c>
      <c r="BS67" s="76" t="s">
        <v>833</v>
      </c>
      <c r="BT67" s="76" t="s">
        <v>833</v>
      </c>
      <c r="BU67" s="76" t="s">
        <v>833</v>
      </c>
      <c r="BV67" s="76" t="s">
        <v>833</v>
      </c>
      <c r="BW67" s="76" t="s">
        <v>833</v>
      </c>
      <c r="BX67" s="76" t="s">
        <v>833</v>
      </c>
      <c r="BY67" s="76" t="s">
        <v>833</v>
      </c>
      <c r="BZ67" s="76" t="s">
        <v>833</v>
      </c>
      <c r="CA67" s="76" t="s">
        <v>833</v>
      </c>
      <c r="CB67" s="76" t="s">
        <v>833</v>
      </c>
      <c r="CC67" s="76" t="s">
        <v>833</v>
      </c>
      <c r="CD67" s="76" t="s">
        <v>833</v>
      </c>
      <c r="CE67" s="76" t="s">
        <v>833</v>
      </c>
      <c r="CF67" s="76" t="s">
        <v>833</v>
      </c>
      <c r="CG67" s="76" t="s">
        <v>833</v>
      </c>
      <c r="CH67" s="76" t="s">
        <v>833</v>
      </c>
      <c r="CI67" s="76" t="s">
        <v>833</v>
      </c>
      <c r="CJ67" s="76" t="s">
        <v>833</v>
      </c>
      <c r="CK67" s="76" t="s">
        <v>833</v>
      </c>
      <c r="CL67" s="76" t="s">
        <v>833</v>
      </c>
      <c r="CM67" s="76" t="s">
        <v>833</v>
      </c>
      <c r="CN67" s="76" t="s">
        <v>833</v>
      </c>
      <c r="CO67" s="76" t="s">
        <v>833</v>
      </c>
      <c r="CP67" s="76" t="s">
        <v>833</v>
      </c>
      <c r="CQ67" s="76" t="s">
        <v>833</v>
      </c>
      <c r="CR67" s="76" t="s">
        <v>833</v>
      </c>
      <c r="CS67" s="76" t="s">
        <v>833</v>
      </c>
      <c r="CT67" s="76" t="s">
        <v>833</v>
      </c>
      <c r="CU67" s="76" t="s">
        <v>833</v>
      </c>
      <c r="CV67" s="76" t="s">
        <v>833</v>
      </c>
      <c r="CW67" s="76" t="s">
        <v>833</v>
      </c>
      <c r="CX67" s="76" t="s">
        <v>631</v>
      </c>
      <c r="CY67" s="76" t="s">
        <v>631</v>
      </c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95"/>
      <c r="DO67" s="90">
        <f>COUNTIF(AW67:DN67,"x")</f>
        <v>4</v>
      </c>
      <c r="DP67" s="21"/>
      <c r="DQ67" s="21"/>
    </row>
    <row r="68" spans="1:121" x14ac:dyDescent="0.3">
      <c r="A68" s="4" t="s">
        <v>126</v>
      </c>
      <c r="B68" s="4" t="s">
        <v>298</v>
      </c>
      <c r="C68" s="4" t="s">
        <v>305</v>
      </c>
      <c r="D68" s="4" t="s">
        <v>306</v>
      </c>
      <c r="E68" s="12">
        <v>6.21</v>
      </c>
      <c r="F68" s="34">
        <f t="shared" si="14"/>
        <v>310.5</v>
      </c>
      <c r="G68" s="28">
        <f t="shared" si="15"/>
        <v>50</v>
      </c>
      <c r="H68" s="28">
        <f t="shared" si="16"/>
        <v>5</v>
      </c>
      <c r="I68" s="26">
        <f t="shared" si="17"/>
        <v>0</v>
      </c>
      <c r="J68" s="24">
        <f t="shared" si="18"/>
        <v>0</v>
      </c>
      <c r="K68" s="31">
        <f t="shared" si="19"/>
        <v>0</v>
      </c>
      <c r="L68" s="9">
        <v>0</v>
      </c>
      <c r="M68" s="9">
        <v>50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E68" s="6">
        <v>0</v>
      </c>
      <c r="AF68" s="6">
        <v>310.5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93" t="s">
        <v>833</v>
      </c>
      <c r="AX68" s="76" t="s">
        <v>833</v>
      </c>
      <c r="AY68" s="76" t="s">
        <v>631</v>
      </c>
      <c r="AZ68" s="76" t="s">
        <v>833</v>
      </c>
      <c r="BA68" s="76" t="s">
        <v>833</v>
      </c>
      <c r="BB68" s="76" t="s">
        <v>833</v>
      </c>
      <c r="BC68" s="76" t="s">
        <v>833</v>
      </c>
      <c r="BD68" s="76" t="s">
        <v>833</v>
      </c>
      <c r="BE68" s="76" t="s">
        <v>833</v>
      </c>
      <c r="BF68" s="76" t="s">
        <v>833</v>
      </c>
      <c r="BG68" s="76" t="s">
        <v>833</v>
      </c>
      <c r="BH68" s="76" t="s">
        <v>833</v>
      </c>
      <c r="BI68" s="76" t="s">
        <v>833</v>
      </c>
      <c r="BJ68" s="76" t="s">
        <v>833</v>
      </c>
      <c r="BK68" s="76" t="s">
        <v>833</v>
      </c>
      <c r="BL68" s="76" t="s">
        <v>833</v>
      </c>
      <c r="BM68" s="76" t="s">
        <v>833</v>
      </c>
      <c r="BN68" s="76" t="s">
        <v>631</v>
      </c>
      <c r="BO68" s="76" t="s">
        <v>833</v>
      </c>
      <c r="BP68" s="76" t="s">
        <v>833</v>
      </c>
      <c r="BQ68" s="76" t="s">
        <v>833</v>
      </c>
      <c r="BR68" s="76" t="s">
        <v>833</v>
      </c>
      <c r="BS68" s="76" t="s">
        <v>833</v>
      </c>
      <c r="BT68" s="76" t="s">
        <v>833</v>
      </c>
      <c r="BU68" s="76" t="s">
        <v>833</v>
      </c>
      <c r="BV68" s="76" t="s">
        <v>833</v>
      </c>
      <c r="BW68" s="76" t="s">
        <v>833</v>
      </c>
      <c r="BX68" s="76" t="s">
        <v>833</v>
      </c>
      <c r="BY68" s="76" t="s">
        <v>833</v>
      </c>
      <c r="BZ68" s="76" t="s">
        <v>833</v>
      </c>
      <c r="CA68" s="76" t="s">
        <v>833</v>
      </c>
      <c r="CB68" s="76" t="s">
        <v>833</v>
      </c>
      <c r="CC68" s="76" t="s">
        <v>833</v>
      </c>
      <c r="CD68" s="76" t="s">
        <v>833</v>
      </c>
      <c r="CE68" s="76" t="s">
        <v>833</v>
      </c>
      <c r="CF68" s="76" t="s">
        <v>833</v>
      </c>
      <c r="CG68" s="76" t="s">
        <v>833</v>
      </c>
      <c r="CH68" s="76" t="s">
        <v>833</v>
      </c>
      <c r="CI68" s="76" t="s">
        <v>833</v>
      </c>
      <c r="CJ68" s="76" t="s">
        <v>833</v>
      </c>
      <c r="CK68" s="76" t="s">
        <v>833</v>
      </c>
      <c r="CL68" s="76" t="s">
        <v>833</v>
      </c>
      <c r="CM68" s="76" t="s">
        <v>833</v>
      </c>
      <c r="CN68" s="76" t="s">
        <v>833</v>
      </c>
      <c r="CO68" s="76" t="s">
        <v>833</v>
      </c>
      <c r="CP68" s="76" t="s">
        <v>833</v>
      </c>
      <c r="CQ68" s="76" t="s">
        <v>833</v>
      </c>
      <c r="CR68" s="76" t="s">
        <v>833</v>
      </c>
      <c r="CS68" s="76" t="s">
        <v>833</v>
      </c>
      <c r="CT68" s="76" t="s">
        <v>833</v>
      </c>
      <c r="CU68" s="76" t="s">
        <v>833</v>
      </c>
      <c r="CV68" s="76" t="s">
        <v>833</v>
      </c>
      <c r="CW68" s="76" t="s">
        <v>833</v>
      </c>
      <c r="CX68" s="76" t="s">
        <v>631</v>
      </c>
      <c r="CY68" s="96" t="s">
        <v>631</v>
      </c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95"/>
      <c r="DO68" s="90">
        <f t="shared" si="13"/>
        <v>4</v>
      </c>
      <c r="DP68" s="21"/>
      <c r="DQ68" s="21"/>
    </row>
    <row r="69" spans="1:121" x14ac:dyDescent="0.3">
      <c r="A69" s="4" t="s">
        <v>126</v>
      </c>
      <c r="B69" s="4" t="s">
        <v>307</v>
      </c>
      <c r="C69" s="4" t="s">
        <v>308</v>
      </c>
      <c r="D69" s="4" t="s">
        <v>309</v>
      </c>
      <c r="E69" s="12">
        <v>9689.93</v>
      </c>
      <c r="F69" s="34">
        <f t="shared" si="14"/>
        <v>4360468.5</v>
      </c>
      <c r="G69" s="28">
        <f t="shared" si="15"/>
        <v>450</v>
      </c>
      <c r="H69" s="28">
        <f t="shared" si="16"/>
        <v>38</v>
      </c>
      <c r="I69" s="26">
        <f t="shared" si="17"/>
        <v>0</v>
      </c>
      <c r="J69" s="24">
        <f t="shared" si="18"/>
        <v>0</v>
      </c>
      <c r="K69" s="31">
        <f t="shared" si="19"/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200</v>
      </c>
      <c r="V69" s="9">
        <v>200</v>
      </c>
      <c r="W69" s="9">
        <v>50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1839943.9999999998</v>
      </c>
      <c r="AO69" s="6">
        <v>1839943.9999999998</v>
      </c>
      <c r="AP69" s="6">
        <v>459985.99999999994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93" t="s">
        <v>631</v>
      </c>
      <c r="AX69" s="76" t="s">
        <v>631</v>
      </c>
      <c r="AY69" s="76" t="s">
        <v>631</v>
      </c>
      <c r="AZ69" s="76" t="s">
        <v>833</v>
      </c>
      <c r="BA69" s="76" t="s">
        <v>833</v>
      </c>
      <c r="BB69" s="76" t="s">
        <v>833</v>
      </c>
      <c r="BC69" s="76" t="s">
        <v>833</v>
      </c>
      <c r="BD69" s="76" t="s">
        <v>833</v>
      </c>
      <c r="BE69" s="76" t="s">
        <v>833</v>
      </c>
      <c r="BF69" s="76" t="s">
        <v>833</v>
      </c>
      <c r="BG69" s="76" t="s">
        <v>833</v>
      </c>
      <c r="BH69" s="76" t="s">
        <v>833</v>
      </c>
      <c r="BI69" s="76" t="s">
        <v>833</v>
      </c>
      <c r="BJ69" s="76" t="s">
        <v>631</v>
      </c>
      <c r="BK69" s="76" t="s">
        <v>833</v>
      </c>
      <c r="BL69" s="76" t="s">
        <v>833</v>
      </c>
      <c r="BM69" s="76" t="s">
        <v>833</v>
      </c>
      <c r="BN69" s="76" t="s">
        <v>631</v>
      </c>
      <c r="BO69" s="94" t="s">
        <v>631</v>
      </c>
      <c r="BP69" s="76" t="s">
        <v>833</v>
      </c>
      <c r="BQ69" s="76" t="s">
        <v>833</v>
      </c>
      <c r="BR69" s="76" t="s">
        <v>833</v>
      </c>
      <c r="BS69" s="76" t="s">
        <v>833</v>
      </c>
      <c r="BT69" s="76" t="s">
        <v>833</v>
      </c>
      <c r="BU69" s="76" t="s">
        <v>833</v>
      </c>
      <c r="BV69" s="76" t="s">
        <v>833</v>
      </c>
      <c r="BW69" s="76" t="s">
        <v>833</v>
      </c>
      <c r="BX69" s="76" t="s">
        <v>833</v>
      </c>
      <c r="BY69" s="76" t="s">
        <v>833</v>
      </c>
      <c r="BZ69" s="76" t="s">
        <v>833</v>
      </c>
      <c r="CA69" s="76" t="s">
        <v>833</v>
      </c>
      <c r="CB69" s="76" t="s">
        <v>833</v>
      </c>
      <c r="CC69" s="76" t="s">
        <v>833</v>
      </c>
      <c r="CD69" s="76" t="s">
        <v>833</v>
      </c>
      <c r="CE69" s="76" t="s">
        <v>833</v>
      </c>
      <c r="CF69" s="76" t="s">
        <v>833</v>
      </c>
      <c r="CG69" s="76" t="s">
        <v>833</v>
      </c>
      <c r="CH69" s="76" t="s">
        <v>833</v>
      </c>
      <c r="CI69" s="76" t="s">
        <v>833</v>
      </c>
      <c r="CJ69" s="76" t="s">
        <v>833</v>
      </c>
      <c r="CK69" s="76" t="s">
        <v>833</v>
      </c>
      <c r="CL69" s="76" t="s">
        <v>833</v>
      </c>
      <c r="CM69" s="76" t="s">
        <v>833</v>
      </c>
      <c r="CN69" s="76" t="s">
        <v>631</v>
      </c>
      <c r="CO69" s="76" t="s">
        <v>833</v>
      </c>
      <c r="CP69" s="76" t="s">
        <v>833</v>
      </c>
      <c r="CQ69" s="76" t="s">
        <v>833</v>
      </c>
      <c r="CR69" s="76" t="s">
        <v>833</v>
      </c>
      <c r="CS69" s="76" t="s">
        <v>833</v>
      </c>
      <c r="CT69" s="76" t="s">
        <v>833</v>
      </c>
      <c r="CU69" s="76" t="s">
        <v>833</v>
      </c>
      <c r="CV69" s="76" t="s">
        <v>833</v>
      </c>
      <c r="CW69" s="76" t="s">
        <v>833</v>
      </c>
      <c r="CX69" s="76" t="s">
        <v>631</v>
      </c>
      <c r="CY69" s="96" t="s">
        <v>631</v>
      </c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95"/>
      <c r="DO69" s="90">
        <f t="shared" si="13"/>
        <v>9</v>
      </c>
      <c r="DP69" s="21"/>
      <c r="DQ69" s="21"/>
    </row>
    <row r="70" spans="1:121" x14ac:dyDescent="0.3">
      <c r="A70" s="4" t="s">
        <v>126</v>
      </c>
      <c r="B70" s="4" t="s">
        <v>310</v>
      </c>
      <c r="C70" s="4" t="s">
        <v>311</v>
      </c>
      <c r="D70" s="4" t="s">
        <v>312</v>
      </c>
      <c r="E70" s="12">
        <v>13.08</v>
      </c>
      <c r="F70" s="34">
        <f t="shared" si="14"/>
        <v>6121.44</v>
      </c>
      <c r="G70" s="28">
        <f t="shared" si="15"/>
        <v>468</v>
      </c>
      <c r="H70" s="28">
        <f t="shared" si="16"/>
        <v>39</v>
      </c>
      <c r="I70" s="26">
        <f t="shared" si="17"/>
        <v>3453.12</v>
      </c>
      <c r="J70" s="24">
        <f t="shared" si="18"/>
        <v>264</v>
      </c>
      <c r="K70" s="31">
        <f t="shared" si="19"/>
        <v>53</v>
      </c>
      <c r="L70" s="9">
        <v>0</v>
      </c>
      <c r="M70" s="9">
        <v>0</v>
      </c>
      <c r="N70" s="9">
        <v>0</v>
      </c>
      <c r="O70" s="9">
        <v>0</v>
      </c>
      <c r="P70" s="9">
        <v>48</v>
      </c>
      <c r="Q70" s="9">
        <v>60</v>
      </c>
      <c r="R70" s="9">
        <v>48</v>
      </c>
      <c r="S70" s="9">
        <v>60</v>
      </c>
      <c r="T70" s="9">
        <v>48</v>
      </c>
      <c r="U70" s="9">
        <v>48</v>
      </c>
      <c r="V70" s="9">
        <v>60</v>
      </c>
      <c r="W70" s="9">
        <v>48</v>
      </c>
      <c r="X70" s="9">
        <v>48</v>
      </c>
      <c r="Y70" s="9">
        <v>60</v>
      </c>
      <c r="Z70" s="9">
        <v>48</v>
      </c>
      <c r="AA70" s="9">
        <v>48</v>
      </c>
      <c r="AB70" s="9">
        <v>60</v>
      </c>
      <c r="AC70" s="9">
        <v>48</v>
      </c>
      <c r="AE70" s="6">
        <v>0</v>
      </c>
      <c r="AF70" s="6">
        <v>0</v>
      </c>
      <c r="AG70" s="6">
        <v>0</v>
      </c>
      <c r="AH70" s="6">
        <v>0</v>
      </c>
      <c r="AI70" s="6">
        <v>627.84</v>
      </c>
      <c r="AJ70" s="6">
        <v>784.8</v>
      </c>
      <c r="AK70" s="6">
        <v>627.84</v>
      </c>
      <c r="AL70" s="6">
        <v>784.8</v>
      </c>
      <c r="AM70" s="6">
        <v>627.84</v>
      </c>
      <c r="AN70" s="6">
        <v>627.84</v>
      </c>
      <c r="AO70" s="6">
        <v>784.8</v>
      </c>
      <c r="AP70" s="6">
        <v>627.84</v>
      </c>
      <c r="AQ70" s="6">
        <v>627.84</v>
      </c>
      <c r="AR70" s="6">
        <v>784.8</v>
      </c>
      <c r="AS70" s="6">
        <v>627.84</v>
      </c>
      <c r="AT70" s="6">
        <v>627.84</v>
      </c>
      <c r="AU70" s="6">
        <v>784.8</v>
      </c>
      <c r="AV70" s="6">
        <v>627.84</v>
      </c>
      <c r="AW70" s="93" t="s">
        <v>631</v>
      </c>
      <c r="AX70" s="76" t="s">
        <v>833</v>
      </c>
      <c r="AY70" s="76" t="s">
        <v>833</v>
      </c>
      <c r="AZ70" s="76" t="s">
        <v>833</v>
      </c>
      <c r="BA70" s="76" t="s">
        <v>833</v>
      </c>
      <c r="BB70" s="76" t="s">
        <v>833</v>
      </c>
      <c r="BC70" s="76" t="s">
        <v>833</v>
      </c>
      <c r="BD70" s="76" t="s">
        <v>833</v>
      </c>
      <c r="BE70" s="76" t="s">
        <v>833</v>
      </c>
      <c r="BF70" s="76" t="s">
        <v>833</v>
      </c>
      <c r="BG70" s="76" t="s">
        <v>833</v>
      </c>
      <c r="BH70" s="76" t="s">
        <v>833</v>
      </c>
      <c r="BI70" s="76" t="s">
        <v>833</v>
      </c>
      <c r="BJ70" s="76" t="s">
        <v>833</v>
      </c>
      <c r="BK70" s="76" t="s">
        <v>833</v>
      </c>
      <c r="BL70" s="76" t="s">
        <v>833</v>
      </c>
      <c r="BM70" s="76" t="s">
        <v>833</v>
      </c>
      <c r="BN70" s="76" t="s">
        <v>631</v>
      </c>
      <c r="BO70" s="94" t="s">
        <v>631</v>
      </c>
      <c r="BP70" s="76" t="s">
        <v>833</v>
      </c>
      <c r="BQ70" s="76" t="s">
        <v>833</v>
      </c>
      <c r="BR70" s="76" t="s">
        <v>833</v>
      </c>
      <c r="BS70" s="76" t="s">
        <v>833</v>
      </c>
      <c r="BT70" s="76" t="s">
        <v>833</v>
      </c>
      <c r="BU70" s="76" t="s">
        <v>833</v>
      </c>
      <c r="BV70" s="76" t="s">
        <v>833</v>
      </c>
      <c r="BW70" s="76" t="s">
        <v>833</v>
      </c>
      <c r="BX70" s="76" t="s">
        <v>833</v>
      </c>
      <c r="BY70" s="76" t="s">
        <v>833</v>
      </c>
      <c r="BZ70" s="76" t="s">
        <v>833</v>
      </c>
      <c r="CA70" s="76" t="s">
        <v>833</v>
      </c>
      <c r="CB70" s="76" t="s">
        <v>833</v>
      </c>
      <c r="CC70" s="76" t="s">
        <v>833</v>
      </c>
      <c r="CD70" s="76" t="s">
        <v>833</v>
      </c>
      <c r="CE70" s="76" t="s">
        <v>833</v>
      </c>
      <c r="CF70" s="76" t="s">
        <v>833</v>
      </c>
      <c r="CG70" s="76" t="s">
        <v>833</v>
      </c>
      <c r="CH70" s="76" t="s">
        <v>833</v>
      </c>
      <c r="CI70" s="76" t="s">
        <v>833</v>
      </c>
      <c r="CJ70" s="76" t="s">
        <v>833</v>
      </c>
      <c r="CK70" s="76" t="s">
        <v>833</v>
      </c>
      <c r="CL70" s="76" t="s">
        <v>833</v>
      </c>
      <c r="CM70" s="76" t="s">
        <v>833</v>
      </c>
      <c r="CN70" s="76" t="s">
        <v>833</v>
      </c>
      <c r="CO70" s="76" t="s">
        <v>833</v>
      </c>
      <c r="CP70" s="76" t="s">
        <v>833</v>
      </c>
      <c r="CQ70" s="76" t="s">
        <v>833</v>
      </c>
      <c r="CR70" s="76" t="s">
        <v>833</v>
      </c>
      <c r="CS70" s="76" t="s">
        <v>833</v>
      </c>
      <c r="CT70" s="76" t="s">
        <v>833</v>
      </c>
      <c r="CU70" s="76" t="s">
        <v>833</v>
      </c>
      <c r="CV70" s="76" t="s">
        <v>833</v>
      </c>
      <c r="CW70" s="76" t="s">
        <v>833</v>
      </c>
      <c r="CX70" s="76" t="s">
        <v>833</v>
      </c>
      <c r="CY70" s="96" t="s">
        <v>631</v>
      </c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95"/>
      <c r="DO70" s="90">
        <f t="shared" si="13"/>
        <v>4</v>
      </c>
      <c r="DP70" s="21"/>
      <c r="DQ70" s="21"/>
    </row>
    <row r="71" spans="1:121" x14ac:dyDescent="0.3">
      <c r="A71" s="4" t="s">
        <v>126</v>
      </c>
      <c r="B71" s="4" t="s">
        <v>310</v>
      </c>
      <c r="C71" s="4" t="s">
        <v>313</v>
      </c>
      <c r="D71" s="4" t="s">
        <v>314</v>
      </c>
      <c r="E71" s="12">
        <v>27.5</v>
      </c>
      <c r="F71" s="34">
        <f t="shared" si="14"/>
        <v>16830</v>
      </c>
      <c r="G71" s="28">
        <f t="shared" si="15"/>
        <v>612</v>
      </c>
      <c r="H71" s="28">
        <f t="shared" si="16"/>
        <v>51</v>
      </c>
      <c r="I71" s="26">
        <f t="shared" si="17"/>
        <v>7260</v>
      </c>
      <c r="J71" s="24">
        <f t="shared" si="18"/>
        <v>264</v>
      </c>
      <c r="K71" s="31">
        <f t="shared" si="19"/>
        <v>53</v>
      </c>
      <c r="L71" s="9">
        <v>0</v>
      </c>
      <c r="M71" s="9">
        <v>0</v>
      </c>
      <c r="N71" s="9">
        <v>0</v>
      </c>
      <c r="O71" s="9">
        <v>0</v>
      </c>
      <c r="P71" s="9">
        <v>100</v>
      </c>
      <c r="Q71" s="9">
        <v>100</v>
      </c>
      <c r="R71" s="9">
        <v>100</v>
      </c>
      <c r="S71" s="9">
        <v>60</v>
      </c>
      <c r="T71" s="9">
        <v>48</v>
      </c>
      <c r="U71" s="9">
        <v>48</v>
      </c>
      <c r="V71" s="9">
        <v>60</v>
      </c>
      <c r="W71" s="9">
        <v>48</v>
      </c>
      <c r="X71" s="9">
        <v>48</v>
      </c>
      <c r="Y71" s="9">
        <v>60</v>
      </c>
      <c r="Z71" s="9">
        <v>48</v>
      </c>
      <c r="AA71" s="9">
        <v>48</v>
      </c>
      <c r="AB71" s="9">
        <v>60</v>
      </c>
      <c r="AC71" s="9">
        <v>48</v>
      </c>
      <c r="AE71" s="6">
        <v>0</v>
      </c>
      <c r="AF71" s="6">
        <v>0</v>
      </c>
      <c r="AG71" s="6">
        <v>0</v>
      </c>
      <c r="AH71" s="6">
        <v>0</v>
      </c>
      <c r="AI71" s="6">
        <v>2600</v>
      </c>
      <c r="AJ71" s="6">
        <v>2750</v>
      </c>
      <c r="AK71" s="6">
        <v>2750</v>
      </c>
      <c r="AL71" s="6">
        <v>1560</v>
      </c>
      <c r="AM71" s="6">
        <v>1248</v>
      </c>
      <c r="AN71" s="6">
        <v>1248</v>
      </c>
      <c r="AO71" s="6">
        <v>1560</v>
      </c>
      <c r="AP71" s="6">
        <v>1248</v>
      </c>
      <c r="AQ71" s="6">
        <v>1248</v>
      </c>
      <c r="AR71" s="6">
        <v>1560</v>
      </c>
      <c r="AS71" s="6">
        <v>1248</v>
      </c>
      <c r="AT71" s="6">
        <v>1248</v>
      </c>
      <c r="AU71" s="6">
        <v>1560</v>
      </c>
      <c r="AV71" s="6">
        <v>1248</v>
      </c>
      <c r="AW71" s="93" t="s">
        <v>631</v>
      </c>
      <c r="AX71" s="76" t="s">
        <v>833</v>
      </c>
      <c r="AY71" s="76" t="s">
        <v>833</v>
      </c>
      <c r="AZ71" s="76" t="s">
        <v>833</v>
      </c>
      <c r="BA71" s="76" t="s">
        <v>833</v>
      </c>
      <c r="BB71" s="76" t="s">
        <v>833</v>
      </c>
      <c r="BC71" s="76" t="s">
        <v>833</v>
      </c>
      <c r="BD71" s="76" t="s">
        <v>833</v>
      </c>
      <c r="BE71" s="76" t="s">
        <v>833</v>
      </c>
      <c r="BF71" s="76" t="s">
        <v>833</v>
      </c>
      <c r="BG71" s="76" t="s">
        <v>833</v>
      </c>
      <c r="BH71" s="76" t="s">
        <v>833</v>
      </c>
      <c r="BI71" s="76" t="s">
        <v>833</v>
      </c>
      <c r="BJ71" s="76" t="s">
        <v>833</v>
      </c>
      <c r="BK71" s="76" t="s">
        <v>833</v>
      </c>
      <c r="BL71" s="76" t="s">
        <v>833</v>
      </c>
      <c r="BM71" s="76" t="s">
        <v>833</v>
      </c>
      <c r="BN71" s="76" t="s">
        <v>631</v>
      </c>
      <c r="BO71" s="94" t="s">
        <v>631</v>
      </c>
      <c r="BP71" s="76" t="s">
        <v>833</v>
      </c>
      <c r="BQ71" s="76" t="s">
        <v>833</v>
      </c>
      <c r="BR71" s="76" t="s">
        <v>833</v>
      </c>
      <c r="BS71" s="76" t="s">
        <v>833</v>
      </c>
      <c r="BT71" s="76" t="s">
        <v>833</v>
      </c>
      <c r="BU71" s="76" t="s">
        <v>833</v>
      </c>
      <c r="BV71" s="76" t="s">
        <v>833</v>
      </c>
      <c r="BW71" s="76" t="s">
        <v>833</v>
      </c>
      <c r="BX71" s="76" t="s">
        <v>833</v>
      </c>
      <c r="BY71" s="76" t="s">
        <v>833</v>
      </c>
      <c r="BZ71" s="76" t="s">
        <v>833</v>
      </c>
      <c r="CA71" s="76" t="s">
        <v>833</v>
      </c>
      <c r="CB71" s="76" t="s">
        <v>833</v>
      </c>
      <c r="CC71" s="76" t="s">
        <v>833</v>
      </c>
      <c r="CD71" s="76" t="s">
        <v>833</v>
      </c>
      <c r="CE71" s="76" t="s">
        <v>833</v>
      </c>
      <c r="CF71" s="76" t="s">
        <v>833</v>
      </c>
      <c r="CG71" s="76" t="s">
        <v>833</v>
      </c>
      <c r="CH71" s="76" t="s">
        <v>833</v>
      </c>
      <c r="CI71" s="76" t="s">
        <v>833</v>
      </c>
      <c r="CJ71" s="76" t="s">
        <v>833</v>
      </c>
      <c r="CK71" s="76" t="s">
        <v>833</v>
      </c>
      <c r="CL71" s="76" t="s">
        <v>833</v>
      </c>
      <c r="CM71" s="76" t="s">
        <v>833</v>
      </c>
      <c r="CN71" s="76" t="s">
        <v>833</v>
      </c>
      <c r="CO71" s="76" t="s">
        <v>833</v>
      </c>
      <c r="CP71" s="76" t="s">
        <v>833</v>
      </c>
      <c r="CQ71" s="76" t="s">
        <v>833</v>
      </c>
      <c r="CR71" s="76" t="s">
        <v>833</v>
      </c>
      <c r="CS71" s="76" t="s">
        <v>833</v>
      </c>
      <c r="CT71" s="76" t="s">
        <v>833</v>
      </c>
      <c r="CU71" s="76" t="s">
        <v>833</v>
      </c>
      <c r="CV71" s="76" t="s">
        <v>833</v>
      </c>
      <c r="CW71" s="76" t="s">
        <v>833</v>
      </c>
      <c r="CX71" s="76" t="s">
        <v>631</v>
      </c>
      <c r="CY71" s="96" t="s">
        <v>631</v>
      </c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95"/>
      <c r="DO71" s="90">
        <f t="shared" si="13"/>
        <v>5</v>
      </c>
      <c r="DP71" s="21"/>
      <c r="DQ71" s="21"/>
    </row>
    <row r="72" spans="1:121" x14ac:dyDescent="0.3">
      <c r="A72" s="4" t="s">
        <v>126</v>
      </c>
      <c r="B72" s="4" t="s">
        <v>310</v>
      </c>
      <c r="C72" s="4" t="s">
        <v>315</v>
      </c>
      <c r="D72" s="4" t="s">
        <v>316</v>
      </c>
      <c r="E72" s="12">
        <v>17.510000000000002</v>
      </c>
      <c r="F72" s="34">
        <f t="shared" si="14"/>
        <v>9805.6</v>
      </c>
      <c r="G72" s="28">
        <f t="shared" si="15"/>
        <v>560</v>
      </c>
      <c r="H72" s="28">
        <f t="shared" si="16"/>
        <v>47</v>
      </c>
      <c r="I72" s="26">
        <f t="shared" si="17"/>
        <v>4622.6400000000003</v>
      </c>
      <c r="J72" s="24">
        <f t="shared" si="18"/>
        <v>264</v>
      </c>
      <c r="K72" s="31">
        <f t="shared" si="19"/>
        <v>53</v>
      </c>
      <c r="L72" s="9">
        <v>0</v>
      </c>
      <c r="M72" s="9">
        <v>0</v>
      </c>
      <c r="N72" s="9">
        <v>0</v>
      </c>
      <c r="O72" s="9">
        <v>0</v>
      </c>
      <c r="P72" s="9">
        <v>100</v>
      </c>
      <c r="Q72" s="9">
        <v>100</v>
      </c>
      <c r="R72" s="9">
        <v>48</v>
      </c>
      <c r="S72" s="9">
        <v>60</v>
      </c>
      <c r="T72" s="9">
        <v>48</v>
      </c>
      <c r="U72" s="9">
        <v>48</v>
      </c>
      <c r="V72" s="9">
        <v>60</v>
      </c>
      <c r="W72" s="9">
        <v>48</v>
      </c>
      <c r="X72" s="9">
        <v>48</v>
      </c>
      <c r="Y72" s="9">
        <v>60</v>
      </c>
      <c r="Z72" s="9">
        <v>48</v>
      </c>
      <c r="AA72" s="9">
        <v>48</v>
      </c>
      <c r="AB72" s="9">
        <v>60</v>
      </c>
      <c r="AC72" s="9">
        <v>48</v>
      </c>
      <c r="AE72" s="6">
        <v>0</v>
      </c>
      <c r="AF72" s="6">
        <v>0</v>
      </c>
      <c r="AG72" s="6">
        <v>0</v>
      </c>
      <c r="AH72" s="6">
        <v>0</v>
      </c>
      <c r="AI72" s="6">
        <v>1622</v>
      </c>
      <c r="AJ72" s="6">
        <v>1751.0000000000002</v>
      </c>
      <c r="AK72" s="6">
        <v>840.48</v>
      </c>
      <c r="AL72" s="6">
        <v>973.19999999999993</v>
      </c>
      <c r="AM72" s="6">
        <v>778.56</v>
      </c>
      <c r="AN72" s="6">
        <v>778.56</v>
      </c>
      <c r="AO72" s="6">
        <v>973.19999999999993</v>
      </c>
      <c r="AP72" s="6">
        <v>778.56</v>
      </c>
      <c r="AQ72" s="6">
        <v>778.56</v>
      </c>
      <c r="AR72" s="6">
        <v>973.19999999999993</v>
      </c>
      <c r="AS72" s="6">
        <v>778.56</v>
      </c>
      <c r="AT72" s="6">
        <v>778.56</v>
      </c>
      <c r="AU72" s="6">
        <v>973.19999999999993</v>
      </c>
      <c r="AV72" s="6">
        <v>778.56</v>
      </c>
      <c r="AW72" s="93" t="s">
        <v>833</v>
      </c>
      <c r="AX72" s="76" t="s">
        <v>631</v>
      </c>
      <c r="AY72" s="76" t="s">
        <v>833</v>
      </c>
      <c r="AZ72" s="76" t="s">
        <v>833</v>
      </c>
      <c r="BA72" s="76" t="s">
        <v>833</v>
      </c>
      <c r="BB72" s="76" t="s">
        <v>833</v>
      </c>
      <c r="BC72" s="76" t="s">
        <v>833</v>
      </c>
      <c r="BD72" s="76" t="s">
        <v>833</v>
      </c>
      <c r="BE72" s="76" t="s">
        <v>833</v>
      </c>
      <c r="BF72" s="76" t="s">
        <v>833</v>
      </c>
      <c r="BG72" s="76" t="s">
        <v>833</v>
      </c>
      <c r="BH72" s="76" t="s">
        <v>833</v>
      </c>
      <c r="BI72" s="76" t="s">
        <v>833</v>
      </c>
      <c r="BJ72" s="76" t="s">
        <v>833</v>
      </c>
      <c r="BK72" s="76" t="s">
        <v>833</v>
      </c>
      <c r="BL72" s="76" t="s">
        <v>833</v>
      </c>
      <c r="BM72" s="76" t="s">
        <v>833</v>
      </c>
      <c r="BN72" s="76" t="s">
        <v>631</v>
      </c>
      <c r="BO72" s="94" t="s">
        <v>631</v>
      </c>
      <c r="BP72" s="76" t="s">
        <v>833</v>
      </c>
      <c r="BQ72" s="76" t="s">
        <v>833</v>
      </c>
      <c r="BR72" s="76" t="s">
        <v>833</v>
      </c>
      <c r="BS72" s="76" t="s">
        <v>833</v>
      </c>
      <c r="BT72" s="76" t="s">
        <v>833</v>
      </c>
      <c r="BU72" s="76" t="s">
        <v>833</v>
      </c>
      <c r="BV72" s="76" t="s">
        <v>833</v>
      </c>
      <c r="BW72" s="76" t="s">
        <v>833</v>
      </c>
      <c r="BX72" s="76" t="s">
        <v>833</v>
      </c>
      <c r="BY72" s="76" t="s">
        <v>833</v>
      </c>
      <c r="BZ72" s="76" t="s">
        <v>833</v>
      </c>
      <c r="CA72" s="76" t="s">
        <v>833</v>
      </c>
      <c r="CB72" s="76" t="s">
        <v>833</v>
      </c>
      <c r="CC72" s="76" t="s">
        <v>833</v>
      </c>
      <c r="CD72" s="76" t="s">
        <v>833</v>
      </c>
      <c r="CE72" s="76" t="s">
        <v>833</v>
      </c>
      <c r="CF72" s="76" t="s">
        <v>833</v>
      </c>
      <c r="CG72" s="76" t="s">
        <v>833</v>
      </c>
      <c r="CH72" s="76" t="s">
        <v>833</v>
      </c>
      <c r="CI72" s="76" t="s">
        <v>833</v>
      </c>
      <c r="CJ72" s="76" t="s">
        <v>833</v>
      </c>
      <c r="CK72" s="76" t="s">
        <v>833</v>
      </c>
      <c r="CL72" s="76" t="s">
        <v>833</v>
      </c>
      <c r="CM72" s="76" t="s">
        <v>833</v>
      </c>
      <c r="CN72" s="76" t="s">
        <v>833</v>
      </c>
      <c r="CO72" s="76" t="s">
        <v>833</v>
      </c>
      <c r="CP72" s="76" t="s">
        <v>833</v>
      </c>
      <c r="CQ72" s="76" t="s">
        <v>833</v>
      </c>
      <c r="CR72" s="76" t="s">
        <v>833</v>
      </c>
      <c r="CS72" s="76" t="s">
        <v>833</v>
      </c>
      <c r="CT72" s="76" t="s">
        <v>833</v>
      </c>
      <c r="CU72" s="76" t="s">
        <v>833</v>
      </c>
      <c r="CV72" s="76" t="s">
        <v>833</v>
      </c>
      <c r="CW72" s="76" t="s">
        <v>833</v>
      </c>
      <c r="CX72" s="76" t="s">
        <v>631</v>
      </c>
      <c r="CY72" s="96" t="s">
        <v>631</v>
      </c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95"/>
      <c r="DO72" s="90">
        <f t="shared" si="13"/>
        <v>5</v>
      </c>
      <c r="DP72" s="21"/>
      <c r="DQ72" s="21"/>
    </row>
    <row r="73" spans="1:121" x14ac:dyDescent="0.3">
      <c r="A73" s="4" t="s">
        <v>126</v>
      </c>
      <c r="B73" s="4" t="s">
        <v>319</v>
      </c>
      <c r="C73" s="4" t="s">
        <v>320</v>
      </c>
      <c r="D73" s="4" t="s">
        <v>321</v>
      </c>
      <c r="E73" s="12">
        <v>5798.97</v>
      </c>
      <c r="F73" s="34">
        <f t="shared" si="14"/>
        <v>1067010.48</v>
      </c>
      <c r="G73" s="28">
        <f t="shared" si="15"/>
        <v>184</v>
      </c>
      <c r="H73" s="28">
        <f t="shared" si="16"/>
        <v>16</v>
      </c>
      <c r="I73" s="26">
        <f t="shared" si="17"/>
        <v>2934278.8200000003</v>
      </c>
      <c r="J73" s="24">
        <f t="shared" si="18"/>
        <v>506</v>
      </c>
      <c r="K73" s="31">
        <f t="shared" si="19"/>
        <v>102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92</v>
      </c>
      <c r="X73" s="9">
        <v>92</v>
      </c>
      <c r="Y73" s="9">
        <v>115</v>
      </c>
      <c r="Z73" s="9">
        <v>92</v>
      </c>
      <c r="AA73" s="9">
        <v>92</v>
      </c>
      <c r="AB73" s="9">
        <v>115</v>
      </c>
      <c r="AC73" s="9">
        <v>92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533505.24</v>
      </c>
      <c r="AQ73" s="6">
        <v>533505.24</v>
      </c>
      <c r="AR73" s="6">
        <v>666881.55000000005</v>
      </c>
      <c r="AS73" s="6">
        <v>533505.24</v>
      </c>
      <c r="AT73" s="6">
        <v>533505.24</v>
      </c>
      <c r="AU73" s="6">
        <v>666881.55000000005</v>
      </c>
      <c r="AV73" s="6">
        <v>533505.24</v>
      </c>
      <c r="AW73" s="93" t="s">
        <v>631</v>
      </c>
      <c r="AX73" s="76" t="s">
        <v>631</v>
      </c>
      <c r="AY73" s="76" t="s">
        <v>631</v>
      </c>
      <c r="AZ73" s="76" t="s">
        <v>833</v>
      </c>
      <c r="BA73" s="76" t="s">
        <v>631</v>
      </c>
      <c r="BB73" s="76" t="s">
        <v>833</v>
      </c>
      <c r="BC73" s="76" t="s">
        <v>833</v>
      </c>
      <c r="BD73" s="76" t="s">
        <v>833</v>
      </c>
      <c r="BE73" s="76" t="s">
        <v>833</v>
      </c>
      <c r="BF73" s="76" t="s">
        <v>833</v>
      </c>
      <c r="BG73" s="76" t="s">
        <v>833</v>
      </c>
      <c r="BH73" s="76" t="s">
        <v>833</v>
      </c>
      <c r="BI73" s="76" t="s">
        <v>833</v>
      </c>
      <c r="BJ73" s="76" t="s">
        <v>833</v>
      </c>
      <c r="BK73" s="76" t="s">
        <v>833</v>
      </c>
      <c r="BL73" s="76" t="s">
        <v>833</v>
      </c>
      <c r="BM73" s="76" t="s">
        <v>833</v>
      </c>
      <c r="BN73" s="76" t="s">
        <v>631</v>
      </c>
      <c r="BO73" s="94" t="s">
        <v>631</v>
      </c>
      <c r="BP73" s="76" t="s">
        <v>833</v>
      </c>
      <c r="BQ73" s="76" t="s">
        <v>833</v>
      </c>
      <c r="BR73" s="76" t="s">
        <v>833</v>
      </c>
      <c r="BS73" s="76" t="s">
        <v>833</v>
      </c>
      <c r="BT73" s="76" t="s">
        <v>833</v>
      </c>
      <c r="BU73" s="76" t="s">
        <v>833</v>
      </c>
      <c r="BV73" s="76" t="s">
        <v>833</v>
      </c>
      <c r="BW73" s="76" t="s">
        <v>833</v>
      </c>
      <c r="BX73" s="76" t="s">
        <v>833</v>
      </c>
      <c r="BY73" s="76" t="s">
        <v>833</v>
      </c>
      <c r="BZ73" s="76" t="s">
        <v>833</v>
      </c>
      <c r="CA73" s="76" t="s">
        <v>833</v>
      </c>
      <c r="CB73" s="76" t="s">
        <v>833</v>
      </c>
      <c r="CC73" s="76" t="s">
        <v>833</v>
      </c>
      <c r="CD73" s="76" t="s">
        <v>833</v>
      </c>
      <c r="CE73" s="76" t="s">
        <v>833</v>
      </c>
      <c r="CF73" s="76" t="s">
        <v>833</v>
      </c>
      <c r="CG73" s="76" t="s">
        <v>833</v>
      </c>
      <c r="CH73" s="76" t="s">
        <v>833</v>
      </c>
      <c r="CI73" s="76" t="s">
        <v>833</v>
      </c>
      <c r="CJ73" s="76" t="s">
        <v>833</v>
      </c>
      <c r="CK73" s="76" t="s">
        <v>833</v>
      </c>
      <c r="CL73" s="76" t="s">
        <v>833</v>
      </c>
      <c r="CM73" s="76" t="s">
        <v>833</v>
      </c>
      <c r="CN73" s="76" t="s">
        <v>631</v>
      </c>
      <c r="CO73" s="76" t="s">
        <v>833</v>
      </c>
      <c r="CP73" s="76" t="s">
        <v>833</v>
      </c>
      <c r="CQ73" s="76" t="s">
        <v>833</v>
      </c>
      <c r="CR73" s="76" t="s">
        <v>833</v>
      </c>
      <c r="CS73" s="76" t="s">
        <v>833</v>
      </c>
      <c r="CT73" s="76" t="s">
        <v>833</v>
      </c>
      <c r="CU73" s="76" t="s">
        <v>833</v>
      </c>
      <c r="CV73" s="76" t="s">
        <v>833</v>
      </c>
      <c r="CW73" s="76" t="s">
        <v>833</v>
      </c>
      <c r="CX73" s="76" t="s">
        <v>631</v>
      </c>
      <c r="CY73" s="96" t="s">
        <v>631</v>
      </c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95"/>
      <c r="DO73" s="90">
        <f>COUNTIF(AW73:DN73,"x")</f>
        <v>9</v>
      </c>
      <c r="DP73" s="21"/>
      <c r="DQ73" s="21"/>
    </row>
    <row r="74" spans="1:121" x14ac:dyDescent="0.3">
      <c r="A74" s="4" t="s">
        <v>126</v>
      </c>
      <c r="B74" s="4" t="s">
        <v>334</v>
      </c>
      <c r="C74" s="4" t="s">
        <v>335</v>
      </c>
      <c r="D74" s="4" t="s">
        <v>336</v>
      </c>
      <c r="E74" s="12">
        <v>9.5500000000000007</v>
      </c>
      <c r="F74" s="34">
        <f t="shared" si="14"/>
        <v>4469.4000000000005</v>
      </c>
      <c r="G74" s="28">
        <f t="shared" si="15"/>
        <v>468</v>
      </c>
      <c r="H74" s="28">
        <f t="shared" si="16"/>
        <v>39</v>
      </c>
      <c r="I74" s="26">
        <f t="shared" si="17"/>
        <v>2521.2000000000003</v>
      </c>
      <c r="J74" s="24">
        <f t="shared" si="18"/>
        <v>264</v>
      </c>
      <c r="K74" s="31">
        <f t="shared" si="19"/>
        <v>53</v>
      </c>
      <c r="L74" s="9">
        <v>0</v>
      </c>
      <c r="M74" s="9">
        <v>0</v>
      </c>
      <c r="N74" s="9">
        <v>0</v>
      </c>
      <c r="O74" s="9">
        <v>0</v>
      </c>
      <c r="P74" s="9">
        <v>48</v>
      </c>
      <c r="Q74" s="9">
        <v>60</v>
      </c>
      <c r="R74" s="9">
        <v>48</v>
      </c>
      <c r="S74" s="9">
        <v>60</v>
      </c>
      <c r="T74" s="9">
        <v>48</v>
      </c>
      <c r="U74" s="9">
        <v>48</v>
      </c>
      <c r="V74" s="9">
        <v>60</v>
      </c>
      <c r="W74" s="9">
        <v>48</v>
      </c>
      <c r="X74" s="9">
        <v>48</v>
      </c>
      <c r="Y74" s="9">
        <v>60</v>
      </c>
      <c r="Z74" s="9">
        <v>48</v>
      </c>
      <c r="AA74" s="9">
        <v>48</v>
      </c>
      <c r="AB74" s="9">
        <v>60</v>
      </c>
      <c r="AC74" s="9">
        <v>48</v>
      </c>
      <c r="AE74" s="6">
        <v>0</v>
      </c>
      <c r="AF74" s="6">
        <v>0</v>
      </c>
      <c r="AG74" s="6">
        <v>0</v>
      </c>
      <c r="AH74" s="6">
        <v>0</v>
      </c>
      <c r="AI74" s="6">
        <v>458.40000000000003</v>
      </c>
      <c r="AJ74" s="6">
        <v>573</v>
      </c>
      <c r="AK74" s="6">
        <v>458.40000000000003</v>
      </c>
      <c r="AL74" s="6">
        <v>573</v>
      </c>
      <c r="AM74" s="6">
        <v>458.40000000000003</v>
      </c>
      <c r="AN74" s="6">
        <v>458.40000000000003</v>
      </c>
      <c r="AO74" s="6">
        <v>573</v>
      </c>
      <c r="AP74" s="6">
        <v>458.40000000000003</v>
      </c>
      <c r="AQ74" s="6">
        <v>458.40000000000003</v>
      </c>
      <c r="AR74" s="6">
        <v>573</v>
      </c>
      <c r="AS74" s="6">
        <v>458.40000000000003</v>
      </c>
      <c r="AT74" s="6">
        <v>458.40000000000003</v>
      </c>
      <c r="AU74" s="6">
        <v>573</v>
      </c>
      <c r="AV74" s="6">
        <v>458.40000000000003</v>
      </c>
      <c r="AW74" s="93" t="s">
        <v>631</v>
      </c>
      <c r="AX74" s="76" t="s">
        <v>833</v>
      </c>
      <c r="AY74" s="76" t="s">
        <v>833</v>
      </c>
      <c r="AZ74" s="76" t="s">
        <v>833</v>
      </c>
      <c r="BA74" s="76" t="s">
        <v>833</v>
      </c>
      <c r="BB74" s="76" t="s">
        <v>833</v>
      </c>
      <c r="BC74" s="76" t="s">
        <v>833</v>
      </c>
      <c r="BD74" s="76" t="s">
        <v>833</v>
      </c>
      <c r="BE74" s="76" t="s">
        <v>833</v>
      </c>
      <c r="BF74" s="76" t="s">
        <v>833</v>
      </c>
      <c r="BG74" s="76" t="s">
        <v>833</v>
      </c>
      <c r="BH74" s="76" t="s">
        <v>833</v>
      </c>
      <c r="BI74" s="76" t="s">
        <v>833</v>
      </c>
      <c r="BJ74" s="76" t="s">
        <v>833</v>
      </c>
      <c r="BK74" s="76" t="s">
        <v>833</v>
      </c>
      <c r="BL74" s="76" t="s">
        <v>833</v>
      </c>
      <c r="BM74" s="76" t="s">
        <v>833</v>
      </c>
      <c r="BN74" s="76" t="s">
        <v>631</v>
      </c>
      <c r="BO74" s="94" t="s">
        <v>631</v>
      </c>
      <c r="BP74" s="76" t="s">
        <v>833</v>
      </c>
      <c r="BQ74" s="76" t="s">
        <v>833</v>
      </c>
      <c r="BR74" s="76" t="s">
        <v>833</v>
      </c>
      <c r="BS74" s="76" t="s">
        <v>833</v>
      </c>
      <c r="BT74" s="76" t="s">
        <v>833</v>
      </c>
      <c r="BU74" s="76" t="s">
        <v>833</v>
      </c>
      <c r="BV74" s="76" t="s">
        <v>833</v>
      </c>
      <c r="BW74" s="76" t="s">
        <v>833</v>
      </c>
      <c r="BX74" s="76" t="s">
        <v>833</v>
      </c>
      <c r="BY74" s="76" t="s">
        <v>833</v>
      </c>
      <c r="BZ74" s="76" t="s">
        <v>833</v>
      </c>
      <c r="CA74" s="76" t="s">
        <v>833</v>
      </c>
      <c r="CB74" s="76" t="s">
        <v>833</v>
      </c>
      <c r="CC74" s="76" t="s">
        <v>833</v>
      </c>
      <c r="CD74" s="76" t="s">
        <v>833</v>
      </c>
      <c r="CE74" s="76" t="s">
        <v>833</v>
      </c>
      <c r="CF74" s="76" t="s">
        <v>833</v>
      </c>
      <c r="CG74" s="76" t="s">
        <v>833</v>
      </c>
      <c r="CH74" s="76" t="s">
        <v>833</v>
      </c>
      <c r="CI74" s="76" t="s">
        <v>833</v>
      </c>
      <c r="CJ74" s="76" t="s">
        <v>833</v>
      </c>
      <c r="CK74" s="76" t="s">
        <v>833</v>
      </c>
      <c r="CL74" s="76" t="s">
        <v>833</v>
      </c>
      <c r="CM74" s="76" t="s">
        <v>833</v>
      </c>
      <c r="CN74" s="76" t="s">
        <v>833</v>
      </c>
      <c r="CO74" s="76" t="s">
        <v>833</v>
      </c>
      <c r="CP74" s="76" t="s">
        <v>833</v>
      </c>
      <c r="CQ74" s="76" t="s">
        <v>833</v>
      </c>
      <c r="CR74" s="76" t="s">
        <v>833</v>
      </c>
      <c r="CS74" s="76" t="s">
        <v>833</v>
      </c>
      <c r="CT74" s="76" t="s">
        <v>833</v>
      </c>
      <c r="CU74" s="76" t="s">
        <v>833</v>
      </c>
      <c r="CV74" s="76" t="s">
        <v>833</v>
      </c>
      <c r="CW74" s="76" t="s">
        <v>833</v>
      </c>
      <c r="CX74" s="76" t="s">
        <v>631</v>
      </c>
      <c r="CY74" s="96" t="s">
        <v>631</v>
      </c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95"/>
      <c r="DO74" s="90">
        <f t="shared" si="13"/>
        <v>5</v>
      </c>
      <c r="DP74" s="21"/>
      <c r="DQ74" s="21"/>
    </row>
    <row r="75" spans="1:121" x14ac:dyDescent="0.3">
      <c r="A75" s="4" t="s">
        <v>126</v>
      </c>
      <c r="B75" s="4" t="s">
        <v>334</v>
      </c>
      <c r="C75" s="4" t="s">
        <v>337</v>
      </c>
      <c r="D75" s="4" t="s">
        <v>338</v>
      </c>
      <c r="E75" s="12">
        <v>113.32</v>
      </c>
      <c r="F75" s="34">
        <f t="shared" si="14"/>
        <v>84990</v>
      </c>
      <c r="G75" s="28">
        <f t="shared" si="15"/>
        <v>750</v>
      </c>
      <c r="H75" s="28">
        <f t="shared" si="16"/>
        <v>63</v>
      </c>
      <c r="I75" s="26">
        <f t="shared" si="17"/>
        <v>0</v>
      </c>
      <c r="J75" s="24">
        <f t="shared" si="18"/>
        <v>0</v>
      </c>
      <c r="K75" s="31">
        <f t="shared" si="19"/>
        <v>0</v>
      </c>
      <c r="L75" s="9">
        <v>0</v>
      </c>
      <c r="M75" s="9">
        <v>150</v>
      </c>
      <c r="N75" s="9">
        <v>150</v>
      </c>
      <c r="O75" s="9">
        <v>0</v>
      </c>
      <c r="P75" s="9">
        <v>150</v>
      </c>
      <c r="Q75" s="9">
        <v>100</v>
      </c>
      <c r="R75" s="9">
        <v>100</v>
      </c>
      <c r="S75" s="9">
        <v>100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E75" s="6">
        <v>0</v>
      </c>
      <c r="AF75" s="6">
        <v>20445.000000000004</v>
      </c>
      <c r="AG75" s="6">
        <v>20445.000000000004</v>
      </c>
      <c r="AH75" s="6">
        <v>0</v>
      </c>
      <c r="AI75" s="6">
        <v>16998</v>
      </c>
      <c r="AJ75" s="6">
        <v>13630.000000000002</v>
      </c>
      <c r="AK75" s="6">
        <v>11332</v>
      </c>
      <c r="AL75" s="6">
        <v>11332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93" t="s">
        <v>631</v>
      </c>
      <c r="AX75" s="76" t="s">
        <v>833</v>
      </c>
      <c r="AY75" s="76" t="s">
        <v>833</v>
      </c>
      <c r="AZ75" s="76" t="s">
        <v>833</v>
      </c>
      <c r="BA75" s="76" t="s">
        <v>631</v>
      </c>
      <c r="BB75" s="76" t="s">
        <v>833</v>
      </c>
      <c r="BC75" s="76" t="s">
        <v>833</v>
      </c>
      <c r="BD75" s="76" t="s">
        <v>833</v>
      </c>
      <c r="BE75" s="76" t="s">
        <v>833</v>
      </c>
      <c r="BF75" s="76" t="s">
        <v>833</v>
      </c>
      <c r="BG75" s="76" t="s">
        <v>833</v>
      </c>
      <c r="BH75" s="76" t="s">
        <v>833</v>
      </c>
      <c r="BI75" s="76" t="s">
        <v>833</v>
      </c>
      <c r="BJ75" s="76" t="s">
        <v>833</v>
      </c>
      <c r="BK75" s="76" t="s">
        <v>833</v>
      </c>
      <c r="BL75" s="76" t="s">
        <v>833</v>
      </c>
      <c r="BM75" s="76" t="s">
        <v>833</v>
      </c>
      <c r="BN75" s="76" t="s">
        <v>631</v>
      </c>
      <c r="BO75" s="94" t="s">
        <v>631</v>
      </c>
      <c r="BP75" s="76" t="s">
        <v>833</v>
      </c>
      <c r="BQ75" s="76" t="s">
        <v>833</v>
      </c>
      <c r="BR75" s="76" t="s">
        <v>833</v>
      </c>
      <c r="BS75" s="76" t="s">
        <v>833</v>
      </c>
      <c r="BT75" s="76" t="s">
        <v>833</v>
      </c>
      <c r="BU75" s="76" t="s">
        <v>833</v>
      </c>
      <c r="BV75" s="76" t="s">
        <v>833</v>
      </c>
      <c r="BW75" s="76" t="s">
        <v>833</v>
      </c>
      <c r="BX75" s="76" t="s">
        <v>833</v>
      </c>
      <c r="BY75" s="76" t="s">
        <v>833</v>
      </c>
      <c r="BZ75" s="76" t="s">
        <v>833</v>
      </c>
      <c r="CA75" s="76" t="s">
        <v>833</v>
      </c>
      <c r="CB75" s="76" t="s">
        <v>833</v>
      </c>
      <c r="CC75" s="76" t="s">
        <v>833</v>
      </c>
      <c r="CD75" s="76" t="s">
        <v>833</v>
      </c>
      <c r="CE75" s="76" t="s">
        <v>833</v>
      </c>
      <c r="CF75" s="76" t="s">
        <v>833</v>
      </c>
      <c r="CG75" s="76" t="s">
        <v>833</v>
      </c>
      <c r="CH75" s="76" t="s">
        <v>833</v>
      </c>
      <c r="CI75" s="76" t="s">
        <v>833</v>
      </c>
      <c r="CJ75" s="76" t="s">
        <v>833</v>
      </c>
      <c r="CK75" s="76" t="s">
        <v>833</v>
      </c>
      <c r="CL75" s="76" t="s">
        <v>833</v>
      </c>
      <c r="CM75" s="76" t="s">
        <v>833</v>
      </c>
      <c r="CN75" s="76" t="s">
        <v>833</v>
      </c>
      <c r="CO75" s="76" t="s">
        <v>833</v>
      </c>
      <c r="CP75" s="76" t="s">
        <v>833</v>
      </c>
      <c r="CQ75" s="76" t="s">
        <v>833</v>
      </c>
      <c r="CR75" s="76" t="s">
        <v>833</v>
      </c>
      <c r="CS75" s="76" t="s">
        <v>833</v>
      </c>
      <c r="CT75" s="76" t="s">
        <v>833</v>
      </c>
      <c r="CU75" s="76" t="s">
        <v>833</v>
      </c>
      <c r="CV75" s="76" t="s">
        <v>833</v>
      </c>
      <c r="CW75" s="76" t="s">
        <v>833</v>
      </c>
      <c r="CX75" s="76" t="s">
        <v>631</v>
      </c>
      <c r="CY75" s="96" t="s">
        <v>631</v>
      </c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95"/>
      <c r="DO75" s="90">
        <f t="shared" si="13"/>
        <v>6</v>
      </c>
      <c r="DP75" s="21"/>
      <c r="DQ75" s="21"/>
    </row>
    <row r="76" spans="1:121" x14ac:dyDescent="0.3">
      <c r="A76" s="4" t="s">
        <v>126</v>
      </c>
      <c r="B76" s="4" t="s">
        <v>339</v>
      </c>
      <c r="C76" s="4" t="s">
        <v>340</v>
      </c>
      <c r="D76" s="4" t="s">
        <v>341</v>
      </c>
      <c r="E76" s="12">
        <v>6.62</v>
      </c>
      <c r="F76" s="34">
        <f t="shared" si="14"/>
        <v>15186.28</v>
      </c>
      <c r="G76" s="28">
        <f t="shared" si="15"/>
        <v>2294</v>
      </c>
      <c r="H76" s="28">
        <f t="shared" si="16"/>
        <v>192</v>
      </c>
      <c r="I76" s="26">
        <f t="shared" si="17"/>
        <v>6699.4400000000005</v>
      </c>
      <c r="J76" s="24">
        <f t="shared" si="18"/>
        <v>1012</v>
      </c>
      <c r="K76" s="31">
        <f t="shared" si="19"/>
        <v>203</v>
      </c>
      <c r="L76" s="9">
        <v>500</v>
      </c>
      <c r="M76" s="9">
        <v>500</v>
      </c>
      <c r="N76" s="9">
        <v>0</v>
      </c>
      <c r="O76" s="9">
        <v>0</v>
      </c>
      <c r="P76" s="9">
        <v>184</v>
      </c>
      <c r="Q76" s="9">
        <v>230</v>
      </c>
      <c r="R76" s="9">
        <v>184</v>
      </c>
      <c r="S76" s="9">
        <v>230</v>
      </c>
      <c r="T76" s="9">
        <v>184</v>
      </c>
      <c r="U76" s="9">
        <v>184</v>
      </c>
      <c r="V76" s="9">
        <v>230</v>
      </c>
      <c r="W76" s="9">
        <v>184</v>
      </c>
      <c r="X76" s="9">
        <v>184</v>
      </c>
      <c r="Y76" s="9">
        <v>230</v>
      </c>
      <c r="Z76" s="9">
        <v>184</v>
      </c>
      <c r="AA76" s="9">
        <v>184</v>
      </c>
      <c r="AB76" s="9">
        <v>230</v>
      </c>
      <c r="AC76" s="9">
        <v>184</v>
      </c>
      <c r="AE76" s="6">
        <v>3310</v>
      </c>
      <c r="AF76" s="6">
        <v>3440</v>
      </c>
      <c r="AG76" s="6">
        <v>0</v>
      </c>
      <c r="AH76" s="6">
        <v>0</v>
      </c>
      <c r="AI76" s="6">
        <v>1218.08</v>
      </c>
      <c r="AJ76" s="6">
        <v>1522.6000000000001</v>
      </c>
      <c r="AK76" s="6">
        <v>1218.08</v>
      </c>
      <c r="AL76" s="6">
        <v>1522.6000000000001</v>
      </c>
      <c r="AM76" s="6">
        <v>1218.08</v>
      </c>
      <c r="AN76" s="6">
        <v>1218.08</v>
      </c>
      <c r="AO76" s="6">
        <v>1522.6000000000001</v>
      </c>
      <c r="AP76" s="6">
        <v>1218.08</v>
      </c>
      <c r="AQ76" s="6">
        <v>1218.08</v>
      </c>
      <c r="AR76" s="6">
        <v>1522.6000000000001</v>
      </c>
      <c r="AS76" s="6">
        <v>1218.08</v>
      </c>
      <c r="AT76" s="6">
        <v>1218.08</v>
      </c>
      <c r="AU76" s="6">
        <v>1522.6000000000001</v>
      </c>
      <c r="AV76" s="6">
        <v>1218.08</v>
      </c>
      <c r="AW76" s="93" t="s">
        <v>631</v>
      </c>
      <c r="AX76" s="76" t="s">
        <v>833</v>
      </c>
      <c r="AY76" s="76" t="s">
        <v>833</v>
      </c>
      <c r="AZ76" s="76" t="s">
        <v>833</v>
      </c>
      <c r="BA76" s="76" t="s">
        <v>833</v>
      </c>
      <c r="BB76" s="76" t="s">
        <v>833</v>
      </c>
      <c r="BC76" s="76" t="s">
        <v>833</v>
      </c>
      <c r="BD76" s="76" t="s">
        <v>833</v>
      </c>
      <c r="BE76" s="76" t="s">
        <v>833</v>
      </c>
      <c r="BF76" s="76" t="s">
        <v>833</v>
      </c>
      <c r="BG76" s="76" t="s">
        <v>833</v>
      </c>
      <c r="BH76" s="76" t="s">
        <v>833</v>
      </c>
      <c r="BI76" s="76" t="s">
        <v>833</v>
      </c>
      <c r="BJ76" s="76" t="s">
        <v>833</v>
      </c>
      <c r="BK76" s="76" t="s">
        <v>833</v>
      </c>
      <c r="BL76" s="76" t="s">
        <v>833</v>
      </c>
      <c r="BM76" s="76" t="s">
        <v>833</v>
      </c>
      <c r="BN76" s="76" t="s">
        <v>833</v>
      </c>
      <c r="BO76" s="94" t="s">
        <v>631</v>
      </c>
      <c r="BP76" s="76" t="s">
        <v>833</v>
      </c>
      <c r="BQ76" s="76" t="s">
        <v>833</v>
      </c>
      <c r="BR76" s="76" t="s">
        <v>833</v>
      </c>
      <c r="BS76" s="76" t="s">
        <v>833</v>
      </c>
      <c r="BT76" s="76" t="s">
        <v>833</v>
      </c>
      <c r="BU76" s="76" t="s">
        <v>833</v>
      </c>
      <c r="BV76" s="76" t="s">
        <v>833</v>
      </c>
      <c r="BW76" s="76" t="s">
        <v>833</v>
      </c>
      <c r="BX76" s="76" t="s">
        <v>833</v>
      </c>
      <c r="BY76" s="76" t="s">
        <v>833</v>
      </c>
      <c r="BZ76" s="76" t="s">
        <v>833</v>
      </c>
      <c r="CA76" s="76" t="s">
        <v>833</v>
      </c>
      <c r="CB76" s="76" t="s">
        <v>833</v>
      </c>
      <c r="CC76" s="76" t="s">
        <v>833</v>
      </c>
      <c r="CD76" s="76" t="s">
        <v>833</v>
      </c>
      <c r="CE76" s="76" t="s">
        <v>833</v>
      </c>
      <c r="CF76" s="76" t="s">
        <v>833</v>
      </c>
      <c r="CG76" s="76" t="s">
        <v>833</v>
      </c>
      <c r="CH76" s="76" t="s">
        <v>833</v>
      </c>
      <c r="CI76" s="76" t="s">
        <v>833</v>
      </c>
      <c r="CJ76" s="76" t="s">
        <v>833</v>
      </c>
      <c r="CK76" s="76" t="s">
        <v>833</v>
      </c>
      <c r="CL76" s="76" t="s">
        <v>833</v>
      </c>
      <c r="CM76" s="76" t="s">
        <v>833</v>
      </c>
      <c r="CN76" s="76" t="s">
        <v>833</v>
      </c>
      <c r="CO76" s="76" t="s">
        <v>833</v>
      </c>
      <c r="CP76" s="76" t="s">
        <v>833</v>
      </c>
      <c r="CQ76" s="76" t="s">
        <v>833</v>
      </c>
      <c r="CR76" s="76" t="s">
        <v>833</v>
      </c>
      <c r="CS76" s="76" t="s">
        <v>833</v>
      </c>
      <c r="CT76" s="76" t="s">
        <v>833</v>
      </c>
      <c r="CU76" s="76" t="s">
        <v>833</v>
      </c>
      <c r="CV76" s="76" t="s">
        <v>833</v>
      </c>
      <c r="CW76" s="76" t="s">
        <v>833</v>
      </c>
      <c r="CX76" s="76" t="s">
        <v>631</v>
      </c>
      <c r="CY76" s="96" t="s">
        <v>631</v>
      </c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95"/>
      <c r="DO76" s="90">
        <f t="shared" si="13"/>
        <v>4</v>
      </c>
      <c r="DP76" s="21"/>
      <c r="DQ76" s="21"/>
    </row>
    <row r="77" spans="1:121" x14ac:dyDescent="0.3">
      <c r="A77" s="4" t="s">
        <v>126</v>
      </c>
      <c r="B77" s="4" t="s">
        <v>339</v>
      </c>
      <c r="C77" s="4" t="s">
        <v>342</v>
      </c>
      <c r="D77" s="4" t="s">
        <v>341</v>
      </c>
      <c r="E77" s="12">
        <v>3.9</v>
      </c>
      <c r="F77" s="34">
        <f t="shared" si="14"/>
        <v>10514.4</v>
      </c>
      <c r="G77" s="28">
        <f t="shared" si="15"/>
        <v>2696</v>
      </c>
      <c r="H77" s="28">
        <f t="shared" si="16"/>
        <v>225</v>
      </c>
      <c r="I77" s="26">
        <f t="shared" si="17"/>
        <v>3946.7999999999997</v>
      </c>
      <c r="J77" s="24">
        <f t="shared" si="18"/>
        <v>1012</v>
      </c>
      <c r="K77" s="31">
        <f t="shared" si="19"/>
        <v>203</v>
      </c>
      <c r="L77" s="9">
        <v>500</v>
      </c>
      <c r="M77" s="9">
        <v>0</v>
      </c>
      <c r="N77" s="9">
        <v>0</v>
      </c>
      <c r="O77" s="9">
        <v>0</v>
      </c>
      <c r="P77" s="9">
        <v>500</v>
      </c>
      <c r="Q77" s="9">
        <v>500</v>
      </c>
      <c r="R77" s="9">
        <v>500</v>
      </c>
      <c r="S77" s="9">
        <v>230</v>
      </c>
      <c r="T77" s="9">
        <v>184</v>
      </c>
      <c r="U77" s="9">
        <v>184</v>
      </c>
      <c r="V77" s="9">
        <v>230</v>
      </c>
      <c r="W77" s="9">
        <v>184</v>
      </c>
      <c r="X77" s="9">
        <v>184</v>
      </c>
      <c r="Y77" s="9">
        <v>230</v>
      </c>
      <c r="Z77" s="9">
        <v>184</v>
      </c>
      <c r="AA77" s="9">
        <v>184</v>
      </c>
      <c r="AB77" s="9">
        <v>230</v>
      </c>
      <c r="AC77" s="9">
        <v>184</v>
      </c>
      <c r="AE77" s="6">
        <v>1885</v>
      </c>
      <c r="AF77" s="6">
        <v>0</v>
      </c>
      <c r="AG77" s="6">
        <v>0</v>
      </c>
      <c r="AH77" s="6">
        <v>0</v>
      </c>
      <c r="AI77" s="6">
        <v>1885</v>
      </c>
      <c r="AJ77" s="6">
        <v>1900</v>
      </c>
      <c r="AK77" s="6">
        <v>1900</v>
      </c>
      <c r="AL77" s="6">
        <v>867.1</v>
      </c>
      <c r="AM77" s="6">
        <v>693.68</v>
      </c>
      <c r="AN77" s="6">
        <v>693.68</v>
      </c>
      <c r="AO77" s="6">
        <v>867.1</v>
      </c>
      <c r="AP77" s="6">
        <v>693.68</v>
      </c>
      <c r="AQ77" s="6">
        <v>693.68</v>
      </c>
      <c r="AR77" s="6">
        <v>867.1</v>
      </c>
      <c r="AS77" s="6">
        <v>693.68</v>
      </c>
      <c r="AT77" s="6">
        <v>693.68</v>
      </c>
      <c r="AU77" s="6">
        <v>867.1</v>
      </c>
      <c r="AV77" s="6">
        <v>693.68</v>
      </c>
      <c r="AW77" s="93" t="s">
        <v>631</v>
      </c>
      <c r="AX77" s="76" t="s">
        <v>833</v>
      </c>
      <c r="AY77" s="76" t="s">
        <v>833</v>
      </c>
      <c r="AZ77" s="76" t="s">
        <v>833</v>
      </c>
      <c r="BA77" s="76" t="s">
        <v>833</v>
      </c>
      <c r="BB77" s="76" t="s">
        <v>833</v>
      </c>
      <c r="BC77" s="76" t="s">
        <v>833</v>
      </c>
      <c r="BD77" s="76" t="s">
        <v>833</v>
      </c>
      <c r="BE77" s="76" t="s">
        <v>833</v>
      </c>
      <c r="BF77" s="76" t="s">
        <v>833</v>
      </c>
      <c r="BG77" s="76" t="s">
        <v>833</v>
      </c>
      <c r="BH77" s="76" t="s">
        <v>833</v>
      </c>
      <c r="BI77" s="76" t="s">
        <v>833</v>
      </c>
      <c r="BJ77" s="76" t="s">
        <v>833</v>
      </c>
      <c r="BK77" s="76" t="s">
        <v>833</v>
      </c>
      <c r="BL77" s="76" t="s">
        <v>833</v>
      </c>
      <c r="BM77" s="76" t="s">
        <v>833</v>
      </c>
      <c r="BN77" s="76" t="s">
        <v>631</v>
      </c>
      <c r="BO77" s="94" t="s">
        <v>631</v>
      </c>
      <c r="BP77" s="76" t="s">
        <v>833</v>
      </c>
      <c r="BQ77" s="76" t="s">
        <v>833</v>
      </c>
      <c r="BR77" s="76" t="s">
        <v>833</v>
      </c>
      <c r="BS77" s="76" t="s">
        <v>833</v>
      </c>
      <c r="BT77" s="76" t="s">
        <v>833</v>
      </c>
      <c r="BU77" s="76" t="s">
        <v>833</v>
      </c>
      <c r="BV77" s="76" t="s">
        <v>833</v>
      </c>
      <c r="BW77" s="76" t="s">
        <v>833</v>
      </c>
      <c r="BX77" s="76" t="s">
        <v>833</v>
      </c>
      <c r="BY77" s="76" t="s">
        <v>833</v>
      </c>
      <c r="BZ77" s="76" t="s">
        <v>833</v>
      </c>
      <c r="CA77" s="76" t="s">
        <v>833</v>
      </c>
      <c r="CB77" s="76" t="s">
        <v>833</v>
      </c>
      <c r="CC77" s="76" t="s">
        <v>833</v>
      </c>
      <c r="CD77" s="76" t="s">
        <v>833</v>
      </c>
      <c r="CE77" s="76" t="s">
        <v>833</v>
      </c>
      <c r="CF77" s="76" t="s">
        <v>833</v>
      </c>
      <c r="CG77" s="76" t="s">
        <v>833</v>
      </c>
      <c r="CH77" s="76" t="s">
        <v>833</v>
      </c>
      <c r="CI77" s="76" t="s">
        <v>833</v>
      </c>
      <c r="CJ77" s="76" t="s">
        <v>833</v>
      </c>
      <c r="CK77" s="76" t="s">
        <v>833</v>
      </c>
      <c r="CL77" s="76" t="s">
        <v>833</v>
      </c>
      <c r="CM77" s="76" t="s">
        <v>833</v>
      </c>
      <c r="CN77" s="76" t="s">
        <v>833</v>
      </c>
      <c r="CO77" s="76" t="s">
        <v>833</v>
      </c>
      <c r="CP77" s="76" t="s">
        <v>833</v>
      </c>
      <c r="CQ77" s="76" t="s">
        <v>833</v>
      </c>
      <c r="CR77" s="76" t="s">
        <v>833</v>
      </c>
      <c r="CS77" s="76" t="s">
        <v>833</v>
      </c>
      <c r="CT77" s="76" t="s">
        <v>833</v>
      </c>
      <c r="CU77" s="76" t="s">
        <v>833</v>
      </c>
      <c r="CV77" s="76" t="s">
        <v>833</v>
      </c>
      <c r="CW77" s="76" t="s">
        <v>833</v>
      </c>
      <c r="CX77" s="76" t="s">
        <v>631</v>
      </c>
      <c r="CY77" s="96" t="s">
        <v>631</v>
      </c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95"/>
      <c r="DO77" s="90">
        <f t="shared" si="13"/>
        <v>5</v>
      </c>
      <c r="DP77" s="21"/>
      <c r="DQ77" s="21"/>
    </row>
    <row r="78" spans="1:121" x14ac:dyDescent="0.3">
      <c r="A78" s="4" t="s">
        <v>126</v>
      </c>
      <c r="B78" s="4" t="s">
        <v>339</v>
      </c>
      <c r="C78" s="4" t="s">
        <v>343</v>
      </c>
      <c r="D78" s="4" t="s">
        <v>344</v>
      </c>
      <c r="E78" s="12">
        <v>2.72</v>
      </c>
      <c r="F78" s="34">
        <f t="shared" si="14"/>
        <v>11913.6</v>
      </c>
      <c r="G78" s="28">
        <f t="shared" si="15"/>
        <v>4380</v>
      </c>
      <c r="H78" s="28">
        <f t="shared" si="16"/>
        <v>365</v>
      </c>
      <c r="I78" s="26">
        <f t="shared" si="17"/>
        <v>2752.6400000000003</v>
      </c>
      <c r="J78" s="24">
        <f t="shared" si="18"/>
        <v>1012</v>
      </c>
      <c r="K78" s="31">
        <f t="shared" si="19"/>
        <v>203</v>
      </c>
      <c r="L78" s="9">
        <v>500</v>
      </c>
      <c r="M78" s="9">
        <v>0</v>
      </c>
      <c r="N78" s="9">
        <v>0</v>
      </c>
      <c r="O78" s="9">
        <v>1000</v>
      </c>
      <c r="P78" s="9">
        <v>1000</v>
      </c>
      <c r="Q78" s="9">
        <v>1000</v>
      </c>
      <c r="R78" s="9">
        <v>184</v>
      </c>
      <c r="S78" s="9">
        <v>230</v>
      </c>
      <c r="T78" s="9">
        <v>184</v>
      </c>
      <c r="U78" s="9">
        <v>184</v>
      </c>
      <c r="V78" s="9">
        <v>230</v>
      </c>
      <c r="W78" s="9">
        <v>184</v>
      </c>
      <c r="X78" s="9">
        <v>184</v>
      </c>
      <c r="Y78" s="9">
        <v>230</v>
      </c>
      <c r="Z78" s="9">
        <v>184</v>
      </c>
      <c r="AA78" s="9">
        <v>184</v>
      </c>
      <c r="AB78" s="9">
        <v>230</v>
      </c>
      <c r="AC78" s="9">
        <v>184</v>
      </c>
      <c r="AE78" s="6">
        <v>2005</v>
      </c>
      <c r="AF78" s="6">
        <v>0</v>
      </c>
      <c r="AG78" s="6">
        <v>0</v>
      </c>
      <c r="AH78" s="6">
        <v>2490</v>
      </c>
      <c r="AI78" s="6">
        <v>2490</v>
      </c>
      <c r="AJ78" s="6">
        <v>2490</v>
      </c>
      <c r="AK78" s="6">
        <v>458.16</v>
      </c>
      <c r="AL78" s="6">
        <v>572.70000000000005</v>
      </c>
      <c r="AM78" s="6">
        <v>458.16</v>
      </c>
      <c r="AN78" s="6">
        <v>458.16</v>
      </c>
      <c r="AO78" s="6">
        <v>572.70000000000005</v>
      </c>
      <c r="AP78" s="6">
        <v>458.16</v>
      </c>
      <c r="AQ78" s="6">
        <v>458.16</v>
      </c>
      <c r="AR78" s="6">
        <v>572.70000000000005</v>
      </c>
      <c r="AS78" s="6">
        <v>458.16</v>
      </c>
      <c r="AT78" s="6">
        <v>458.16</v>
      </c>
      <c r="AU78" s="6">
        <v>572.70000000000005</v>
      </c>
      <c r="AV78" s="6">
        <v>458.16</v>
      </c>
      <c r="AW78" s="93" t="s">
        <v>833</v>
      </c>
      <c r="AX78" s="76" t="s">
        <v>833</v>
      </c>
      <c r="AY78" s="76" t="s">
        <v>631</v>
      </c>
      <c r="AZ78" s="76" t="s">
        <v>833</v>
      </c>
      <c r="BA78" s="76" t="s">
        <v>833</v>
      </c>
      <c r="BB78" s="76" t="s">
        <v>833</v>
      </c>
      <c r="BC78" s="76" t="s">
        <v>833</v>
      </c>
      <c r="BD78" s="76" t="s">
        <v>833</v>
      </c>
      <c r="BE78" s="76" t="s">
        <v>833</v>
      </c>
      <c r="BF78" s="76" t="s">
        <v>833</v>
      </c>
      <c r="BG78" s="76" t="s">
        <v>833</v>
      </c>
      <c r="BH78" s="76" t="s">
        <v>833</v>
      </c>
      <c r="BI78" s="76" t="s">
        <v>833</v>
      </c>
      <c r="BJ78" s="76" t="s">
        <v>833</v>
      </c>
      <c r="BK78" s="76" t="s">
        <v>833</v>
      </c>
      <c r="BL78" s="76" t="s">
        <v>833</v>
      </c>
      <c r="BM78" s="76" t="s">
        <v>833</v>
      </c>
      <c r="BN78" s="76" t="s">
        <v>833</v>
      </c>
      <c r="BO78" s="94" t="s">
        <v>631</v>
      </c>
      <c r="BP78" s="76" t="s">
        <v>833</v>
      </c>
      <c r="BQ78" s="76" t="s">
        <v>833</v>
      </c>
      <c r="BR78" s="76" t="s">
        <v>833</v>
      </c>
      <c r="BS78" s="76" t="s">
        <v>833</v>
      </c>
      <c r="BT78" s="76" t="s">
        <v>833</v>
      </c>
      <c r="BU78" s="76" t="s">
        <v>833</v>
      </c>
      <c r="BV78" s="76" t="s">
        <v>833</v>
      </c>
      <c r="BW78" s="76" t="s">
        <v>833</v>
      </c>
      <c r="BX78" s="76" t="s">
        <v>833</v>
      </c>
      <c r="BY78" s="76" t="s">
        <v>833</v>
      </c>
      <c r="BZ78" s="76" t="s">
        <v>833</v>
      </c>
      <c r="CA78" s="76" t="s">
        <v>833</v>
      </c>
      <c r="CB78" s="76" t="s">
        <v>833</v>
      </c>
      <c r="CC78" s="76" t="s">
        <v>833</v>
      </c>
      <c r="CD78" s="76" t="s">
        <v>833</v>
      </c>
      <c r="CE78" s="76" t="s">
        <v>833</v>
      </c>
      <c r="CF78" s="76" t="s">
        <v>833</v>
      </c>
      <c r="CG78" s="76" t="s">
        <v>833</v>
      </c>
      <c r="CH78" s="76" t="s">
        <v>833</v>
      </c>
      <c r="CI78" s="76" t="s">
        <v>833</v>
      </c>
      <c r="CJ78" s="76" t="s">
        <v>833</v>
      </c>
      <c r="CK78" s="76" t="s">
        <v>833</v>
      </c>
      <c r="CL78" s="76" t="s">
        <v>833</v>
      </c>
      <c r="CM78" s="76" t="s">
        <v>833</v>
      </c>
      <c r="CN78" s="76" t="s">
        <v>833</v>
      </c>
      <c r="CO78" s="76" t="s">
        <v>833</v>
      </c>
      <c r="CP78" s="76" t="s">
        <v>833</v>
      </c>
      <c r="CQ78" s="76" t="s">
        <v>833</v>
      </c>
      <c r="CR78" s="76" t="s">
        <v>833</v>
      </c>
      <c r="CS78" s="76" t="s">
        <v>833</v>
      </c>
      <c r="CT78" s="76" t="s">
        <v>833</v>
      </c>
      <c r="CU78" s="76" t="s">
        <v>833</v>
      </c>
      <c r="CV78" s="76" t="s">
        <v>833</v>
      </c>
      <c r="CW78" s="76" t="s">
        <v>833</v>
      </c>
      <c r="CX78" s="76" t="s">
        <v>631</v>
      </c>
      <c r="CY78" s="96" t="s">
        <v>631</v>
      </c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95"/>
      <c r="DO78" s="90">
        <f t="shared" si="13"/>
        <v>4</v>
      </c>
      <c r="DP78" s="21"/>
      <c r="DQ78" s="21"/>
    </row>
    <row r="79" spans="1:121" x14ac:dyDescent="0.3">
      <c r="A79" s="4" t="s">
        <v>126</v>
      </c>
      <c r="B79" s="4" t="s">
        <v>339</v>
      </c>
      <c r="C79" s="4" t="s">
        <v>345</v>
      </c>
      <c r="D79" s="4" t="s">
        <v>346</v>
      </c>
      <c r="E79" s="12">
        <v>9.3699999999999992</v>
      </c>
      <c r="F79" s="34">
        <f t="shared" si="14"/>
        <v>21494.78</v>
      </c>
      <c r="G79" s="28">
        <f t="shared" si="15"/>
        <v>2294</v>
      </c>
      <c r="H79" s="28">
        <f t="shared" si="16"/>
        <v>192</v>
      </c>
      <c r="I79" s="26">
        <f t="shared" si="17"/>
        <v>9482.4399999999987</v>
      </c>
      <c r="J79" s="24">
        <f t="shared" si="18"/>
        <v>1012</v>
      </c>
      <c r="K79" s="31">
        <f t="shared" si="19"/>
        <v>203</v>
      </c>
      <c r="L79" s="9">
        <v>0</v>
      </c>
      <c r="M79" s="9">
        <v>500</v>
      </c>
      <c r="N79" s="9">
        <v>0</v>
      </c>
      <c r="O79" s="9">
        <v>0</v>
      </c>
      <c r="P79" s="9">
        <v>184</v>
      </c>
      <c r="Q79" s="9">
        <v>230</v>
      </c>
      <c r="R79" s="9">
        <v>184</v>
      </c>
      <c r="S79" s="9">
        <v>230</v>
      </c>
      <c r="T79" s="9">
        <v>184</v>
      </c>
      <c r="U79" s="9">
        <v>184</v>
      </c>
      <c r="V79" s="9">
        <v>230</v>
      </c>
      <c r="W79" s="9">
        <v>184</v>
      </c>
      <c r="X79" s="9">
        <v>184</v>
      </c>
      <c r="Y79" s="9">
        <v>230</v>
      </c>
      <c r="Z79" s="9">
        <v>184</v>
      </c>
      <c r="AA79" s="9">
        <v>184</v>
      </c>
      <c r="AB79" s="9">
        <v>230</v>
      </c>
      <c r="AC79" s="9">
        <v>184</v>
      </c>
      <c r="AE79" s="6">
        <v>0</v>
      </c>
      <c r="AF79" s="6">
        <v>4054.9999999999995</v>
      </c>
      <c r="AG79" s="6">
        <v>0</v>
      </c>
      <c r="AH79" s="6">
        <v>0</v>
      </c>
      <c r="AI79" s="6">
        <v>1724.08</v>
      </c>
      <c r="AJ79" s="6">
        <v>2155.1</v>
      </c>
      <c r="AK79" s="6">
        <v>1724.08</v>
      </c>
      <c r="AL79" s="6">
        <v>1865.3</v>
      </c>
      <c r="AM79" s="6">
        <v>1492.2399999999998</v>
      </c>
      <c r="AN79" s="6">
        <v>1492.2399999999998</v>
      </c>
      <c r="AO79" s="6">
        <v>1865.3</v>
      </c>
      <c r="AP79" s="6">
        <v>1492.2399999999998</v>
      </c>
      <c r="AQ79" s="6">
        <v>1492.2399999999998</v>
      </c>
      <c r="AR79" s="6">
        <v>1865.3</v>
      </c>
      <c r="AS79" s="6">
        <v>1492.2399999999998</v>
      </c>
      <c r="AT79" s="6">
        <v>1492.2399999999998</v>
      </c>
      <c r="AU79" s="6">
        <v>1865.3</v>
      </c>
      <c r="AV79" s="6">
        <v>1492.2399999999998</v>
      </c>
      <c r="AW79" s="93" t="s">
        <v>631</v>
      </c>
      <c r="AX79" s="76" t="s">
        <v>833</v>
      </c>
      <c r="AY79" s="76" t="s">
        <v>833</v>
      </c>
      <c r="AZ79" s="76" t="s">
        <v>833</v>
      </c>
      <c r="BA79" s="76" t="s">
        <v>833</v>
      </c>
      <c r="BB79" s="76" t="s">
        <v>833</v>
      </c>
      <c r="BC79" s="76" t="s">
        <v>833</v>
      </c>
      <c r="BD79" s="76" t="s">
        <v>833</v>
      </c>
      <c r="BE79" s="76" t="s">
        <v>833</v>
      </c>
      <c r="BF79" s="76" t="s">
        <v>833</v>
      </c>
      <c r="BG79" s="76" t="s">
        <v>833</v>
      </c>
      <c r="BH79" s="76" t="s">
        <v>833</v>
      </c>
      <c r="BI79" s="76" t="s">
        <v>833</v>
      </c>
      <c r="BJ79" s="76" t="s">
        <v>833</v>
      </c>
      <c r="BK79" s="76" t="s">
        <v>833</v>
      </c>
      <c r="BL79" s="76" t="s">
        <v>833</v>
      </c>
      <c r="BM79" s="76" t="s">
        <v>833</v>
      </c>
      <c r="BN79" s="76" t="s">
        <v>833</v>
      </c>
      <c r="BO79" s="94" t="s">
        <v>631</v>
      </c>
      <c r="BP79" s="76" t="s">
        <v>833</v>
      </c>
      <c r="BQ79" s="76" t="s">
        <v>833</v>
      </c>
      <c r="BR79" s="76" t="s">
        <v>833</v>
      </c>
      <c r="BS79" s="76" t="s">
        <v>833</v>
      </c>
      <c r="BT79" s="76" t="s">
        <v>833</v>
      </c>
      <c r="BU79" s="76" t="s">
        <v>833</v>
      </c>
      <c r="BV79" s="76" t="s">
        <v>833</v>
      </c>
      <c r="BW79" s="76" t="s">
        <v>833</v>
      </c>
      <c r="BX79" s="76" t="s">
        <v>833</v>
      </c>
      <c r="BY79" s="76" t="s">
        <v>833</v>
      </c>
      <c r="BZ79" s="76" t="s">
        <v>833</v>
      </c>
      <c r="CA79" s="76" t="s">
        <v>833</v>
      </c>
      <c r="CB79" s="76" t="s">
        <v>833</v>
      </c>
      <c r="CC79" s="76" t="s">
        <v>833</v>
      </c>
      <c r="CD79" s="76" t="s">
        <v>833</v>
      </c>
      <c r="CE79" s="76" t="s">
        <v>833</v>
      </c>
      <c r="CF79" s="76" t="s">
        <v>833</v>
      </c>
      <c r="CG79" s="76" t="s">
        <v>833</v>
      </c>
      <c r="CH79" s="76" t="s">
        <v>833</v>
      </c>
      <c r="CI79" s="76" t="s">
        <v>833</v>
      </c>
      <c r="CJ79" s="76" t="s">
        <v>833</v>
      </c>
      <c r="CK79" s="76" t="s">
        <v>833</v>
      </c>
      <c r="CL79" s="76" t="s">
        <v>833</v>
      </c>
      <c r="CM79" s="76" t="s">
        <v>833</v>
      </c>
      <c r="CN79" s="76" t="s">
        <v>833</v>
      </c>
      <c r="CO79" s="76" t="s">
        <v>833</v>
      </c>
      <c r="CP79" s="76" t="s">
        <v>833</v>
      </c>
      <c r="CQ79" s="76" t="s">
        <v>833</v>
      </c>
      <c r="CR79" s="76" t="s">
        <v>833</v>
      </c>
      <c r="CS79" s="76" t="s">
        <v>833</v>
      </c>
      <c r="CT79" s="76" t="s">
        <v>833</v>
      </c>
      <c r="CU79" s="76" t="s">
        <v>833</v>
      </c>
      <c r="CV79" s="76" t="s">
        <v>833</v>
      </c>
      <c r="CW79" s="76" t="s">
        <v>833</v>
      </c>
      <c r="CX79" s="76" t="s">
        <v>631</v>
      </c>
      <c r="CY79" s="96" t="s">
        <v>631</v>
      </c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95"/>
      <c r="DO79" s="90">
        <f t="shared" si="13"/>
        <v>4</v>
      </c>
      <c r="DP79" s="21"/>
      <c r="DQ79" s="21"/>
    </row>
    <row r="80" spans="1:121" x14ac:dyDescent="0.3">
      <c r="A80" s="4" t="s">
        <v>126</v>
      </c>
      <c r="B80" s="4" t="s">
        <v>339</v>
      </c>
      <c r="C80" s="4" t="s">
        <v>347</v>
      </c>
      <c r="D80" s="4" t="s">
        <v>346</v>
      </c>
      <c r="E80" s="12">
        <v>5.1100000000000003</v>
      </c>
      <c r="F80" s="34">
        <f t="shared" si="14"/>
        <v>11722.34</v>
      </c>
      <c r="G80" s="28">
        <f t="shared" si="15"/>
        <v>2294</v>
      </c>
      <c r="H80" s="28">
        <f t="shared" si="16"/>
        <v>192</v>
      </c>
      <c r="I80" s="26">
        <f t="shared" si="17"/>
        <v>5171.3200000000006</v>
      </c>
      <c r="J80" s="24">
        <f t="shared" si="18"/>
        <v>1012</v>
      </c>
      <c r="K80" s="31">
        <f t="shared" si="19"/>
        <v>203</v>
      </c>
      <c r="L80" s="9">
        <v>0</v>
      </c>
      <c r="M80" s="9">
        <v>500</v>
      </c>
      <c r="N80" s="9">
        <v>0</v>
      </c>
      <c r="O80" s="9">
        <v>0</v>
      </c>
      <c r="P80" s="9">
        <v>184</v>
      </c>
      <c r="Q80" s="9">
        <v>230</v>
      </c>
      <c r="R80" s="9">
        <v>184</v>
      </c>
      <c r="S80" s="9">
        <v>230</v>
      </c>
      <c r="T80" s="9">
        <v>184</v>
      </c>
      <c r="U80" s="9">
        <v>184</v>
      </c>
      <c r="V80" s="9">
        <v>230</v>
      </c>
      <c r="W80" s="9">
        <v>184</v>
      </c>
      <c r="X80" s="9">
        <v>184</v>
      </c>
      <c r="Y80" s="9">
        <v>230</v>
      </c>
      <c r="Z80" s="9">
        <v>184</v>
      </c>
      <c r="AA80" s="9">
        <v>184</v>
      </c>
      <c r="AB80" s="9">
        <v>230</v>
      </c>
      <c r="AC80" s="9">
        <v>184</v>
      </c>
      <c r="AE80" s="6">
        <v>0</v>
      </c>
      <c r="AF80" s="6">
        <v>2555</v>
      </c>
      <c r="AG80" s="6">
        <v>0</v>
      </c>
      <c r="AH80" s="6">
        <v>0</v>
      </c>
      <c r="AI80" s="6">
        <v>940.24</v>
      </c>
      <c r="AJ80" s="6">
        <v>1175.3000000000002</v>
      </c>
      <c r="AK80" s="6">
        <v>940.24</v>
      </c>
      <c r="AL80" s="6">
        <v>1175.3000000000002</v>
      </c>
      <c r="AM80" s="6">
        <v>940.24</v>
      </c>
      <c r="AN80" s="6">
        <v>940.24</v>
      </c>
      <c r="AO80" s="6">
        <v>1175.3000000000002</v>
      </c>
      <c r="AP80" s="6">
        <v>940.24</v>
      </c>
      <c r="AQ80" s="6">
        <v>940.24</v>
      </c>
      <c r="AR80" s="6">
        <v>1175.3000000000002</v>
      </c>
      <c r="AS80" s="6">
        <v>940.24</v>
      </c>
      <c r="AT80" s="6">
        <v>940.24</v>
      </c>
      <c r="AU80" s="6">
        <v>1175.3000000000002</v>
      </c>
      <c r="AV80" s="6">
        <v>940.24</v>
      </c>
      <c r="AW80" s="93" t="s">
        <v>631</v>
      </c>
      <c r="AX80" s="76" t="s">
        <v>833</v>
      </c>
      <c r="AY80" s="76" t="s">
        <v>833</v>
      </c>
      <c r="AZ80" s="76" t="s">
        <v>833</v>
      </c>
      <c r="BA80" s="76" t="s">
        <v>833</v>
      </c>
      <c r="BB80" s="76" t="s">
        <v>833</v>
      </c>
      <c r="BC80" s="76" t="s">
        <v>833</v>
      </c>
      <c r="BD80" s="76" t="s">
        <v>833</v>
      </c>
      <c r="BE80" s="76" t="s">
        <v>833</v>
      </c>
      <c r="BF80" s="76" t="s">
        <v>833</v>
      </c>
      <c r="BG80" s="76" t="s">
        <v>833</v>
      </c>
      <c r="BH80" s="76" t="s">
        <v>833</v>
      </c>
      <c r="BI80" s="76" t="s">
        <v>833</v>
      </c>
      <c r="BJ80" s="76" t="s">
        <v>833</v>
      </c>
      <c r="BK80" s="76" t="s">
        <v>833</v>
      </c>
      <c r="BL80" s="76" t="s">
        <v>833</v>
      </c>
      <c r="BM80" s="76" t="s">
        <v>833</v>
      </c>
      <c r="BN80" s="76" t="s">
        <v>631</v>
      </c>
      <c r="BO80" s="94" t="s">
        <v>631</v>
      </c>
      <c r="BP80" s="76" t="s">
        <v>833</v>
      </c>
      <c r="BQ80" s="76" t="s">
        <v>833</v>
      </c>
      <c r="BR80" s="76" t="s">
        <v>833</v>
      </c>
      <c r="BS80" s="76" t="s">
        <v>833</v>
      </c>
      <c r="BT80" s="76" t="s">
        <v>833</v>
      </c>
      <c r="BU80" s="76" t="s">
        <v>833</v>
      </c>
      <c r="BV80" s="76" t="s">
        <v>833</v>
      </c>
      <c r="BW80" s="76" t="s">
        <v>833</v>
      </c>
      <c r="BX80" s="76" t="s">
        <v>833</v>
      </c>
      <c r="BY80" s="76" t="s">
        <v>833</v>
      </c>
      <c r="BZ80" s="76" t="s">
        <v>833</v>
      </c>
      <c r="CA80" s="76" t="s">
        <v>833</v>
      </c>
      <c r="CB80" s="76" t="s">
        <v>833</v>
      </c>
      <c r="CC80" s="76" t="s">
        <v>833</v>
      </c>
      <c r="CD80" s="76" t="s">
        <v>833</v>
      </c>
      <c r="CE80" s="76" t="s">
        <v>833</v>
      </c>
      <c r="CF80" s="76" t="s">
        <v>833</v>
      </c>
      <c r="CG80" s="76" t="s">
        <v>833</v>
      </c>
      <c r="CH80" s="76" t="s">
        <v>833</v>
      </c>
      <c r="CI80" s="76" t="s">
        <v>833</v>
      </c>
      <c r="CJ80" s="76" t="s">
        <v>833</v>
      </c>
      <c r="CK80" s="76" t="s">
        <v>833</v>
      </c>
      <c r="CL80" s="76" t="s">
        <v>833</v>
      </c>
      <c r="CM80" s="76" t="s">
        <v>833</v>
      </c>
      <c r="CN80" s="76" t="s">
        <v>833</v>
      </c>
      <c r="CO80" s="76" t="s">
        <v>833</v>
      </c>
      <c r="CP80" s="76" t="s">
        <v>833</v>
      </c>
      <c r="CQ80" s="76" t="s">
        <v>833</v>
      </c>
      <c r="CR80" s="76" t="s">
        <v>833</v>
      </c>
      <c r="CS80" s="76" t="s">
        <v>833</v>
      </c>
      <c r="CT80" s="76" t="s">
        <v>833</v>
      </c>
      <c r="CU80" s="76" t="s">
        <v>833</v>
      </c>
      <c r="CV80" s="76" t="s">
        <v>833</v>
      </c>
      <c r="CW80" s="76" t="s">
        <v>833</v>
      </c>
      <c r="CX80" s="76" t="s">
        <v>631</v>
      </c>
      <c r="CY80" s="96" t="s">
        <v>631</v>
      </c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95"/>
      <c r="DO80" s="90">
        <f>COUNTIF(AW80:DN80,"x")</f>
        <v>5</v>
      </c>
      <c r="DP80" s="21"/>
      <c r="DQ80" s="21"/>
    </row>
    <row r="81" spans="1:121" x14ac:dyDescent="0.3">
      <c r="A81" s="4" t="s">
        <v>126</v>
      </c>
      <c r="B81" s="4" t="s">
        <v>339</v>
      </c>
      <c r="C81" s="4" t="s">
        <v>348</v>
      </c>
      <c r="D81" s="4" t="s">
        <v>349</v>
      </c>
      <c r="E81" s="12">
        <v>84.38</v>
      </c>
      <c r="F81" s="34">
        <f t="shared" si="14"/>
        <v>262421.8</v>
      </c>
      <c r="G81" s="28">
        <f t="shared" si="15"/>
        <v>3110</v>
      </c>
      <c r="H81" s="28">
        <f t="shared" si="16"/>
        <v>260</v>
      </c>
      <c r="I81" s="26">
        <f t="shared" si="17"/>
        <v>85392.56</v>
      </c>
      <c r="J81" s="24">
        <f t="shared" si="18"/>
        <v>1012</v>
      </c>
      <c r="K81" s="31">
        <f t="shared" si="19"/>
        <v>203</v>
      </c>
      <c r="L81" s="9">
        <v>500</v>
      </c>
      <c r="M81" s="9">
        <v>500</v>
      </c>
      <c r="N81" s="9">
        <v>500</v>
      </c>
      <c r="O81" s="9">
        <v>0</v>
      </c>
      <c r="P81" s="9">
        <v>500</v>
      </c>
      <c r="Q81" s="9">
        <v>230</v>
      </c>
      <c r="R81" s="9">
        <v>184</v>
      </c>
      <c r="S81" s="9">
        <v>230</v>
      </c>
      <c r="T81" s="9">
        <v>184</v>
      </c>
      <c r="U81" s="9">
        <v>184</v>
      </c>
      <c r="V81" s="9">
        <v>230</v>
      </c>
      <c r="W81" s="9">
        <v>184</v>
      </c>
      <c r="X81" s="9">
        <v>184</v>
      </c>
      <c r="Y81" s="9">
        <v>230</v>
      </c>
      <c r="Z81" s="9">
        <v>184</v>
      </c>
      <c r="AA81" s="9">
        <v>184</v>
      </c>
      <c r="AB81" s="9">
        <v>230</v>
      </c>
      <c r="AC81" s="9">
        <v>184</v>
      </c>
      <c r="AE81" s="6">
        <v>42190</v>
      </c>
      <c r="AF81" s="6">
        <v>42190</v>
      </c>
      <c r="AG81" s="6">
        <v>42190</v>
      </c>
      <c r="AH81" s="6">
        <v>0</v>
      </c>
      <c r="AI81" s="6">
        <v>42190</v>
      </c>
      <c r="AJ81" s="6">
        <v>19407.399999999998</v>
      </c>
      <c r="AK81" s="6">
        <v>15525.919999999998</v>
      </c>
      <c r="AL81" s="6">
        <v>19407.399999999998</v>
      </c>
      <c r="AM81" s="6">
        <v>15525.919999999998</v>
      </c>
      <c r="AN81" s="6">
        <v>15525.919999999998</v>
      </c>
      <c r="AO81" s="6">
        <v>19407.399999999998</v>
      </c>
      <c r="AP81" s="6">
        <v>15525.919999999998</v>
      </c>
      <c r="AQ81" s="6">
        <v>15525.919999999998</v>
      </c>
      <c r="AR81" s="6">
        <v>19407.399999999998</v>
      </c>
      <c r="AS81" s="6">
        <v>15525.919999999998</v>
      </c>
      <c r="AT81" s="6">
        <v>15525.919999999998</v>
      </c>
      <c r="AU81" s="6">
        <v>19407.399999999998</v>
      </c>
      <c r="AV81" s="6">
        <v>15525.919999999998</v>
      </c>
      <c r="AW81" s="93" t="s">
        <v>631</v>
      </c>
      <c r="AX81" s="76" t="s">
        <v>833</v>
      </c>
      <c r="AY81" s="76" t="s">
        <v>833</v>
      </c>
      <c r="AZ81" s="76" t="s">
        <v>833</v>
      </c>
      <c r="BA81" s="76" t="s">
        <v>833</v>
      </c>
      <c r="BB81" s="76" t="s">
        <v>833</v>
      </c>
      <c r="BC81" s="76" t="s">
        <v>833</v>
      </c>
      <c r="BD81" s="76" t="s">
        <v>833</v>
      </c>
      <c r="BE81" s="76" t="s">
        <v>833</v>
      </c>
      <c r="BF81" s="76" t="s">
        <v>833</v>
      </c>
      <c r="BG81" s="76" t="s">
        <v>833</v>
      </c>
      <c r="BH81" s="76" t="s">
        <v>833</v>
      </c>
      <c r="BI81" s="76" t="s">
        <v>833</v>
      </c>
      <c r="BJ81" s="76" t="s">
        <v>833</v>
      </c>
      <c r="BK81" s="76" t="s">
        <v>833</v>
      </c>
      <c r="BL81" s="76" t="s">
        <v>833</v>
      </c>
      <c r="BM81" s="76" t="s">
        <v>833</v>
      </c>
      <c r="BN81" s="76" t="s">
        <v>631</v>
      </c>
      <c r="BO81" s="94" t="s">
        <v>631</v>
      </c>
      <c r="BP81" s="76" t="s">
        <v>833</v>
      </c>
      <c r="BQ81" s="76" t="s">
        <v>833</v>
      </c>
      <c r="BR81" s="76" t="s">
        <v>833</v>
      </c>
      <c r="BS81" s="76" t="s">
        <v>833</v>
      </c>
      <c r="BT81" s="76" t="s">
        <v>833</v>
      </c>
      <c r="BU81" s="76" t="s">
        <v>833</v>
      </c>
      <c r="BV81" s="76" t="s">
        <v>833</v>
      </c>
      <c r="BW81" s="76" t="s">
        <v>833</v>
      </c>
      <c r="BX81" s="76" t="s">
        <v>833</v>
      </c>
      <c r="BY81" s="76" t="s">
        <v>833</v>
      </c>
      <c r="BZ81" s="76" t="s">
        <v>833</v>
      </c>
      <c r="CA81" s="76" t="s">
        <v>833</v>
      </c>
      <c r="CB81" s="76" t="s">
        <v>833</v>
      </c>
      <c r="CC81" s="76" t="s">
        <v>833</v>
      </c>
      <c r="CD81" s="76" t="s">
        <v>833</v>
      </c>
      <c r="CE81" s="76" t="s">
        <v>833</v>
      </c>
      <c r="CF81" s="76" t="s">
        <v>631</v>
      </c>
      <c r="CG81" s="94" t="s">
        <v>631</v>
      </c>
      <c r="CH81" s="76" t="s">
        <v>833</v>
      </c>
      <c r="CI81" s="76" t="s">
        <v>833</v>
      </c>
      <c r="CJ81" s="76" t="s">
        <v>833</v>
      </c>
      <c r="CK81" s="76" t="s">
        <v>833</v>
      </c>
      <c r="CL81" s="76" t="s">
        <v>833</v>
      </c>
      <c r="CM81" s="76" t="s">
        <v>833</v>
      </c>
      <c r="CN81" s="76" t="s">
        <v>631</v>
      </c>
      <c r="CO81" s="76" t="s">
        <v>833</v>
      </c>
      <c r="CP81" s="76" t="s">
        <v>833</v>
      </c>
      <c r="CQ81" s="76" t="s">
        <v>833</v>
      </c>
      <c r="CR81" s="76" t="s">
        <v>833</v>
      </c>
      <c r="CS81" s="76" t="s">
        <v>833</v>
      </c>
      <c r="CT81" s="76" t="s">
        <v>833</v>
      </c>
      <c r="CU81" s="76" t="s">
        <v>833</v>
      </c>
      <c r="CV81" s="76" t="s">
        <v>833</v>
      </c>
      <c r="CW81" s="76" t="s">
        <v>833</v>
      </c>
      <c r="CX81" s="76" t="s">
        <v>631</v>
      </c>
      <c r="CY81" s="96" t="s">
        <v>631</v>
      </c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95"/>
      <c r="DO81" s="90">
        <f t="shared" si="13"/>
        <v>8</v>
      </c>
      <c r="DP81" s="21"/>
      <c r="DQ81" s="21"/>
    </row>
    <row r="82" spans="1:121" x14ac:dyDescent="0.3">
      <c r="A82" s="4" t="s">
        <v>126</v>
      </c>
      <c r="B82" s="4" t="s">
        <v>339</v>
      </c>
      <c r="C82" s="4" t="s">
        <v>350</v>
      </c>
      <c r="D82" s="4" t="s">
        <v>351</v>
      </c>
      <c r="E82" s="12">
        <v>70.14</v>
      </c>
      <c r="F82" s="34">
        <f t="shared" si="14"/>
        <v>263025</v>
      </c>
      <c r="G82" s="28">
        <f t="shared" si="15"/>
        <v>3750</v>
      </c>
      <c r="H82" s="28">
        <f t="shared" si="16"/>
        <v>313</v>
      </c>
      <c r="I82" s="26">
        <f t="shared" si="17"/>
        <v>0</v>
      </c>
      <c r="J82" s="24">
        <f t="shared" si="18"/>
        <v>0</v>
      </c>
      <c r="K82" s="31">
        <f t="shared" si="19"/>
        <v>0</v>
      </c>
      <c r="L82" s="9">
        <v>0</v>
      </c>
      <c r="M82" s="9">
        <v>500</v>
      </c>
      <c r="N82" s="9">
        <v>0</v>
      </c>
      <c r="O82" s="9">
        <v>750</v>
      </c>
      <c r="P82" s="9">
        <v>750</v>
      </c>
      <c r="Q82" s="9">
        <v>500</v>
      </c>
      <c r="R82" s="9">
        <v>500</v>
      </c>
      <c r="S82" s="9">
        <v>750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E82" s="6">
        <v>0</v>
      </c>
      <c r="AF82" s="6">
        <v>35070</v>
      </c>
      <c r="AG82" s="6">
        <v>0</v>
      </c>
      <c r="AH82" s="6">
        <v>56310</v>
      </c>
      <c r="AI82" s="6">
        <v>52605</v>
      </c>
      <c r="AJ82" s="6">
        <v>35070</v>
      </c>
      <c r="AK82" s="6">
        <v>35070</v>
      </c>
      <c r="AL82" s="6">
        <v>52605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93" t="s">
        <v>631</v>
      </c>
      <c r="AX82" s="76" t="s">
        <v>833</v>
      </c>
      <c r="AY82" s="76" t="s">
        <v>833</v>
      </c>
      <c r="AZ82" s="76" t="s">
        <v>833</v>
      </c>
      <c r="BA82" s="76" t="s">
        <v>833</v>
      </c>
      <c r="BB82" s="76" t="s">
        <v>833</v>
      </c>
      <c r="BC82" s="76" t="s">
        <v>833</v>
      </c>
      <c r="BD82" s="76" t="s">
        <v>833</v>
      </c>
      <c r="BE82" s="76" t="s">
        <v>833</v>
      </c>
      <c r="BF82" s="76" t="s">
        <v>833</v>
      </c>
      <c r="BG82" s="76" t="s">
        <v>833</v>
      </c>
      <c r="BH82" s="76" t="s">
        <v>833</v>
      </c>
      <c r="BI82" s="76" t="s">
        <v>833</v>
      </c>
      <c r="BJ82" s="76" t="s">
        <v>833</v>
      </c>
      <c r="BK82" s="76" t="s">
        <v>833</v>
      </c>
      <c r="BL82" s="76" t="s">
        <v>833</v>
      </c>
      <c r="BM82" s="76" t="s">
        <v>833</v>
      </c>
      <c r="BN82" s="76" t="s">
        <v>631</v>
      </c>
      <c r="BO82" s="94" t="s">
        <v>631</v>
      </c>
      <c r="BP82" s="76" t="s">
        <v>833</v>
      </c>
      <c r="BQ82" s="76" t="s">
        <v>833</v>
      </c>
      <c r="BR82" s="76" t="s">
        <v>833</v>
      </c>
      <c r="BS82" s="76" t="s">
        <v>833</v>
      </c>
      <c r="BT82" s="76" t="s">
        <v>833</v>
      </c>
      <c r="BU82" s="76" t="s">
        <v>833</v>
      </c>
      <c r="BV82" s="76" t="s">
        <v>833</v>
      </c>
      <c r="BW82" s="76" t="s">
        <v>833</v>
      </c>
      <c r="BX82" s="76" t="s">
        <v>833</v>
      </c>
      <c r="BY82" s="76" t="s">
        <v>833</v>
      </c>
      <c r="BZ82" s="76" t="s">
        <v>833</v>
      </c>
      <c r="CA82" s="76" t="s">
        <v>833</v>
      </c>
      <c r="CB82" s="76" t="s">
        <v>833</v>
      </c>
      <c r="CC82" s="76" t="s">
        <v>833</v>
      </c>
      <c r="CD82" s="76" t="s">
        <v>833</v>
      </c>
      <c r="CE82" s="76" t="s">
        <v>833</v>
      </c>
      <c r="CF82" s="76" t="s">
        <v>833</v>
      </c>
      <c r="CG82" s="76" t="s">
        <v>833</v>
      </c>
      <c r="CH82" s="76" t="s">
        <v>833</v>
      </c>
      <c r="CI82" s="76" t="s">
        <v>833</v>
      </c>
      <c r="CJ82" s="76" t="s">
        <v>833</v>
      </c>
      <c r="CK82" s="76" t="s">
        <v>833</v>
      </c>
      <c r="CL82" s="76" t="s">
        <v>833</v>
      </c>
      <c r="CM82" s="76" t="s">
        <v>833</v>
      </c>
      <c r="CN82" s="76" t="s">
        <v>833</v>
      </c>
      <c r="CO82" s="76" t="s">
        <v>833</v>
      </c>
      <c r="CP82" s="76" t="s">
        <v>833</v>
      </c>
      <c r="CQ82" s="76" t="s">
        <v>833</v>
      </c>
      <c r="CR82" s="76" t="s">
        <v>833</v>
      </c>
      <c r="CS82" s="76" t="s">
        <v>833</v>
      </c>
      <c r="CT82" s="76" t="s">
        <v>833</v>
      </c>
      <c r="CU82" s="76" t="s">
        <v>833</v>
      </c>
      <c r="CV82" s="76" t="s">
        <v>833</v>
      </c>
      <c r="CW82" s="76" t="s">
        <v>833</v>
      </c>
      <c r="CX82" s="76" t="s">
        <v>631</v>
      </c>
      <c r="CY82" s="96" t="s">
        <v>631</v>
      </c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95"/>
      <c r="DO82" s="90">
        <f t="shared" si="13"/>
        <v>5</v>
      </c>
      <c r="DP82" s="21"/>
      <c r="DQ82" s="21"/>
    </row>
    <row r="83" spans="1:121" x14ac:dyDescent="0.3">
      <c r="A83" s="4" t="s">
        <v>126</v>
      </c>
      <c r="B83" s="4" t="s">
        <v>352</v>
      </c>
      <c r="C83" s="4" t="s">
        <v>353</v>
      </c>
      <c r="D83" s="4" t="s">
        <v>354</v>
      </c>
      <c r="E83" s="12">
        <v>323.45999999999998</v>
      </c>
      <c r="F83" s="34">
        <f t="shared" si="14"/>
        <v>8086.4999999999991</v>
      </c>
      <c r="G83" s="28">
        <f t="shared" si="15"/>
        <v>25</v>
      </c>
      <c r="H83" s="28">
        <f t="shared" si="16"/>
        <v>3</v>
      </c>
      <c r="I83" s="26">
        <f t="shared" si="17"/>
        <v>0</v>
      </c>
      <c r="J83" s="24">
        <f t="shared" si="18"/>
        <v>0</v>
      </c>
      <c r="K83" s="31">
        <f t="shared" si="19"/>
        <v>0</v>
      </c>
      <c r="L83" s="9">
        <v>25</v>
      </c>
      <c r="M83" s="9">
        <v>0</v>
      </c>
      <c r="N83" s="9">
        <v>0</v>
      </c>
      <c r="O83" s="9">
        <v>0</v>
      </c>
      <c r="P83" s="9">
        <v>0</v>
      </c>
      <c r="Q83" s="9">
        <v>25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E83" s="6">
        <v>9460.5</v>
      </c>
      <c r="AF83" s="6">
        <v>0</v>
      </c>
      <c r="AG83" s="6">
        <v>0</v>
      </c>
      <c r="AH83" s="6">
        <v>0</v>
      </c>
      <c r="AI83" s="6">
        <v>0</v>
      </c>
      <c r="AJ83" s="6">
        <v>8086.4999999999991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93" t="s">
        <v>833</v>
      </c>
      <c r="AX83" s="76" t="s">
        <v>631</v>
      </c>
      <c r="AY83" s="76" t="s">
        <v>631</v>
      </c>
      <c r="AZ83" s="76" t="s">
        <v>833</v>
      </c>
      <c r="BA83" s="76" t="s">
        <v>833</v>
      </c>
      <c r="BB83" s="76" t="s">
        <v>833</v>
      </c>
      <c r="BC83" s="76" t="s">
        <v>833</v>
      </c>
      <c r="BD83" s="76" t="s">
        <v>833</v>
      </c>
      <c r="BE83" s="76" t="s">
        <v>833</v>
      </c>
      <c r="BF83" s="76" t="s">
        <v>833</v>
      </c>
      <c r="BG83" s="76" t="s">
        <v>833</v>
      </c>
      <c r="BH83" s="76" t="s">
        <v>833</v>
      </c>
      <c r="BI83" s="76" t="s">
        <v>833</v>
      </c>
      <c r="BJ83" s="76" t="s">
        <v>833</v>
      </c>
      <c r="BK83" s="76" t="s">
        <v>631</v>
      </c>
      <c r="BL83" s="76" t="s">
        <v>833</v>
      </c>
      <c r="BM83" s="76" t="s">
        <v>833</v>
      </c>
      <c r="BN83" s="76" t="s">
        <v>631</v>
      </c>
      <c r="BO83" s="94" t="s">
        <v>631</v>
      </c>
      <c r="BP83" s="76" t="s">
        <v>833</v>
      </c>
      <c r="BQ83" s="76" t="s">
        <v>833</v>
      </c>
      <c r="BR83" s="76" t="s">
        <v>833</v>
      </c>
      <c r="BS83" s="76" t="s">
        <v>833</v>
      </c>
      <c r="BT83" s="76" t="s">
        <v>833</v>
      </c>
      <c r="BU83" s="76" t="s">
        <v>833</v>
      </c>
      <c r="BV83" s="76" t="s">
        <v>833</v>
      </c>
      <c r="BW83" s="76" t="s">
        <v>833</v>
      </c>
      <c r="BX83" s="76" t="s">
        <v>833</v>
      </c>
      <c r="BY83" s="76" t="s">
        <v>833</v>
      </c>
      <c r="BZ83" s="76" t="s">
        <v>833</v>
      </c>
      <c r="CA83" s="76" t="s">
        <v>833</v>
      </c>
      <c r="CB83" s="76" t="s">
        <v>833</v>
      </c>
      <c r="CC83" s="76" t="s">
        <v>833</v>
      </c>
      <c r="CD83" s="76" t="s">
        <v>833</v>
      </c>
      <c r="CE83" s="76" t="s">
        <v>833</v>
      </c>
      <c r="CF83" s="76" t="s">
        <v>833</v>
      </c>
      <c r="CG83" s="76" t="s">
        <v>833</v>
      </c>
      <c r="CH83" s="76" t="s">
        <v>833</v>
      </c>
      <c r="CI83" s="76" t="s">
        <v>833</v>
      </c>
      <c r="CJ83" s="76" t="s">
        <v>833</v>
      </c>
      <c r="CK83" s="76" t="s">
        <v>833</v>
      </c>
      <c r="CL83" s="76" t="s">
        <v>833</v>
      </c>
      <c r="CM83" s="76" t="s">
        <v>833</v>
      </c>
      <c r="CN83" s="76" t="s">
        <v>833</v>
      </c>
      <c r="CO83" s="76" t="s">
        <v>833</v>
      </c>
      <c r="CP83" s="76" t="s">
        <v>833</v>
      </c>
      <c r="CQ83" s="76" t="s">
        <v>833</v>
      </c>
      <c r="CR83" s="76" t="s">
        <v>833</v>
      </c>
      <c r="CS83" s="76" t="s">
        <v>833</v>
      </c>
      <c r="CT83" s="76" t="s">
        <v>833</v>
      </c>
      <c r="CU83" s="76" t="s">
        <v>833</v>
      </c>
      <c r="CV83" s="76" t="s">
        <v>833</v>
      </c>
      <c r="CW83" s="76" t="s">
        <v>833</v>
      </c>
      <c r="CX83" s="76" t="s">
        <v>631</v>
      </c>
      <c r="CY83" s="96" t="s">
        <v>631</v>
      </c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95"/>
      <c r="DO83" s="90">
        <f t="shared" si="13"/>
        <v>7</v>
      </c>
      <c r="DP83" s="21"/>
      <c r="DQ83" s="21"/>
    </row>
    <row r="84" spans="1:121" x14ac:dyDescent="0.3">
      <c r="A84" s="4" t="s">
        <v>126</v>
      </c>
      <c r="B84" s="4" t="s">
        <v>357</v>
      </c>
      <c r="C84" s="4" t="s">
        <v>358</v>
      </c>
      <c r="D84" s="4" t="s">
        <v>359</v>
      </c>
      <c r="E84" s="12">
        <v>299.33</v>
      </c>
      <c r="F84" s="34">
        <f t="shared" si="14"/>
        <v>17959.8</v>
      </c>
      <c r="G84" s="28">
        <f t="shared" si="15"/>
        <v>60</v>
      </c>
      <c r="H84" s="28">
        <f t="shared" si="16"/>
        <v>5</v>
      </c>
      <c r="I84" s="26">
        <f t="shared" si="17"/>
        <v>0</v>
      </c>
      <c r="J84" s="24">
        <f t="shared" si="18"/>
        <v>0</v>
      </c>
      <c r="K84" s="31">
        <f t="shared" si="19"/>
        <v>0</v>
      </c>
      <c r="L84" s="9">
        <v>0</v>
      </c>
      <c r="M84" s="9">
        <v>60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E84" s="6">
        <v>0</v>
      </c>
      <c r="AF84" s="6">
        <v>17959.8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93" t="s">
        <v>833</v>
      </c>
      <c r="AX84" s="76" t="s">
        <v>631</v>
      </c>
      <c r="AY84" s="76" t="s">
        <v>631</v>
      </c>
      <c r="AZ84" s="76" t="s">
        <v>833</v>
      </c>
      <c r="BA84" s="76" t="s">
        <v>833</v>
      </c>
      <c r="BB84" s="76" t="s">
        <v>833</v>
      </c>
      <c r="BC84" s="76" t="s">
        <v>833</v>
      </c>
      <c r="BD84" s="76" t="s">
        <v>833</v>
      </c>
      <c r="BE84" s="76" t="s">
        <v>833</v>
      </c>
      <c r="BF84" s="76" t="s">
        <v>833</v>
      </c>
      <c r="BG84" s="76" t="s">
        <v>833</v>
      </c>
      <c r="BH84" s="76" t="s">
        <v>833</v>
      </c>
      <c r="BI84" s="76" t="s">
        <v>833</v>
      </c>
      <c r="BJ84" s="76" t="s">
        <v>833</v>
      </c>
      <c r="BK84" s="76" t="s">
        <v>631</v>
      </c>
      <c r="BL84" s="76" t="s">
        <v>833</v>
      </c>
      <c r="BM84" s="76" t="s">
        <v>833</v>
      </c>
      <c r="BN84" s="76" t="s">
        <v>631</v>
      </c>
      <c r="BO84" s="94" t="s">
        <v>631</v>
      </c>
      <c r="BP84" s="76" t="s">
        <v>833</v>
      </c>
      <c r="BQ84" s="76" t="s">
        <v>833</v>
      </c>
      <c r="BR84" s="76" t="s">
        <v>833</v>
      </c>
      <c r="BS84" s="76" t="s">
        <v>833</v>
      </c>
      <c r="BT84" s="76" t="s">
        <v>833</v>
      </c>
      <c r="BU84" s="76" t="s">
        <v>833</v>
      </c>
      <c r="BV84" s="76" t="s">
        <v>833</v>
      </c>
      <c r="BW84" s="76" t="s">
        <v>833</v>
      </c>
      <c r="BX84" s="76" t="s">
        <v>833</v>
      </c>
      <c r="BY84" s="76" t="s">
        <v>833</v>
      </c>
      <c r="BZ84" s="76" t="s">
        <v>833</v>
      </c>
      <c r="CA84" s="76" t="s">
        <v>833</v>
      </c>
      <c r="CB84" s="76" t="s">
        <v>833</v>
      </c>
      <c r="CC84" s="76" t="s">
        <v>833</v>
      </c>
      <c r="CD84" s="76" t="s">
        <v>833</v>
      </c>
      <c r="CE84" s="76" t="s">
        <v>833</v>
      </c>
      <c r="CF84" s="76" t="s">
        <v>833</v>
      </c>
      <c r="CG84" s="76" t="s">
        <v>833</v>
      </c>
      <c r="CH84" s="76" t="s">
        <v>833</v>
      </c>
      <c r="CI84" s="76" t="s">
        <v>833</v>
      </c>
      <c r="CJ84" s="76" t="s">
        <v>833</v>
      </c>
      <c r="CK84" s="76" t="s">
        <v>833</v>
      </c>
      <c r="CL84" s="76" t="s">
        <v>833</v>
      </c>
      <c r="CM84" s="76" t="s">
        <v>833</v>
      </c>
      <c r="CN84" s="76" t="s">
        <v>833</v>
      </c>
      <c r="CO84" s="76" t="s">
        <v>833</v>
      </c>
      <c r="CP84" s="76" t="s">
        <v>833</v>
      </c>
      <c r="CQ84" s="76" t="s">
        <v>833</v>
      </c>
      <c r="CR84" s="76" t="s">
        <v>833</v>
      </c>
      <c r="CS84" s="76" t="s">
        <v>833</v>
      </c>
      <c r="CT84" s="76" t="s">
        <v>833</v>
      </c>
      <c r="CU84" s="76" t="s">
        <v>833</v>
      </c>
      <c r="CV84" s="76" t="s">
        <v>833</v>
      </c>
      <c r="CW84" s="76" t="s">
        <v>833</v>
      </c>
      <c r="CX84" s="76" t="s">
        <v>631</v>
      </c>
      <c r="CY84" s="96" t="s">
        <v>631</v>
      </c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95"/>
      <c r="DO84" s="90">
        <f t="shared" si="13"/>
        <v>7</v>
      </c>
      <c r="DP84" s="21"/>
      <c r="DQ84" s="21"/>
    </row>
    <row r="85" spans="1:121" x14ac:dyDescent="0.3">
      <c r="A85" s="4" t="s">
        <v>126</v>
      </c>
      <c r="B85" s="4" t="s">
        <v>357</v>
      </c>
      <c r="C85" s="4" t="s">
        <v>362</v>
      </c>
      <c r="D85" s="4" t="s">
        <v>361</v>
      </c>
      <c r="E85" s="12">
        <v>274.13</v>
      </c>
      <c r="F85" s="34">
        <f t="shared" si="14"/>
        <v>69629.02</v>
      </c>
      <c r="G85" s="28">
        <f t="shared" si="15"/>
        <v>254</v>
      </c>
      <c r="H85" s="28">
        <f t="shared" si="16"/>
        <v>22</v>
      </c>
      <c r="I85" s="26">
        <f t="shared" si="17"/>
        <v>0</v>
      </c>
      <c r="J85" s="24">
        <f t="shared" si="18"/>
        <v>0</v>
      </c>
      <c r="K85" s="31">
        <f t="shared" si="19"/>
        <v>0</v>
      </c>
      <c r="L85" s="9">
        <v>0</v>
      </c>
      <c r="M85" s="9">
        <v>0</v>
      </c>
      <c r="N85" s="9">
        <v>127</v>
      </c>
      <c r="O85" s="9">
        <v>127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E85" s="6">
        <v>0</v>
      </c>
      <c r="AF85" s="6">
        <v>0</v>
      </c>
      <c r="AG85" s="6">
        <v>34814.51</v>
      </c>
      <c r="AH85" s="6">
        <v>34814.51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93" t="s">
        <v>631</v>
      </c>
      <c r="AX85" s="76" t="s">
        <v>631</v>
      </c>
      <c r="AY85" s="76" t="s">
        <v>833</v>
      </c>
      <c r="AZ85" s="76" t="s">
        <v>833</v>
      </c>
      <c r="BA85" s="76" t="s">
        <v>833</v>
      </c>
      <c r="BB85" s="76" t="s">
        <v>833</v>
      </c>
      <c r="BC85" s="76" t="s">
        <v>833</v>
      </c>
      <c r="BD85" s="76" t="s">
        <v>833</v>
      </c>
      <c r="BE85" s="76" t="s">
        <v>833</v>
      </c>
      <c r="BF85" s="76" t="s">
        <v>833</v>
      </c>
      <c r="BG85" s="76" t="s">
        <v>833</v>
      </c>
      <c r="BH85" s="76" t="s">
        <v>833</v>
      </c>
      <c r="BI85" s="76" t="s">
        <v>833</v>
      </c>
      <c r="BJ85" s="76" t="s">
        <v>833</v>
      </c>
      <c r="BK85" s="76" t="s">
        <v>833</v>
      </c>
      <c r="BL85" s="76" t="s">
        <v>833</v>
      </c>
      <c r="BM85" s="76" t="s">
        <v>833</v>
      </c>
      <c r="BN85" s="76" t="s">
        <v>631</v>
      </c>
      <c r="BO85" s="94" t="s">
        <v>631</v>
      </c>
      <c r="BP85" s="76" t="s">
        <v>833</v>
      </c>
      <c r="BQ85" s="76" t="s">
        <v>833</v>
      </c>
      <c r="BR85" s="76" t="s">
        <v>833</v>
      </c>
      <c r="BS85" s="76" t="s">
        <v>833</v>
      </c>
      <c r="BT85" s="76" t="s">
        <v>833</v>
      </c>
      <c r="BU85" s="76" t="s">
        <v>833</v>
      </c>
      <c r="BV85" s="76" t="s">
        <v>833</v>
      </c>
      <c r="BW85" s="76" t="s">
        <v>833</v>
      </c>
      <c r="BX85" s="76" t="s">
        <v>833</v>
      </c>
      <c r="BY85" s="76" t="s">
        <v>833</v>
      </c>
      <c r="BZ85" s="76" t="s">
        <v>833</v>
      </c>
      <c r="CA85" s="76" t="s">
        <v>833</v>
      </c>
      <c r="CB85" s="76" t="s">
        <v>833</v>
      </c>
      <c r="CC85" s="76" t="s">
        <v>833</v>
      </c>
      <c r="CD85" s="76" t="s">
        <v>833</v>
      </c>
      <c r="CE85" s="76" t="s">
        <v>833</v>
      </c>
      <c r="CF85" s="76" t="s">
        <v>833</v>
      </c>
      <c r="CG85" s="76" t="s">
        <v>833</v>
      </c>
      <c r="CH85" s="76" t="s">
        <v>833</v>
      </c>
      <c r="CI85" s="76" t="s">
        <v>833</v>
      </c>
      <c r="CJ85" s="76" t="s">
        <v>833</v>
      </c>
      <c r="CK85" s="76" t="s">
        <v>833</v>
      </c>
      <c r="CL85" s="76" t="s">
        <v>833</v>
      </c>
      <c r="CM85" s="76" t="s">
        <v>833</v>
      </c>
      <c r="CN85" s="76" t="s">
        <v>833</v>
      </c>
      <c r="CO85" s="76" t="s">
        <v>833</v>
      </c>
      <c r="CP85" s="76" t="s">
        <v>833</v>
      </c>
      <c r="CQ85" s="76" t="s">
        <v>833</v>
      </c>
      <c r="CR85" s="76" t="s">
        <v>833</v>
      </c>
      <c r="CS85" s="76" t="s">
        <v>833</v>
      </c>
      <c r="CT85" s="76" t="s">
        <v>833</v>
      </c>
      <c r="CU85" s="76" t="s">
        <v>833</v>
      </c>
      <c r="CV85" s="76" t="s">
        <v>833</v>
      </c>
      <c r="CW85" s="76" t="s">
        <v>833</v>
      </c>
      <c r="CX85" s="76" t="s">
        <v>631</v>
      </c>
      <c r="CY85" s="96" t="s">
        <v>631</v>
      </c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95"/>
      <c r="DO85" s="90">
        <f t="shared" si="13"/>
        <v>6</v>
      </c>
      <c r="DP85" s="21"/>
      <c r="DQ85" s="21"/>
    </row>
    <row r="86" spans="1:121" x14ac:dyDescent="0.3">
      <c r="A86" s="4" t="s">
        <v>126</v>
      </c>
      <c r="B86" s="4" t="s">
        <v>357</v>
      </c>
      <c r="C86" s="4" t="s">
        <v>365</v>
      </c>
      <c r="D86" s="4" t="s">
        <v>366</v>
      </c>
      <c r="E86" s="12">
        <v>18.98</v>
      </c>
      <c r="F86" s="34">
        <f t="shared" si="14"/>
        <v>1898</v>
      </c>
      <c r="G86" s="28">
        <f t="shared" si="15"/>
        <v>100</v>
      </c>
      <c r="H86" s="28">
        <f t="shared" si="16"/>
        <v>9</v>
      </c>
      <c r="I86" s="26">
        <f t="shared" si="17"/>
        <v>0</v>
      </c>
      <c r="J86" s="24">
        <f t="shared" si="18"/>
        <v>0</v>
      </c>
      <c r="K86" s="31">
        <f t="shared" si="19"/>
        <v>0</v>
      </c>
      <c r="L86" s="9">
        <v>0</v>
      </c>
      <c r="M86" s="9">
        <v>0</v>
      </c>
      <c r="N86" s="9">
        <v>50</v>
      </c>
      <c r="O86" s="9">
        <v>50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E86" s="6">
        <v>0</v>
      </c>
      <c r="AF86" s="6">
        <v>0</v>
      </c>
      <c r="AG86" s="6">
        <v>949</v>
      </c>
      <c r="AH86" s="6">
        <v>949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93" t="s">
        <v>631</v>
      </c>
      <c r="AX86" s="76" t="s">
        <v>631</v>
      </c>
      <c r="AY86" s="76" t="s">
        <v>833</v>
      </c>
      <c r="AZ86" s="76" t="s">
        <v>833</v>
      </c>
      <c r="BA86" s="76" t="s">
        <v>833</v>
      </c>
      <c r="BB86" s="76" t="s">
        <v>833</v>
      </c>
      <c r="BC86" s="76" t="s">
        <v>833</v>
      </c>
      <c r="BD86" s="76" t="s">
        <v>833</v>
      </c>
      <c r="BE86" s="76" t="s">
        <v>833</v>
      </c>
      <c r="BF86" s="76" t="s">
        <v>833</v>
      </c>
      <c r="BG86" s="76" t="s">
        <v>833</v>
      </c>
      <c r="BH86" s="76" t="s">
        <v>833</v>
      </c>
      <c r="BI86" s="76" t="s">
        <v>833</v>
      </c>
      <c r="BJ86" s="76" t="s">
        <v>833</v>
      </c>
      <c r="BK86" s="76" t="s">
        <v>833</v>
      </c>
      <c r="BL86" s="76" t="s">
        <v>833</v>
      </c>
      <c r="BM86" s="76" t="s">
        <v>833</v>
      </c>
      <c r="BN86" s="76" t="s">
        <v>631</v>
      </c>
      <c r="BO86" s="94" t="s">
        <v>631</v>
      </c>
      <c r="BP86" s="76" t="s">
        <v>833</v>
      </c>
      <c r="BQ86" s="76" t="s">
        <v>833</v>
      </c>
      <c r="BR86" s="76" t="s">
        <v>833</v>
      </c>
      <c r="BS86" s="76" t="s">
        <v>833</v>
      </c>
      <c r="BT86" s="76" t="s">
        <v>833</v>
      </c>
      <c r="BU86" s="76" t="s">
        <v>833</v>
      </c>
      <c r="BV86" s="76" t="s">
        <v>833</v>
      </c>
      <c r="BW86" s="76" t="s">
        <v>833</v>
      </c>
      <c r="BX86" s="76" t="s">
        <v>833</v>
      </c>
      <c r="BY86" s="76" t="s">
        <v>833</v>
      </c>
      <c r="BZ86" s="76" t="s">
        <v>833</v>
      </c>
      <c r="CA86" s="76" t="s">
        <v>833</v>
      </c>
      <c r="CB86" s="76" t="s">
        <v>833</v>
      </c>
      <c r="CC86" s="76" t="s">
        <v>833</v>
      </c>
      <c r="CD86" s="76" t="s">
        <v>833</v>
      </c>
      <c r="CE86" s="76" t="s">
        <v>833</v>
      </c>
      <c r="CF86" s="76" t="s">
        <v>833</v>
      </c>
      <c r="CG86" s="76" t="s">
        <v>833</v>
      </c>
      <c r="CH86" s="76" t="s">
        <v>833</v>
      </c>
      <c r="CI86" s="76" t="s">
        <v>833</v>
      </c>
      <c r="CJ86" s="76" t="s">
        <v>833</v>
      </c>
      <c r="CK86" s="76" t="s">
        <v>833</v>
      </c>
      <c r="CL86" s="76" t="s">
        <v>833</v>
      </c>
      <c r="CM86" s="76" t="s">
        <v>833</v>
      </c>
      <c r="CN86" s="76" t="s">
        <v>833</v>
      </c>
      <c r="CO86" s="76" t="s">
        <v>833</v>
      </c>
      <c r="CP86" s="76" t="s">
        <v>833</v>
      </c>
      <c r="CQ86" s="76" t="s">
        <v>833</v>
      </c>
      <c r="CR86" s="76" t="s">
        <v>833</v>
      </c>
      <c r="CS86" s="76" t="s">
        <v>833</v>
      </c>
      <c r="CT86" s="76" t="s">
        <v>833</v>
      </c>
      <c r="CU86" s="76" t="s">
        <v>833</v>
      </c>
      <c r="CV86" s="76" t="s">
        <v>833</v>
      </c>
      <c r="CW86" s="76" t="s">
        <v>833</v>
      </c>
      <c r="CX86" s="76" t="s">
        <v>631</v>
      </c>
      <c r="CY86" s="96" t="s">
        <v>631</v>
      </c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95"/>
      <c r="DO86" s="90">
        <f t="shared" si="13"/>
        <v>6</v>
      </c>
      <c r="DP86" s="21"/>
      <c r="DQ86" s="21"/>
    </row>
    <row r="87" spans="1:121" x14ac:dyDescent="0.3">
      <c r="A87" s="4" t="s">
        <v>126</v>
      </c>
      <c r="B87" s="4" t="s">
        <v>357</v>
      </c>
      <c r="C87" s="4" t="s">
        <v>367</v>
      </c>
      <c r="D87" s="4" t="s">
        <v>366</v>
      </c>
      <c r="E87" s="12">
        <v>6.03</v>
      </c>
      <c r="F87" s="34">
        <f t="shared" si="14"/>
        <v>940.68000000000006</v>
      </c>
      <c r="G87" s="28">
        <f t="shared" si="15"/>
        <v>156</v>
      </c>
      <c r="H87" s="28">
        <f t="shared" si="16"/>
        <v>13</v>
      </c>
      <c r="I87" s="26">
        <f t="shared" si="17"/>
        <v>0</v>
      </c>
      <c r="J87" s="24">
        <f t="shared" si="18"/>
        <v>0</v>
      </c>
      <c r="K87" s="31">
        <f t="shared" si="19"/>
        <v>0</v>
      </c>
      <c r="L87" s="9">
        <v>0</v>
      </c>
      <c r="M87" s="9">
        <v>156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E87" s="6">
        <v>0</v>
      </c>
      <c r="AF87" s="6">
        <v>940.68000000000006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93" t="s">
        <v>833</v>
      </c>
      <c r="AX87" s="76" t="s">
        <v>631</v>
      </c>
      <c r="AY87" s="76" t="s">
        <v>833</v>
      </c>
      <c r="AZ87" s="76" t="s">
        <v>833</v>
      </c>
      <c r="BA87" s="76" t="s">
        <v>833</v>
      </c>
      <c r="BB87" s="76" t="s">
        <v>833</v>
      </c>
      <c r="BC87" s="76" t="s">
        <v>833</v>
      </c>
      <c r="BD87" s="76" t="s">
        <v>833</v>
      </c>
      <c r="BE87" s="76" t="s">
        <v>833</v>
      </c>
      <c r="BF87" s="76" t="s">
        <v>833</v>
      </c>
      <c r="BG87" s="76" t="s">
        <v>833</v>
      </c>
      <c r="BH87" s="76" t="s">
        <v>833</v>
      </c>
      <c r="BI87" s="76" t="s">
        <v>833</v>
      </c>
      <c r="BJ87" s="76" t="s">
        <v>833</v>
      </c>
      <c r="BK87" s="76" t="s">
        <v>833</v>
      </c>
      <c r="BL87" s="76" t="s">
        <v>833</v>
      </c>
      <c r="BM87" s="76" t="s">
        <v>833</v>
      </c>
      <c r="BN87" s="76" t="s">
        <v>631</v>
      </c>
      <c r="BO87" s="94" t="s">
        <v>631</v>
      </c>
      <c r="BP87" s="76" t="s">
        <v>833</v>
      </c>
      <c r="BQ87" s="76" t="s">
        <v>833</v>
      </c>
      <c r="BR87" s="76" t="s">
        <v>833</v>
      </c>
      <c r="BS87" s="76" t="s">
        <v>833</v>
      </c>
      <c r="BT87" s="76" t="s">
        <v>833</v>
      </c>
      <c r="BU87" s="76" t="s">
        <v>833</v>
      </c>
      <c r="BV87" s="76" t="s">
        <v>833</v>
      </c>
      <c r="BW87" s="76" t="s">
        <v>833</v>
      </c>
      <c r="BX87" s="76" t="s">
        <v>833</v>
      </c>
      <c r="BY87" s="76" t="s">
        <v>833</v>
      </c>
      <c r="BZ87" s="76" t="s">
        <v>833</v>
      </c>
      <c r="CA87" s="76" t="s">
        <v>833</v>
      </c>
      <c r="CB87" s="76" t="s">
        <v>833</v>
      </c>
      <c r="CC87" s="76" t="s">
        <v>833</v>
      </c>
      <c r="CD87" s="76" t="s">
        <v>833</v>
      </c>
      <c r="CE87" s="76" t="s">
        <v>833</v>
      </c>
      <c r="CF87" s="76" t="s">
        <v>833</v>
      </c>
      <c r="CG87" s="76" t="s">
        <v>833</v>
      </c>
      <c r="CH87" s="76" t="s">
        <v>833</v>
      </c>
      <c r="CI87" s="76" t="s">
        <v>833</v>
      </c>
      <c r="CJ87" s="76" t="s">
        <v>833</v>
      </c>
      <c r="CK87" s="76" t="s">
        <v>833</v>
      </c>
      <c r="CL87" s="76" t="s">
        <v>833</v>
      </c>
      <c r="CM87" s="76" t="s">
        <v>833</v>
      </c>
      <c r="CN87" s="76" t="s">
        <v>833</v>
      </c>
      <c r="CO87" s="76" t="s">
        <v>833</v>
      </c>
      <c r="CP87" s="76" t="s">
        <v>833</v>
      </c>
      <c r="CQ87" s="76" t="s">
        <v>833</v>
      </c>
      <c r="CR87" s="76" t="s">
        <v>833</v>
      </c>
      <c r="CS87" s="76" t="s">
        <v>833</v>
      </c>
      <c r="CT87" s="76" t="s">
        <v>833</v>
      </c>
      <c r="CU87" s="76" t="s">
        <v>833</v>
      </c>
      <c r="CV87" s="76" t="s">
        <v>833</v>
      </c>
      <c r="CW87" s="76" t="s">
        <v>833</v>
      </c>
      <c r="CX87" s="76" t="s">
        <v>631</v>
      </c>
      <c r="CY87" s="96" t="s">
        <v>631</v>
      </c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95"/>
      <c r="DO87" s="90">
        <f>COUNTIF(AW87:DN87,"x")</f>
        <v>5</v>
      </c>
      <c r="DP87" s="21"/>
      <c r="DQ87" s="21"/>
    </row>
    <row r="88" spans="1:121" x14ac:dyDescent="0.3">
      <c r="A88" s="4" t="s">
        <v>126</v>
      </c>
      <c r="B88" s="4" t="s">
        <v>357</v>
      </c>
      <c r="C88" s="4" t="s">
        <v>368</v>
      </c>
      <c r="D88" s="4" t="s">
        <v>369</v>
      </c>
      <c r="E88" s="12">
        <v>6.06</v>
      </c>
      <c r="F88" s="34">
        <f t="shared" si="14"/>
        <v>1999.8</v>
      </c>
      <c r="G88" s="28">
        <f t="shared" si="15"/>
        <v>330</v>
      </c>
      <c r="H88" s="28">
        <f t="shared" si="16"/>
        <v>28</v>
      </c>
      <c r="I88" s="26">
        <f t="shared" si="17"/>
        <v>0</v>
      </c>
      <c r="J88" s="24">
        <f t="shared" si="18"/>
        <v>0</v>
      </c>
      <c r="K88" s="31">
        <f t="shared" si="19"/>
        <v>0</v>
      </c>
      <c r="L88" s="9">
        <v>25</v>
      </c>
      <c r="M88" s="9">
        <v>330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E88" s="6">
        <v>151.5</v>
      </c>
      <c r="AF88" s="6">
        <v>1999.8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93" t="s">
        <v>833</v>
      </c>
      <c r="AX88" s="76" t="s">
        <v>631</v>
      </c>
      <c r="AY88" s="76" t="s">
        <v>833</v>
      </c>
      <c r="AZ88" s="76" t="s">
        <v>833</v>
      </c>
      <c r="BA88" s="76" t="s">
        <v>833</v>
      </c>
      <c r="BB88" s="76" t="s">
        <v>833</v>
      </c>
      <c r="BC88" s="76" t="s">
        <v>833</v>
      </c>
      <c r="BD88" s="76" t="s">
        <v>833</v>
      </c>
      <c r="BE88" s="76" t="s">
        <v>833</v>
      </c>
      <c r="BF88" s="76" t="s">
        <v>833</v>
      </c>
      <c r="BG88" s="76" t="s">
        <v>833</v>
      </c>
      <c r="BH88" s="76" t="s">
        <v>833</v>
      </c>
      <c r="BI88" s="76" t="s">
        <v>833</v>
      </c>
      <c r="BJ88" s="76" t="s">
        <v>833</v>
      </c>
      <c r="BK88" s="76" t="s">
        <v>833</v>
      </c>
      <c r="BL88" s="76" t="s">
        <v>833</v>
      </c>
      <c r="BM88" s="76" t="s">
        <v>833</v>
      </c>
      <c r="BN88" s="76" t="s">
        <v>631</v>
      </c>
      <c r="BO88" s="94" t="s">
        <v>631</v>
      </c>
      <c r="BP88" s="76" t="s">
        <v>833</v>
      </c>
      <c r="BQ88" s="76" t="s">
        <v>833</v>
      </c>
      <c r="BR88" s="76" t="s">
        <v>833</v>
      </c>
      <c r="BS88" s="76" t="s">
        <v>833</v>
      </c>
      <c r="BT88" s="76" t="s">
        <v>833</v>
      </c>
      <c r="BU88" s="76" t="s">
        <v>833</v>
      </c>
      <c r="BV88" s="76" t="s">
        <v>833</v>
      </c>
      <c r="BW88" s="76" t="s">
        <v>833</v>
      </c>
      <c r="BX88" s="76" t="s">
        <v>833</v>
      </c>
      <c r="BY88" s="76" t="s">
        <v>833</v>
      </c>
      <c r="BZ88" s="76" t="s">
        <v>833</v>
      </c>
      <c r="CA88" s="76" t="s">
        <v>833</v>
      </c>
      <c r="CB88" s="76" t="s">
        <v>833</v>
      </c>
      <c r="CC88" s="76" t="s">
        <v>833</v>
      </c>
      <c r="CD88" s="76" t="s">
        <v>833</v>
      </c>
      <c r="CE88" s="76" t="s">
        <v>833</v>
      </c>
      <c r="CF88" s="76" t="s">
        <v>833</v>
      </c>
      <c r="CG88" s="76" t="s">
        <v>833</v>
      </c>
      <c r="CH88" s="76" t="s">
        <v>833</v>
      </c>
      <c r="CI88" s="76" t="s">
        <v>833</v>
      </c>
      <c r="CJ88" s="76" t="s">
        <v>833</v>
      </c>
      <c r="CK88" s="76" t="s">
        <v>833</v>
      </c>
      <c r="CL88" s="76" t="s">
        <v>833</v>
      </c>
      <c r="CM88" s="76" t="s">
        <v>833</v>
      </c>
      <c r="CN88" s="76" t="s">
        <v>833</v>
      </c>
      <c r="CO88" s="76" t="s">
        <v>833</v>
      </c>
      <c r="CP88" s="76" t="s">
        <v>833</v>
      </c>
      <c r="CQ88" s="76" t="s">
        <v>833</v>
      </c>
      <c r="CR88" s="76" t="s">
        <v>833</v>
      </c>
      <c r="CS88" s="76" t="s">
        <v>833</v>
      </c>
      <c r="CT88" s="76" t="s">
        <v>833</v>
      </c>
      <c r="CU88" s="76" t="s">
        <v>833</v>
      </c>
      <c r="CV88" s="76" t="s">
        <v>833</v>
      </c>
      <c r="CW88" s="76" t="s">
        <v>833</v>
      </c>
      <c r="CX88" s="76" t="s">
        <v>631</v>
      </c>
      <c r="CY88" s="96" t="s">
        <v>631</v>
      </c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95"/>
      <c r="DO88" s="90">
        <f t="shared" si="13"/>
        <v>5</v>
      </c>
      <c r="DP88" s="21"/>
      <c r="DQ88" s="21"/>
    </row>
    <row r="89" spans="1:121" x14ac:dyDescent="0.3">
      <c r="A89" s="4" t="s">
        <v>126</v>
      </c>
      <c r="B89" s="4" t="s">
        <v>370</v>
      </c>
      <c r="C89" s="4" t="s">
        <v>386</v>
      </c>
      <c r="D89" s="4" t="s">
        <v>387</v>
      </c>
      <c r="E89" s="12">
        <v>11805.59</v>
      </c>
      <c r="F89" s="34">
        <f t="shared" si="14"/>
        <v>6327796.2400000002</v>
      </c>
      <c r="G89" s="28">
        <f t="shared" si="15"/>
        <v>536</v>
      </c>
      <c r="H89" s="28">
        <f t="shared" si="16"/>
        <v>45</v>
      </c>
      <c r="I89" s="26">
        <f t="shared" si="17"/>
        <v>2750702.47</v>
      </c>
      <c r="J89" s="24">
        <f t="shared" si="18"/>
        <v>233</v>
      </c>
      <c r="K89" s="31">
        <f t="shared" si="19"/>
        <v>47</v>
      </c>
      <c r="L89" s="9">
        <v>40</v>
      </c>
      <c r="M89" s="9">
        <v>0</v>
      </c>
      <c r="N89" s="9">
        <v>30</v>
      </c>
      <c r="O89" s="9">
        <v>40</v>
      </c>
      <c r="P89" s="9">
        <v>50</v>
      </c>
      <c r="Q89" s="9">
        <v>50</v>
      </c>
      <c r="R89" s="9">
        <v>50</v>
      </c>
      <c r="S89" s="9">
        <v>50</v>
      </c>
      <c r="T89" s="9">
        <v>50</v>
      </c>
      <c r="U89" s="9">
        <v>58</v>
      </c>
      <c r="V89" s="9">
        <v>50</v>
      </c>
      <c r="W89" s="9">
        <v>50</v>
      </c>
      <c r="X89" s="9">
        <v>58</v>
      </c>
      <c r="Y89" s="9">
        <v>50</v>
      </c>
      <c r="Z89" s="9">
        <v>40</v>
      </c>
      <c r="AA89" s="9">
        <v>58</v>
      </c>
      <c r="AB89" s="9">
        <v>45</v>
      </c>
      <c r="AC89" s="9">
        <v>40</v>
      </c>
      <c r="AE89" s="6">
        <v>472223.60000000003</v>
      </c>
      <c r="AF89" s="6">
        <v>0</v>
      </c>
      <c r="AG89" s="6">
        <v>354167.69999999995</v>
      </c>
      <c r="AH89" s="6">
        <v>472223.6</v>
      </c>
      <c r="AI89" s="6">
        <v>590279.5</v>
      </c>
      <c r="AJ89" s="6">
        <v>590279.5</v>
      </c>
      <c r="AK89" s="6">
        <v>590279.5</v>
      </c>
      <c r="AL89" s="6">
        <v>590279.5</v>
      </c>
      <c r="AM89" s="6">
        <v>590279.5</v>
      </c>
      <c r="AN89" s="6">
        <v>684724.22</v>
      </c>
      <c r="AO89" s="6">
        <v>590279.5</v>
      </c>
      <c r="AP89" s="6">
        <v>590279.5</v>
      </c>
      <c r="AQ89" s="6">
        <v>684724.22</v>
      </c>
      <c r="AR89" s="6">
        <v>590279.5</v>
      </c>
      <c r="AS89" s="6">
        <v>472223.6</v>
      </c>
      <c r="AT89" s="6">
        <v>684724.22</v>
      </c>
      <c r="AU89" s="6">
        <v>531251.55000000005</v>
      </c>
      <c r="AV89" s="6">
        <v>472223.6</v>
      </c>
      <c r="AW89" s="93" t="s">
        <v>631</v>
      </c>
      <c r="AX89" s="76" t="s">
        <v>631</v>
      </c>
      <c r="AY89" s="76" t="s">
        <v>631</v>
      </c>
      <c r="AZ89" s="76" t="s">
        <v>833</v>
      </c>
      <c r="BA89" s="76" t="s">
        <v>833</v>
      </c>
      <c r="BB89" s="76" t="s">
        <v>833</v>
      </c>
      <c r="BC89" s="76" t="s">
        <v>833</v>
      </c>
      <c r="BD89" s="76" t="s">
        <v>833</v>
      </c>
      <c r="BE89" s="76" t="s">
        <v>833</v>
      </c>
      <c r="BF89" s="76" t="s">
        <v>833</v>
      </c>
      <c r="BG89" s="76" t="s">
        <v>833</v>
      </c>
      <c r="BH89" s="76" t="s">
        <v>833</v>
      </c>
      <c r="BI89" s="76" t="s">
        <v>833</v>
      </c>
      <c r="BJ89" s="76" t="s">
        <v>631</v>
      </c>
      <c r="BK89" s="76" t="s">
        <v>833</v>
      </c>
      <c r="BL89" s="76" t="s">
        <v>833</v>
      </c>
      <c r="BM89" s="76" t="s">
        <v>833</v>
      </c>
      <c r="BN89" s="76" t="s">
        <v>631</v>
      </c>
      <c r="BO89" s="94" t="s">
        <v>631</v>
      </c>
      <c r="BP89" s="76" t="s">
        <v>833</v>
      </c>
      <c r="BQ89" s="76" t="s">
        <v>833</v>
      </c>
      <c r="BR89" s="76" t="s">
        <v>833</v>
      </c>
      <c r="BS89" s="76" t="s">
        <v>833</v>
      </c>
      <c r="BT89" s="76" t="s">
        <v>833</v>
      </c>
      <c r="BU89" s="76" t="s">
        <v>833</v>
      </c>
      <c r="BV89" s="76" t="s">
        <v>833</v>
      </c>
      <c r="BW89" s="76" t="s">
        <v>833</v>
      </c>
      <c r="BX89" s="76" t="s">
        <v>833</v>
      </c>
      <c r="BY89" s="76" t="s">
        <v>833</v>
      </c>
      <c r="BZ89" s="76" t="s">
        <v>833</v>
      </c>
      <c r="CA89" s="76" t="s">
        <v>833</v>
      </c>
      <c r="CB89" s="76" t="s">
        <v>833</v>
      </c>
      <c r="CC89" s="76" t="s">
        <v>833</v>
      </c>
      <c r="CD89" s="76" t="s">
        <v>833</v>
      </c>
      <c r="CE89" s="76" t="s">
        <v>833</v>
      </c>
      <c r="CF89" s="76" t="s">
        <v>833</v>
      </c>
      <c r="CG89" s="76" t="s">
        <v>833</v>
      </c>
      <c r="CH89" s="76" t="s">
        <v>833</v>
      </c>
      <c r="CI89" s="76" t="s">
        <v>833</v>
      </c>
      <c r="CJ89" s="76" t="s">
        <v>833</v>
      </c>
      <c r="CK89" s="76" t="s">
        <v>833</v>
      </c>
      <c r="CL89" s="76" t="s">
        <v>833</v>
      </c>
      <c r="CM89" s="76" t="s">
        <v>833</v>
      </c>
      <c r="CN89" s="76" t="s">
        <v>631</v>
      </c>
      <c r="CO89" s="76" t="s">
        <v>833</v>
      </c>
      <c r="CP89" s="76" t="s">
        <v>833</v>
      </c>
      <c r="CQ89" s="76" t="s">
        <v>833</v>
      </c>
      <c r="CR89" s="76" t="s">
        <v>833</v>
      </c>
      <c r="CS89" s="76" t="s">
        <v>833</v>
      </c>
      <c r="CT89" s="76" t="s">
        <v>833</v>
      </c>
      <c r="CU89" s="76" t="s">
        <v>833</v>
      </c>
      <c r="CV89" s="76" t="s">
        <v>833</v>
      </c>
      <c r="CW89" s="76" t="s">
        <v>833</v>
      </c>
      <c r="CX89" s="76" t="s">
        <v>631</v>
      </c>
      <c r="CY89" s="76" t="s">
        <v>631</v>
      </c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95"/>
      <c r="DO89" s="90">
        <f t="shared" si="13"/>
        <v>9</v>
      </c>
      <c r="DP89" s="21"/>
      <c r="DQ89" s="21"/>
    </row>
    <row r="90" spans="1:121" x14ac:dyDescent="0.3">
      <c r="A90" s="4" t="s">
        <v>126</v>
      </c>
      <c r="B90" s="4" t="s">
        <v>388</v>
      </c>
      <c r="C90" s="4" t="s">
        <v>389</v>
      </c>
      <c r="D90" s="4" t="s">
        <v>390</v>
      </c>
      <c r="E90" s="12">
        <v>7.55</v>
      </c>
      <c r="F90" s="34">
        <f t="shared" si="14"/>
        <v>89112.65</v>
      </c>
      <c r="G90" s="28">
        <f t="shared" si="15"/>
        <v>11803</v>
      </c>
      <c r="H90" s="28">
        <f t="shared" si="16"/>
        <v>984</v>
      </c>
      <c r="I90" s="26">
        <f t="shared" si="17"/>
        <v>9633.7999999999993</v>
      </c>
      <c r="J90" s="24">
        <f t="shared" si="18"/>
        <v>1276</v>
      </c>
      <c r="K90" s="31">
        <f t="shared" si="19"/>
        <v>256</v>
      </c>
      <c r="L90" s="9">
        <v>0</v>
      </c>
      <c r="M90" s="9">
        <v>1500</v>
      </c>
      <c r="N90" s="9">
        <v>2000</v>
      </c>
      <c r="O90" s="9">
        <v>282</v>
      </c>
      <c r="P90" s="9">
        <v>2171</v>
      </c>
      <c r="Q90" s="9">
        <v>2171</v>
      </c>
      <c r="R90" s="9">
        <v>2171</v>
      </c>
      <c r="S90" s="9">
        <v>290</v>
      </c>
      <c r="T90" s="9">
        <v>232</v>
      </c>
      <c r="U90" s="9">
        <v>232</v>
      </c>
      <c r="V90" s="9">
        <v>290</v>
      </c>
      <c r="W90" s="9">
        <v>232</v>
      </c>
      <c r="X90" s="9">
        <v>232</v>
      </c>
      <c r="Y90" s="9">
        <v>290</v>
      </c>
      <c r="Z90" s="9">
        <v>232</v>
      </c>
      <c r="AA90" s="9">
        <v>232</v>
      </c>
      <c r="AB90" s="9">
        <v>290</v>
      </c>
      <c r="AC90" s="9">
        <v>232</v>
      </c>
      <c r="AE90" s="6">
        <v>0</v>
      </c>
      <c r="AF90" s="6">
        <v>8655</v>
      </c>
      <c r="AG90" s="6">
        <v>11465</v>
      </c>
      <c r="AH90" s="6">
        <v>1629.96</v>
      </c>
      <c r="AI90" s="6">
        <v>12418.119999999999</v>
      </c>
      <c r="AJ90" s="6">
        <v>12548.380000000001</v>
      </c>
      <c r="AK90" s="6">
        <v>12548.380000000001</v>
      </c>
      <c r="AL90" s="6">
        <v>1676.2</v>
      </c>
      <c r="AM90" s="6">
        <v>1338.6399999999999</v>
      </c>
      <c r="AN90" s="6">
        <v>1338.6399999999999</v>
      </c>
      <c r="AO90" s="6">
        <v>1673.3</v>
      </c>
      <c r="AP90" s="6">
        <v>1338.6399999999999</v>
      </c>
      <c r="AQ90" s="6">
        <v>1338.6399999999999</v>
      </c>
      <c r="AR90" s="6">
        <v>1673.3</v>
      </c>
      <c r="AS90" s="6">
        <v>1338.6399999999999</v>
      </c>
      <c r="AT90" s="6">
        <v>1338.6399999999999</v>
      </c>
      <c r="AU90" s="6">
        <v>1673.3</v>
      </c>
      <c r="AV90" s="6">
        <v>1338.6399999999999</v>
      </c>
      <c r="AW90" s="93" t="s">
        <v>833</v>
      </c>
      <c r="AX90" s="76" t="s">
        <v>833</v>
      </c>
      <c r="AY90" s="76" t="s">
        <v>833</v>
      </c>
      <c r="AZ90" s="76" t="s">
        <v>833</v>
      </c>
      <c r="BA90" s="76" t="s">
        <v>833</v>
      </c>
      <c r="BB90" s="76" t="s">
        <v>631</v>
      </c>
      <c r="BC90" s="76" t="s">
        <v>833</v>
      </c>
      <c r="BD90" s="76" t="s">
        <v>833</v>
      </c>
      <c r="BE90" s="76" t="s">
        <v>833</v>
      </c>
      <c r="BF90" s="76" t="s">
        <v>833</v>
      </c>
      <c r="BG90" s="76" t="s">
        <v>833</v>
      </c>
      <c r="BH90" s="76" t="s">
        <v>833</v>
      </c>
      <c r="BI90" s="76" t="s">
        <v>833</v>
      </c>
      <c r="BJ90" s="76" t="s">
        <v>833</v>
      </c>
      <c r="BK90" s="76" t="s">
        <v>833</v>
      </c>
      <c r="BL90" s="76" t="s">
        <v>833</v>
      </c>
      <c r="BM90" s="76" t="s">
        <v>833</v>
      </c>
      <c r="BN90" s="76" t="s">
        <v>631</v>
      </c>
      <c r="BO90" s="94" t="s">
        <v>631</v>
      </c>
      <c r="BP90" s="76" t="s">
        <v>833</v>
      </c>
      <c r="BQ90" s="76" t="s">
        <v>833</v>
      </c>
      <c r="BR90" s="76" t="s">
        <v>833</v>
      </c>
      <c r="BS90" s="76" t="s">
        <v>833</v>
      </c>
      <c r="BT90" s="76" t="s">
        <v>833</v>
      </c>
      <c r="BU90" s="76" t="s">
        <v>833</v>
      </c>
      <c r="BV90" s="76" t="s">
        <v>833</v>
      </c>
      <c r="BW90" s="76" t="s">
        <v>833</v>
      </c>
      <c r="BX90" s="76" t="s">
        <v>833</v>
      </c>
      <c r="BY90" s="76" t="s">
        <v>833</v>
      </c>
      <c r="BZ90" s="76" t="s">
        <v>833</v>
      </c>
      <c r="CA90" s="76" t="s">
        <v>833</v>
      </c>
      <c r="CB90" s="76" t="s">
        <v>833</v>
      </c>
      <c r="CC90" s="76" t="s">
        <v>833</v>
      </c>
      <c r="CD90" s="76" t="s">
        <v>833</v>
      </c>
      <c r="CE90" s="76" t="s">
        <v>833</v>
      </c>
      <c r="CF90" s="76" t="s">
        <v>833</v>
      </c>
      <c r="CG90" s="76" t="s">
        <v>833</v>
      </c>
      <c r="CH90" s="76" t="s">
        <v>833</v>
      </c>
      <c r="CI90" s="76" t="s">
        <v>833</v>
      </c>
      <c r="CJ90" s="76" t="s">
        <v>833</v>
      </c>
      <c r="CK90" s="76" t="s">
        <v>833</v>
      </c>
      <c r="CL90" s="76" t="s">
        <v>833</v>
      </c>
      <c r="CM90" s="76" t="s">
        <v>833</v>
      </c>
      <c r="CN90" s="76" t="s">
        <v>833</v>
      </c>
      <c r="CO90" s="76" t="s">
        <v>833</v>
      </c>
      <c r="CP90" s="76" t="s">
        <v>833</v>
      </c>
      <c r="CQ90" s="76" t="s">
        <v>833</v>
      </c>
      <c r="CR90" s="76" t="s">
        <v>833</v>
      </c>
      <c r="CS90" s="76" t="s">
        <v>833</v>
      </c>
      <c r="CT90" s="76" t="s">
        <v>833</v>
      </c>
      <c r="CU90" s="76" t="s">
        <v>833</v>
      </c>
      <c r="CV90" s="76" t="s">
        <v>833</v>
      </c>
      <c r="CW90" s="76" t="s">
        <v>833</v>
      </c>
      <c r="CX90" s="76" t="s">
        <v>631</v>
      </c>
      <c r="CY90" s="96" t="s">
        <v>631</v>
      </c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95"/>
      <c r="DO90" s="90">
        <f t="shared" si="13"/>
        <v>5</v>
      </c>
      <c r="DP90" s="21"/>
      <c r="DQ90" s="21"/>
    </row>
    <row r="91" spans="1:121" x14ac:dyDescent="0.3">
      <c r="A91" s="4" t="s">
        <v>126</v>
      </c>
      <c r="B91" s="4" t="s">
        <v>388</v>
      </c>
      <c r="C91" s="4" t="s">
        <v>393</v>
      </c>
      <c r="D91" s="4" t="s">
        <v>394</v>
      </c>
      <c r="E91" s="12">
        <v>34.869999999999997</v>
      </c>
      <c r="F91" s="34">
        <f t="shared" si="14"/>
        <v>86965.78</v>
      </c>
      <c r="G91" s="28">
        <f t="shared" si="15"/>
        <v>2494</v>
      </c>
      <c r="H91" s="28">
        <f t="shared" si="16"/>
        <v>208</v>
      </c>
      <c r="I91" s="26">
        <f t="shared" si="17"/>
        <v>44494.119999999995</v>
      </c>
      <c r="J91" s="24">
        <f t="shared" si="18"/>
        <v>1276</v>
      </c>
      <c r="K91" s="31">
        <f t="shared" si="19"/>
        <v>256</v>
      </c>
      <c r="L91" s="9">
        <v>40</v>
      </c>
      <c r="M91" s="9">
        <v>0</v>
      </c>
      <c r="N91" s="9">
        <v>0</v>
      </c>
      <c r="O91" s="9">
        <v>232</v>
      </c>
      <c r="P91" s="9">
        <v>232</v>
      </c>
      <c r="Q91" s="9">
        <v>290</v>
      </c>
      <c r="R91" s="9">
        <v>232</v>
      </c>
      <c r="S91" s="9">
        <v>290</v>
      </c>
      <c r="T91" s="9">
        <v>232</v>
      </c>
      <c r="U91" s="9">
        <v>232</v>
      </c>
      <c r="V91" s="9">
        <v>290</v>
      </c>
      <c r="W91" s="9">
        <v>232</v>
      </c>
      <c r="X91" s="9">
        <v>232</v>
      </c>
      <c r="Y91" s="9">
        <v>290</v>
      </c>
      <c r="Z91" s="9">
        <v>232</v>
      </c>
      <c r="AA91" s="9">
        <v>232</v>
      </c>
      <c r="AB91" s="9">
        <v>290</v>
      </c>
      <c r="AC91" s="9">
        <v>232</v>
      </c>
      <c r="AE91" s="6">
        <v>1334.8</v>
      </c>
      <c r="AF91" s="6">
        <v>0</v>
      </c>
      <c r="AG91" s="6">
        <v>0</v>
      </c>
      <c r="AH91" s="6">
        <v>7818.4000000000005</v>
      </c>
      <c r="AI91" s="6">
        <v>7818.4000000000005</v>
      </c>
      <c r="AJ91" s="6">
        <v>9773</v>
      </c>
      <c r="AK91" s="6">
        <v>7818.4000000000005</v>
      </c>
      <c r="AL91" s="6">
        <v>9677.2999999999993</v>
      </c>
      <c r="AM91" s="6">
        <v>7741.8399999999992</v>
      </c>
      <c r="AN91" s="6">
        <v>7741.8399999999992</v>
      </c>
      <c r="AO91" s="6">
        <v>9677.2999999999993</v>
      </c>
      <c r="AP91" s="6">
        <v>7741.8399999999992</v>
      </c>
      <c r="AQ91" s="6">
        <v>7741.8399999999992</v>
      </c>
      <c r="AR91" s="6">
        <v>9677.2999999999993</v>
      </c>
      <c r="AS91" s="6">
        <v>7741.8399999999992</v>
      </c>
      <c r="AT91" s="6">
        <v>7741.8399999999992</v>
      </c>
      <c r="AU91" s="6">
        <v>9677.2999999999993</v>
      </c>
      <c r="AV91" s="6">
        <v>7741.8399999999992</v>
      </c>
      <c r="AW91" s="93" t="s">
        <v>631</v>
      </c>
      <c r="AX91" s="76" t="s">
        <v>833</v>
      </c>
      <c r="AY91" s="76" t="s">
        <v>833</v>
      </c>
      <c r="AZ91" s="76" t="s">
        <v>833</v>
      </c>
      <c r="BA91" s="76" t="s">
        <v>833</v>
      </c>
      <c r="BB91" s="76" t="s">
        <v>833</v>
      </c>
      <c r="BC91" s="76" t="s">
        <v>833</v>
      </c>
      <c r="BD91" s="76" t="s">
        <v>833</v>
      </c>
      <c r="BE91" s="76" t="s">
        <v>833</v>
      </c>
      <c r="BF91" s="76" t="s">
        <v>833</v>
      </c>
      <c r="BG91" s="76" t="s">
        <v>833</v>
      </c>
      <c r="BH91" s="76" t="s">
        <v>833</v>
      </c>
      <c r="BI91" s="76" t="s">
        <v>833</v>
      </c>
      <c r="BJ91" s="76" t="s">
        <v>833</v>
      </c>
      <c r="BK91" s="76" t="s">
        <v>833</v>
      </c>
      <c r="BL91" s="76" t="s">
        <v>833</v>
      </c>
      <c r="BM91" s="76" t="s">
        <v>833</v>
      </c>
      <c r="BN91" s="76" t="s">
        <v>631</v>
      </c>
      <c r="BO91" s="94" t="s">
        <v>631</v>
      </c>
      <c r="BP91" s="76" t="s">
        <v>833</v>
      </c>
      <c r="BQ91" s="76" t="s">
        <v>833</v>
      </c>
      <c r="BR91" s="76" t="s">
        <v>833</v>
      </c>
      <c r="BS91" s="76" t="s">
        <v>833</v>
      </c>
      <c r="BT91" s="76" t="s">
        <v>833</v>
      </c>
      <c r="BU91" s="76" t="s">
        <v>833</v>
      </c>
      <c r="BV91" s="76" t="s">
        <v>833</v>
      </c>
      <c r="BW91" s="76" t="s">
        <v>833</v>
      </c>
      <c r="BX91" s="76" t="s">
        <v>833</v>
      </c>
      <c r="BY91" s="76" t="s">
        <v>833</v>
      </c>
      <c r="BZ91" s="76" t="s">
        <v>833</v>
      </c>
      <c r="CA91" s="76" t="s">
        <v>833</v>
      </c>
      <c r="CB91" s="76" t="s">
        <v>833</v>
      </c>
      <c r="CC91" s="76" t="s">
        <v>833</v>
      </c>
      <c r="CD91" s="76" t="s">
        <v>833</v>
      </c>
      <c r="CE91" s="76" t="s">
        <v>833</v>
      </c>
      <c r="CF91" s="76" t="s">
        <v>833</v>
      </c>
      <c r="CG91" s="76" t="s">
        <v>833</v>
      </c>
      <c r="CH91" s="76" t="s">
        <v>833</v>
      </c>
      <c r="CI91" s="76" t="s">
        <v>833</v>
      </c>
      <c r="CJ91" s="76" t="s">
        <v>833</v>
      </c>
      <c r="CK91" s="76" t="s">
        <v>833</v>
      </c>
      <c r="CL91" s="76" t="s">
        <v>833</v>
      </c>
      <c r="CM91" s="76" t="s">
        <v>833</v>
      </c>
      <c r="CN91" s="76" t="s">
        <v>833</v>
      </c>
      <c r="CO91" s="76" t="s">
        <v>833</v>
      </c>
      <c r="CP91" s="76" t="s">
        <v>833</v>
      </c>
      <c r="CQ91" s="76" t="s">
        <v>833</v>
      </c>
      <c r="CR91" s="76" t="s">
        <v>833</v>
      </c>
      <c r="CS91" s="76" t="s">
        <v>833</v>
      </c>
      <c r="CT91" s="76" t="s">
        <v>833</v>
      </c>
      <c r="CU91" s="76" t="s">
        <v>833</v>
      </c>
      <c r="CV91" s="76" t="s">
        <v>833</v>
      </c>
      <c r="CW91" s="76" t="s">
        <v>833</v>
      </c>
      <c r="CX91" s="76" t="s">
        <v>631</v>
      </c>
      <c r="CY91" s="96" t="s">
        <v>631</v>
      </c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95"/>
      <c r="DO91" s="90">
        <f t="shared" si="13"/>
        <v>5</v>
      </c>
      <c r="DP91" s="21"/>
      <c r="DQ91" s="21"/>
    </row>
    <row r="92" spans="1:121" x14ac:dyDescent="0.3">
      <c r="A92" s="4" t="s">
        <v>126</v>
      </c>
      <c r="B92" s="4" t="s">
        <v>388</v>
      </c>
      <c r="C92" s="4" t="s">
        <v>395</v>
      </c>
      <c r="D92" s="4" t="s">
        <v>246</v>
      </c>
      <c r="E92" s="12">
        <v>3.2</v>
      </c>
      <c r="F92" s="34">
        <f t="shared" si="14"/>
        <v>5740.8</v>
      </c>
      <c r="G92" s="28">
        <f t="shared" si="15"/>
        <v>1794</v>
      </c>
      <c r="H92" s="28">
        <f t="shared" si="16"/>
        <v>150</v>
      </c>
      <c r="I92" s="26">
        <f t="shared" si="17"/>
        <v>3238.4</v>
      </c>
      <c r="J92" s="24">
        <f t="shared" si="18"/>
        <v>1012</v>
      </c>
      <c r="K92" s="31">
        <f t="shared" si="19"/>
        <v>203</v>
      </c>
      <c r="L92" s="9">
        <v>0</v>
      </c>
      <c r="M92" s="9">
        <v>0</v>
      </c>
      <c r="N92" s="9">
        <v>0</v>
      </c>
      <c r="O92" s="9">
        <v>0</v>
      </c>
      <c r="P92" s="9">
        <v>184</v>
      </c>
      <c r="Q92" s="9">
        <v>230</v>
      </c>
      <c r="R92" s="9">
        <v>184</v>
      </c>
      <c r="S92" s="9">
        <v>230</v>
      </c>
      <c r="T92" s="9">
        <v>184</v>
      </c>
      <c r="U92" s="9">
        <v>184</v>
      </c>
      <c r="V92" s="9">
        <v>230</v>
      </c>
      <c r="W92" s="9">
        <v>184</v>
      </c>
      <c r="X92" s="9">
        <v>184</v>
      </c>
      <c r="Y92" s="9">
        <v>230</v>
      </c>
      <c r="Z92" s="9">
        <v>184</v>
      </c>
      <c r="AA92" s="9">
        <v>184</v>
      </c>
      <c r="AB92" s="9">
        <v>230</v>
      </c>
      <c r="AC92" s="9">
        <v>184</v>
      </c>
      <c r="AE92" s="6">
        <v>0</v>
      </c>
      <c r="AF92" s="6">
        <v>0</v>
      </c>
      <c r="AG92" s="6">
        <v>0</v>
      </c>
      <c r="AH92" s="6">
        <v>0</v>
      </c>
      <c r="AI92" s="6">
        <v>568.55999999999995</v>
      </c>
      <c r="AJ92" s="6">
        <v>710.69999999999993</v>
      </c>
      <c r="AK92" s="6">
        <v>568.55999999999995</v>
      </c>
      <c r="AL92" s="6">
        <v>710.69999999999993</v>
      </c>
      <c r="AM92" s="6">
        <v>568.55999999999995</v>
      </c>
      <c r="AN92" s="6">
        <v>568.55999999999995</v>
      </c>
      <c r="AO92" s="6">
        <v>710.69999999999993</v>
      </c>
      <c r="AP92" s="6">
        <v>568.55999999999995</v>
      </c>
      <c r="AQ92" s="6">
        <v>568.55999999999995</v>
      </c>
      <c r="AR92" s="6">
        <v>710.69999999999993</v>
      </c>
      <c r="AS92" s="6">
        <v>568.55999999999995</v>
      </c>
      <c r="AT92" s="6">
        <v>568.55999999999995</v>
      </c>
      <c r="AU92" s="6">
        <v>710.69999999999993</v>
      </c>
      <c r="AV92" s="6">
        <v>568.55999999999995</v>
      </c>
      <c r="AW92" s="93" t="s">
        <v>833</v>
      </c>
      <c r="AX92" s="76" t="s">
        <v>833</v>
      </c>
      <c r="AY92" s="76" t="s">
        <v>631</v>
      </c>
      <c r="AZ92" s="76" t="s">
        <v>833</v>
      </c>
      <c r="BA92" s="76" t="s">
        <v>833</v>
      </c>
      <c r="BB92" s="76" t="s">
        <v>833</v>
      </c>
      <c r="BC92" s="76" t="s">
        <v>833</v>
      </c>
      <c r="BD92" s="76" t="s">
        <v>833</v>
      </c>
      <c r="BE92" s="76" t="s">
        <v>833</v>
      </c>
      <c r="BF92" s="76" t="s">
        <v>833</v>
      </c>
      <c r="BG92" s="76" t="s">
        <v>833</v>
      </c>
      <c r="BH92" s="76" t="s">
        <v>833</v>
      </c>
      <c r="BI92" s="76" t="s">
        <v>833</v>
      </c>
      <c r="BJ92" s="76" t="s">
        <v>833</v>
      </c>
      <c r="BK92" s="76" t="s">
        <v>833</v>
      </c>
      <c r="BL92" s="76" t="s">
        <v>833</v>
      </c>
      <c r="BM92" s="76" t="s">
        <v>833</v>
      </c>
      <c r="BN92" s="76" t="s">
        <v>631</v>
      </c>
      <c r="BO92" s="94" t="s">
        <v>631</v>
      </c>
      <c r="BP92" s="76" t="s">
        <v>833</v>
      </c>
      <c r="BQ92" s="76" t="s">
        <v>833</v>
      </c>
      <c r="BR92" s="76" t="s">
        <v>833</v>
      </c>
      <c r="BS92" s="76" t="s">
        <v>833</v>
      </c>
      <c r="BT92" s="76" t="s">
        <v>833</v>
      </c>
      <c r="BU92" s="76" t="s">
        <v>833</v>
      </c>
      <c r="BV92" s="76" t="s">
        <v>833</v>
      </c>
      <c r="BW92" s="76" t="s">
        <v>833</v>
      </c>
      <c r="BX92" s="76" t="s">
        <v>833</v>
      </c>
      <c r="BY92" s="76" t="s">
        <v>833</v>
      </c>
      <c r="BZ92" s="76" t="s">
        <v>833</v>
      </c>
      <c r="CA92" s="76" t="s">
        <v>833</v>
      </c>
      <c r="CB92" s="76" t="s">
        <v>833</v>
      </c>
      <c r="CC92" s="76" t="s">
        <v>833</v>
      </c>
      <c r="CD92" s="76" t="s">
        <v>833</v>
      </c>
      <c r="CE92" s="76" t="s">
        <v>833</v>
      </c>
      <c r="CF92" s="76" t="s">
        <v>833</v>
      </c>
      <c r="CG92" s="76" t="s">
        <v>833</v>
      </c>
      <c r="CH92" s="76" t="s">
        <v>833</v>
      </c>
      <c r="CI92" s="76" t="s">
        <v>833</v>
      </c>
      <c r="CJ92" s="76" t="s">
        <v>833</v>
      </c>
      <c r="CK92" s="76" t="s">
        <v>833</v>
      </c>
      <c r="CL92" s="76" t="s">
        <v>833</v>
      </c>
      <c r="CM92" s="76" t="s">
        <v>833</v>
      </c>
      <c r="CN92" s="76" t="s">
        <v>833</v>
      </c>
      <c r="CO92" s="76" t="s">
        <v>833</v>
      </c>
      <c r="CP92" s="76" t="s">
        <v>833</v>
      </c>
      <c r="CQ92" s="76" t="s">
        <v>833</v>
      </c>
      <c r="CR92" s="76" t="s">
        <v>833</v>
      </c>
      <c r="CS92" s="76" t="s">
        <v>833</v>
      </c>
      <c r="CT92" s="76" t="s">
        <v>833</v>
      </c>
      <c r="CU92" s="76" t="s">
        <v>833</v>
      </c>
      <c r="CV92" s="76" t="s">
        <v>833</v>
      </c>
      <c r="CW92" s="76" t="s">
        <v>833</v>
      </c>
      <c r="CX92" s="76" t="s">
        <v>631</v>
      </c>
      <c r="CY92" s="96" t="s">
        <v>631</v>
      </c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95"/>
      <c r="DO92" s="90">
        <f t="shared" si="13"/>
        <v>5</v>
      </c>
      <c r="DP92" s="21"/>
      <c r="DQ92" s="21"/>
    </row>
    <row r="93" spans="1:121" x14ac:dyDescent="0.3">
      <c r="A93" s="4" t="s">
        <v>126</v>
      </c>
      <c r="B93" s="4" t="s">
        <v>396</v>
      </c>
      <c r="C93" s="4" t="s">
        <v>397</v>
      </c>
      <c r="D93" s="4" t="s">
        <v>398</v>
      </c>
      <c r="E93" s="12">
        <v>21.54</v>
      </c>
      <c r="F93" s="34">
        <f t="shared" si="14"/>
        <v>112438.79999999999</v>
      </c>
      <c r="G93" s="28">
        <f t="shared" si="15"/>
        <v>5220</v>
      </c>
      <c r="H93" s="28">
        <f t="shared" si="16"/>
        <v>435</v>
      </c>
      <c r="I93" s="26">
        <f t="shared" si="17"/>
        <v>43596.959999999999</v>
      </c>
      <c r="J93" s="24">
        <f t="shared" si="18"/>
        <v>2024</v>
      </c>
      <c r="K93" s="31">
        <f t="shared" si="19"/>
        <v>405</v>
      </c>
      <c r="L93" s="9">
        <v>924</v>
      </c>
      <c r="M93" s="9">
        <v>1000</v>
      </c>
      <c r="N93" s="9">
        <v>0</v>
      </c>
      <c r="O93" s="9">
        <v>0</v>
      </c>
      <c r="P93" s="9">
        <v>1000</v>
      </c>
      <c r="Q93" s="9">
        <v>460</v>
      </c>
      <c r="R93" s="9">
        <v>368</v>
      </c>
      <c r="S93" s="9">
        <v>460</v>
      </c>
      <c r="T93" s="9">
        <v>368</v>
      </c>
      <c r="U93" s="9">
        <v>368</v>
      </c>
      <c r="V93" s="9">
        <v>460</v>
      </c>
      <c r="W93" s="9">
        <v>368</v>
      </c>
      <c r="X93" s="9">
        <v>368</v>
      </c>
      <c r="Y93" s="9">
        <v>460</v>
      </c>
      <c r="Z93" s="9">
        <v>368</v>
      </c>
      <c r="AA93" s="9">
        <v>368</v>
      </c>
      <c r="AB93" s="9">
        <v>460</v>
      </c>
      <c r="AC93" s="9">
        <v>368</v>
      </c>
      <c r="AE93" s="6">
        <v>19902.96</v>
      </c>
      <c r="AF93" s="6">
        <v>21540</v>
      </c>
      <c r="AG93" s="6">
        <v>0</v>
      </c>
      <c r="AH93" s="6">
        <v>0</v>
      </c>
      <c r="AI93" s="6">
        <v>21540</v>
      </c>
      <c r="AJ93" s="6">
        <v>9908.4</v>
      </c>
      <c r="AK93" s="6">
        <v>7926.7199999999993</v>
      </c>
      <c r="AL93" s="6">
        <v>9908.4</v>
      </c>
      <c r="AM93" s="6">
        <v>7926.7199999999993</v>
      </c>
      <c r="AN93" s="6">
        <v>7926.7199999999993</v>
      </c>
      <c r="AO93" s="6">
        <v>9908.4</v>
      </c>
      <c r="AP93" s="6">
        <v>7926.7199999999993</v>
      </c>
      <c r="AQ93" s="6">
        <v>7926.7199999999993</v>
      </c>
      <c r="AR93" s="6">
        <v>9908.4</v>
      </c>
      <c r="AS93" s="6">
        <v>7926.7199999999993</v>
      </c>
      <c r="AT93" s="6">
        <v>7926.7199999999993</v>
      </c>
      <c r="AU93" s="6">
        <v>9908.4</v>
      </c>
      <c r="AV93" s="6">
        <v>7926.7199999999993</v>
      </c>
      <c r="AW93" s="93" t="s">
        <v>631</v>
      </c>
      <c r="AX93" s="76" t="s">
        <v>833</v>
      </c>
      <c r="AY93" s="76" t="s">
        <v>833</v>
      </c>
      <c r="AZ93" s="76" t="s">
        <v>631</v>
      </c>
      <c r="BA93" s="76" t="s">
        <v>833</v>
      </c>
      <c r="BB93" s="76" t="s">
        <v>833</v>
      </c>
      <c r="BC93" s="76" t="s">
        <v>833</v>
      </c>
      <c r="BD93" s="76" t="s">
        <v>833</v>
      </c>
      <c r="BE93" s="76" t="s">
        <v>833</v>
      </c>
      <c r="BF93" s="76" t="s">
        <v>833</v>
      </c>
      <c r="BG93" s="76" t="s">
        <v>833</v>
      </c>
      <c r="BH93" s="76" t="s">
        <v>833</v>
      </c>
      <c r="BI93" s="76" t="s">
        <v>833</v>
      </c>
      <c r="BJ93" s="76" t="s">
        <v>833</v>
      </c>
      <c r="BK93" s="76" t="s">
        <v>833</v>
      </c>
      <c r="BL93" s="76" t="s">
        <v>833</v>
      </c>
      <c r="BM93" s="76" t="s">
        <v>833</v>
      </c>
      <c r="BN93" s="76" t="s">
        <v>631</v>
      </c>
      <c r="BO93" s="94" t="s">
        <v>631</v>
      </c>
      <c r="BP93" s="76" t="s">
        <v>833</v>
      </c>
      <c r="BQ93" s="76" t="s">
        <v>833</v>
      </c>
      <c r="BR93" s="76" t="s">
        <v>833</v>
      </c>
      <c r="BS93" s="76" t="s">
        <v>833</v>
      </c>
      <c r="BT93" s="76" t="s">
        <v>833</v>
      </c>
      <c r="BU93" s="76" t="s">
        <v>833</v>
      </c>
      <c r="BV93" s="76" t="s">
        <v>833</v>
      </c>
      <c r="BW93" s="76" t="s">
        <v>833</v>
      </c>
      <c r="BX93" s="76" t="s">
        <v>833</v>
      </c>
      <c r="BY93" s="76" t="s">
        <v>833</v>
      </c>
      <c r="BZ93" s="76" t="s">
        <v>833</v>
      </c>
      <c r="CA93" s="76" t="s">
        <v>833</v>
      </c>
      <c r="CB93" s="76" t="s">
        <v>833</v>
      </c>
      <c r="CC93" s="76" t="s">
        <v>833</v>
      </c>
      <c r="CD93" s="76" t="s">
        <v>833</v>
      </c>
      <c r="CE93" s="76" t="s">
        <v>833</v>
      </c>
      <c r="CF93" s="76" t="s">
        <v>833</v>
      </c>
      <c r="CG93" s="76" t="s">
        <v>833</v>
      </c>
      <c r="CH93" s="76" t="s">
        <v>833</v>
      </c>
      <c r="CI93" s="76" t="s">
        <v>833</v>
      </c>
      <c r="CJ93" s="76" t="s">
        <v>833</v>
      </c>
      <c r="CK93" s="76" t="s">
        <v>833</v>
      </c>
      <c r="CL93" s="76" t="s">
        <v>833</v>
      </c>
      <c r="CM93" s="76" t="s">
        <v>833</v>
      </c>
      <c r="CN93" s="76" t="s">
        <v>833</v>
      </c>
      <c r="CO93" s="76" t="s">
        <v>833</v>
      </c>
      <c r="CP93" s="76" t="s">
        <v>833</v>
      </c>
      <c r="CQ93" s="76" t="s">
        <v>833</v>
      </c>
      <c r="CR93" s="76" t="s">
        <v>833</v>
      </c>
      <c r="CS93" s="76" t="s">
        <v>833</v>
      </c>
      <c r="CT93" s="76" t="s">
        <v>833</v>
      </c>
      <c r="CU93" s="76" t="s">
        <v>833</v>
      </c>
      <c r="CV93" s="76" t="s">
        <v>833</v>
      </c>
      <c r="CW93" s="76" t="s">
        <v>833</v>
      </c>
      <c r="CX93" s="76" t="s">
        <v>631</v>
      </c>
      <c r="CY93" s="96" t="s">
        <v>631</v>
      </c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95"/>
      <c r="DO93" s="90">
        <f t="shared" si="13"/>
        <v>6</v>
      </c>
      <c r="DP93" s="21"/>
      <c r="DQ93" s="21"/>
    </row>
    <row r="94" spans="1:121" x14ac:dyDescent="0.3">
      <c r="A94" s="4" t="s">
        <v>126</v>
      </c>
      <c r="B94" s="4" t="s">
        <v>396</v>
      </c>
      <c r="C94" s="4" t="s">
        <v>399</v>
      </c>
      <c r="D94" s="4" t="s">
        <v>400</v>
      </c>
      <c r="E94" s="12">
        <v>7.56</v>
      </c>
      <c r="F94" s="34">
        <f t="shared" si="14"/>
        <v>32508</v>
      </c>
      <c r="G94" s="28">
        <f t="shared" si="15"/>
        <v>4300</v>
      </c>
      <c r="H94" s="28">
        <f t="shared" si="16"/>
        <v>359</v>
      </c>
      <c r="I94" s="26">
        <f t="shared" si="17"/>
        <v>15301.439999999999</v>
      </c>
      <c r="J94" s="24">
        <f t="shared" si="18"/>
        <v>2024</v>
      </c>
      <c r="K94" s="31">
        <f t="shared" si="19"/>
        <v>405</v>
      </c>
      <c r="L94" s="9">
        <v>0</v>
      </c>
      <c r="M94" s="9">
        <v>1000</v>
      </c>
      <c r="N94" s="9">
        <v>0</v>
      </c>
      <c r="O94" s="9">
        <v>0</v>
      </c>
      <c r="P94" s="9">
        <v>1000</v>
      </c>
      <c r="Q94" s="9">
        <v>0</v>
      </c>
      <c r="R94" s="9">
        <v>368</v>
      </c>
      <c r="S94" s="9">
        <v>0</v>
      </c>
      <c r="T94" s="9">
        <v>368</v>
      </c>
      <c r="U94" s="9">
        <v>368</v>
      </c>
      <c r="V94" s="9">
        <v>460</v>
      </c>
      <c r="W94" s="9">
        <v>368</v>
      </c>
      <c r="X94" s="9">
        <v>368</v>
      </c>
      <c r="Y94" s="9">
        <v>460</v>
      </c>
      <c r="Z94" s="9">
        <v>368</v>
      </c>
      <c r="AA94" s="9">
        <v>368</v>
      </c>
      <c r="AB94" s="9">
        <v>460</v>
      </c>
      <c r="AC94" s="9">
        <v>368</v>
      </c>
      <c r="AE94" s="6">
        <v>0</v>
      </c>
      <c r="AF94" s="6">
        <v>7560</v>
      </c>
      <c r="AG94" s="6">
        <v>0</v>
      </c>
      <c r="AH94" s="6">
        <v>0</v>
      </c>
      <c r="AI94" s="6">
        <v>7560</v>
      </c>
      <c r="AJ94" s="6">
        <v>0</v>
      </c>
      <c r="AK94" s="6">
        <v>2782.08</v>
      </c>
      <c r="AL94" s="6">
        <v>0</v>
      </c>
      <c r="AM94" s="6">
        <v>2782.08</v>
      </c>
      <c r="AN94" s="6">
        <v>2782.08</v>
      </c>
      <c r="AO94" s="6">
        <v>3477.6</v>
      </c>
      <c r="AP94" s="6">
        <v>2782.08</v>
      </c>
      <c r="AQ94" s="6">
        <v>2782.08</v>
      </c>
      <c r="AR94" s="6">
        <v>3477.6</v>
      </c>
      <c r="AS94" s="6">
        <v>2782.08</v>
      </c>
      <c r="AT94" s="6">
        <v>2782.08</v>
      </c>
      <c r="AU94" s="6">
        <v>3477.6</v>
      </c>
      <c r="AV94" s="6">
        <v>2782.08</v>
      </c>
      <c r="AW94" s="93" t="s">
        <v>631</v>
      </c>
      <c r="AX94" s="76" t="s">
        <v>833</v>
      </c>
      <c r="AY94" s="76" t="s">
        <v>833</v>
      </c>
      <c r="AZ94" s="76" t="s">
        <v>833</v>
      </c>
      <c r="BA94" s="76" t="s">
        <v>833</v>
      </c>
      <c r="BB94" s="76" t="s">
        <v>833</v>
      </c>
      <c r="BC94" s="76" t="s">
        <v>833</v>
      </c>
      <c r="BD94" s="76" t="s">
        <v>833</v>
      </c>
      <c r="BE94" s="76" t="s">
        <v>833</v>
      </c>
      <c r="BF94" s="76" t="s">
        <v>833</v>
      </c>
      <c r="BG94" s="76" t="s">
        <v>833</v>
      </c>
      <c r="BH94" s="76" t="s">
        <v>833</v>
      </c>
      <c r="BI94" s="76" t="s">
        <v>833</v>
      </c>
      <c r="BJ94" s="76" t="s">
        <v>833</v>
      </c>
      <c r="BK94" s="76" t="s">
        <v>833</v>
      </c>
      <c r="BL94" s="76" t="s">
        <v>833</v>
      </c>
      <c r="BM94" s="76" t="s">
        <v>833</v>
      </c>
      <c r="BN94" s="76" t="s">
        <v>631</v>
      </c>
      <c r="BO94" s="94" t="s">
        <v>631</v>
      </c>
      <c r="BP94" s="76" t="s">
        <v>833</v>
      </c>
      <c r="BQ94" s="76" t="s">
        <v>833</v>
      </c>
      <c r="BR94" s="76" t="s">
        <v>833</v>
      </c>
      <c r="BS94" s="76" t="s">
        <v>833</v>
      </c>
      <c r="BT94" s="76" t="s">
        <v>833</v>
      </c>
      <c r="BU94" s="76" t="s">
        <v>833</v>
      </c>
      <c r="BV94" s="76" t="s">
        <v>833</v>
      </c>
      <c r="BW94" s="76" t="s">
        <v>833</v>
      </c>
      <c r="BX94" s="76" t="s">
        <v>833</v>
      </c>
      <c r="BY94" s="76" t="s">
        <v>833</v>
      </c>
      <c r="BZ94" s="76" t="s">
        <v>833</v>
      </c>
      <c r="CA94" s="76" t="s">
        <v>833</v>
      </c>
      <c r="CB94" s="76" t="s">
        <v>833</v>
      </c>
      <c r="CC94" s="76" t="s">
        <v>833</v>
      </c>
      <c r="CD94" s="76" t="s">
        <v>833</v>
      </c>
      <c r="CE94" s="76" t="s">
        <v>833</v>
      </c>
      <c r="CF94" s="76" t="s">
        <v>833</v>
      </c>
      <c r="CG94" s="76" t="s">
        <v>833</v>
      </c>
      <c r="CH94" s="76" t="s">
        <v>833</v>
      </c>
      <c r="CI94" s="76" t="s">
        <v>833</v>
      </c>
      <c r="CJ94" s="76" t="s">
        <v>833</v>
      </c>
      <c r="CK94" s="76" t="s">
        <v>833</v>
      </c>
      <c r="CL94" s="76" t="s">
        <v>833</v>
      </c>
      <c r="CM94" s="76" t="s">
        <v>833</v>
      </c>
      <c r="CN94" s="76" t="s">
        <v>833</v>
      </c>
      <c r="CO94" s="76" t="s">
        <v>833</v>
      </c>
      <c r="CP94" s="76" t="s">
        <v>833</v>
      </c>
      <c r="CQ94" s="76" t="s">
        <v>833</v>
      </c>
      <c r="CR94" s="76" t="s">
        <v>833</v>
      </c>
      <c r="CS94" s="76" t="s">
        <v>833</v>
      </c>
      <c r="CT94" s="76" t="s">
        <v>833</v>
      </c>
      <c r="CU94" s="76" t="s">
        <v>833</v>
      </c>
      <c r="CV94" s="76" t="s">
        <v>833</v>
      </c>
      <c r="CW94" s="76" t="s">
        <v>833</v>
      </c>
      <c r="CX94" s="76" t="s">
        <v>833</v>
      </c>
      <c r="CY94" s="96" t="s">
        <v>631</v>
      </c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95"/>
      <c r="DO94" s="90">
        <f t="shared" si="13"/>
        <v>4</v>
      </c>
      <c r="DP94" s="21"/>
      <c r="DQ94" s="21"/>
    </row>
    <row r="95" spans="1:121" x14ac:dyDescent="0.3">
      <c r="A95" s="4" t="s">
        <v>126</v>
      </c>
      <c r="B95" s="4" t="s">
        <v>396</v>
      </c>
      <c r="C95" s="4" t="s">
        <v>402</v>
      </c>
      <c r="D95" s="4" t="s">
        <v>202</v>
      </c>
      <c r="E95" s="12">
        <v>9.5399999999999991</v>
      </c>
      <c r="F95" s="34">
        <f t="shared" si="14"/>
        <v>95399.999999999985</v>
      </c>
      <c r="G95" s="28">
        <f t="shared" si="15"/>
        <v>10000</v>
      </c>
      <c r="H95" s="28">
        <f t="shared" si="16"/>
        <v>834</v>
      </c>
      <c r="I95" s="26">
        <f t="shared" si="17"/>
        <v>0</v>
      </c>
      <c r="J95" s="24">
        <f t="shared" si="18"/>
        <v>0</v>
      </c>
      <c r="K95" s="31">
        <f t="shared" si="19"/>
        <v>0</v>
      </c>
      <c r="L95" s="9">
        <v>0</v>
      </c>
      <c r="M95" s="9">
        <v>0</v>
      </c>
      <c r="N95" s="9">
        <v>1000</v>
      </c>
      <c r="O95" s="9">
        <v>4000</v>
      </c>
      <c r="P95" s="9">
        <v>4000</v>
      </c>
      <c r="Q95" s="9">
        <v>1000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E95" s="6">
        <v>0</v>
      </c>
      <c r="AF95" s="6">
        <v>0</v>
      </c>
      <c r="AG95" s="6">
        <v>4770</v>
      </c>
      <c r="AH95" s="6">
        <v>38160</v>
      </c>
      <c r="AI95" s="6">
        <v>38160</v>
      </c>
      <c r="AJ95" s="6">
        <v>9540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93" t="s">
        <v>833</v>
      </c>
      <c r="AX95" s="76" t="s">
        <v>833</v>
      </c>
      <c r="AY95" s="76" t="s">
        <v>833</v>
      </c>
      <c r="AZ95" s="76" t="s">
        <v>833</v>
      </c>
      <c r="BA95" s="76" t="s">
        <v>631</v>
      </c>
      <c r="BB95" s="76" t="s">
        <v>833</v>
      </c>
      <c r="BC95" s="76" t="s">
        <v>833</v>
      </c>
      <c r="BD95" s="76" t="s">
        <v>833</v>
      </c>
      <c r="BE95" s="76" t="s">
        <v>833</v>
      </c>
      <c r="BF95" s="76" t="s">
        <v>833</v>
      </c>
      <c r="BG95" s="76" t="s">
        <v>833</v>
      </c>
      <c r="BH95" s="76" t="s">
        <v>833</v>
      </c>
      <c r="BI95" s="76" t="s">
        <v>833</v>
      </c>
      <c r="BJ95" s="76" t="s">
        <v>833</v>
      </c>
      <c r="BK95" s="76" t="s">
        <v>833</v>
      </c>
      <c r="BL95" s="76" t="s">
        <v>833</v>
      </c>
      <c r="BM95" s="76" t="s">
        <v>833</v>
      </c>
      <c r="BN95" s="76" t="s">
        <v>631</v>
      </c>
      <c r="BO95" s="94" t="s">
        <v>631</v>
      </c>
      <c r="BP95" s="76" t="s">
        <v>833</v>
      </c>
      <c r="BQ95" s="76" t="s">
        <v>833</v>
      </c>
      <c r="BR95" s="76" t="s">
        <v>833</v>
      </c>
      <c r="BS95" s="76" t="s">
        <v>833</v>
      </c>
      <c r="BT95" s="76" t="s">
        <v>833</v>
      </c>
      <c r="BU95" s="76" t="s">
        <v>833</v>
      </c>
      <c r="BV95" s="76" t="s">
        <v>833</v>
      </c>
      <c r="BW95" s="76" t="s">
        <v>833</v>
      </c>
      <c r="BX95" s="76" t="s">
        <v>833</v>
      </c>
      <c r="BY95" s="76" t="s">
        <v>833</v>
      </c>
      <c r="BZ95" s="76" t="s">
        <v>833</v>
      </c>
      <c r="CA95" s="76" t="s">
        <v>833</v>
      </c>
      <c r="CB95" s="76" t="s">
        <v>833</v>
      </c>
      <c r="CC95" s="76" t="s">
        <v>833</v>
      </c>
      <c r="CD95" s="76" t="s">
        <v>833</v>
      </c>
      <c r="CE95" s="76" t="s">
        <v>833</v>
      </c>
      <c r="CF95" s="76" t="s">
        <v>833</v>
      </c>
      <c r="CG95" s="76" t="s">
        <v>833</v>
      </c>
      <c r="CH95" s="76" t="s">
        <v>833</v>
      </c>
      <c r="CI95" s="76" t="s">
        <v>833</v>
      </c>
      <c r="CJ95" s="76" t="s">
        <v>833</v>
      </c>
      <c r="CK95" s="76" t="s">
        <v>833</v>
      </c>
      <c r="CL95" s="76" t="s">
        <v>833</v>
      </c>
      <c r="CM95" s="76" t="s">
        <v>833</v>
      </c>
      <c r="CN95" s="76" t="s">
        <v>833</v>
      </c>
      <c r="CO95" s="76" t="s">
        <v>833</v>
      </c>
      <c r="CP95" s="76" t="s">
        <v>833</v>
      </c>
      <c r="CQ95" s="76" t="s">
        <v>833</v>
      </c>
      <c r="CR95" s="76" t="s">
        <v>833</v>
      </c>
      <c r="CS95" s="76" t="s">
        <v>833</v>
      </c>
      <c r="CT95" s="76" t="s">
        <v>833</v>
      </c>
      <c r="CU95" s="76" t="s">
        <v>833</v>
      </c>
      <c r="CV95" s="76" t="s">
        <v>833</v>
      </c>
      <c r="CW95" s="76" t="s">
        <v>833</v>
      </c>
      <c r="CX95" s="76" t="s">
        <v>833</v>
      </c>
      <c r="CY95" s="96" t="s">
        <v>631</v>
      </c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95"/>
      <c r="DO95" s="90">
        <f t="shared" si="13"/>
        <v>4</v>
      </c>
      <c r="DP95" s="21"/>
      <c r="DQ95" s="21"/>
    </row>
    <row r="96" spans="1:121" x14ac:dyDescent="0.3">
      <c r="A96" s="4" t="s">
        <v>412</v>
      </c>
      <c r="B96" s="4" t="s">
        <v>413</v>
      </c>
      <c r="C96" s="4" t="s">
        <v>414</v>
      </c>
      <c r="D96" s="4" t="s">
        <v>415</v>
      </c>
      <c r="E96" s="12">
        <v>4997.97</v>
      </c>
      <c r="F96" s="34">
        <f t="shared" si="14"/>
        <v>9995.94</v>
      </c>
      <c r="G96" s="28">
        <f t="shared" si="15"/>
        <v>2</v>
      </c>
      <c r="H96" s="28">
        <f t="shared" si="16"/>
        <v>1</v>
      </c>
      <c r="I96" s="26">
        <f t="shared" si="17"/>
        <v>0</v>
      </c>
      <c r="J96" s="24">
        <f t="shared" si="18"/>
        <v>0</v>
      </c>
      <c r="K96" s="31">
        <f t="shared" si="19"/>
        <v>0</v>
      </c>
      <c r="L96" s="9">
        <v>32</v>
      </c>
      <c r="M96" s="9">
        <v>2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E96" s="6">
        <v>157736</v>
      </c>
      <c r="AF96" s="6">
        <v>9858.5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93" t="s">
        <v>631</v>
      </c>
      <c r="AX96" s="76" t="s">
        <v>833</v>
      </c>
      <c r="AY96" s="76" t="s">
        <v>631</v>
      </c>
      <c r="AZ96" s="76" t="s">
        <v>833</v>
      </c>
      <c r="BA96" s="76" t="s">
        <v>833</v>
      </c>
      <c r="BB96" s="76" t="s">
        <v>833</v>
      </c>
      <c r="BC96" s="76" t="s">
        <v>833</v>
      </c>
      <c r="BD96" s="76" t="s">
        <v>833</v>
      </c>
      <c r="BE96" s="76" t="s">
        <v>833</v>
      </c>
      <c r="BF96" s="76" t="s">
        <v>833</v>
      </c>
      <c r="BG96" s="76" t="s">
        <v>833</v>
      </c>
      <c r="BH96" s="76" t="s">
        <v>833</v>
      </c>
      <c r="BI96" s="76" t="s">
        <v>833</v>
      </c>
      <c r="BJ96" s="76" t="s">
        <v>631</v>
      </c>
      <c r="BK96" s="76" t="s">
        <v>833</v>
      </c>
      <c r="BL96" s="76" t="s">
        <v>833</v>
      </c>
      <c r="BM96" s="76" t="s">
        <v>833</v>
      </c>
      <c r="BN96" s="76" t="s">
        <v>631</v>
      </c>
      <c r="BO96" s="94" t="s">
        <v>631</v>
      </c>
      <c r="BP96" s="76" t="s">
        <v>833</v>
      </c>
      <c r="BQ96" s="76" t="s">
        <v>833</v>
      </c>
      <c r="BR96" s="76" t="s">
        <v>833</v>
      </c>
      <c r="BS96" s="76" t="s">
        <v>833</v>
      </c>
      <c r="BT96" s="76" t="s">
        <v>833</v>
      </c>
      <c r="BU96" s="76" t="s">
        <v>833</v>
      </c>
      <c r="BV96" s="76" t="s">
        <v>833</v>
      </c>
      <c r="BW96" s="76" t="s">
        <v>833</v>
      </c>
      <c r="BX96" s="76" t="s">
        <v>833</v>
      </c>
      <c r="BY96" s="94" t="s">
        <v>631</v>
      </c>
      <c r="BZ96" s="76" t="s">
        <v>833</v>
      </c>
      <c r="CA96" s="76" t="s">
        <v>833</v>
      </c>
      <c r="CB96" s="76" t="s">
        <v>833</v>
      </c>
      <c r="CC96" s="76" t="s">
        <v>833</v>
      </c>
      <c r="CD96" s="76" t="s">
        <v>833</v>
      </c>
      <c r="CE96" s="76" t="s">
        <v>833</v>
      </c>
      <c r="CF96" s="76" t="s">
        <v>631</v>
      </c>
      <c r="CG96" s="94" t="s">
        <v>631</v>
      </c>
      <c r="CH96" s="76" t="s">
        <v>833</v>
      </c>
      <c r="CI96" s="76" t="s">
        <v>833</v>
      </c>
      <c r="CJ96" s="76" t="s">
        <v>833</v>
      </c>
      <c r="CK96" s="76" t="s">
        <v>833</v>
      </c>
      <c r="CL96" s="76" t="s">
        <v>833</v>
      </c>
      <c r="CM96" s="76" t="s">
        <v>833</v>
      </c>
      <c r="CN96" s="76" t="s">
        <v>833</v>
      </c>
      <c r="CO96" s="76" t="s">
        <v>833</v>
      </c>
      <c r="CP96" s="76" t="s">
        <v>833</v>
      </c>
      <c r="CQ96" s="76" t="s">
        <v>833</v>
      </c>
      <c r="CR96" s="76" t="s">
        <v>833</v>
      </c>
      <c r="CS96" s="76" t="s">
        <v>833</v>
      </c>
      <c r="CT96" s="76" t="s">
        <v>833</v>
      </c>
      <c r="CU96" s="76" t="s">
        <v>833</v>
      </c>
      <c r="CV96" s="76" t="s">
        <v>833</v>
      </c>
      <c r="CW96" s="76" t="s">
        <v>833</v>
      </c>
      <c r="CX96" s="76" t="s">
        <v>631</v>
      </c>
      <c r="CY96" s="96" t="s">
        <v>631</v>
      </c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95"/>
      <c r="DO96" s="90">
        <f>COUNTIF(AW96:DN96,"x")</f>
        <v>10</v>
      </c>
      <c r="DP96" s="21"/>
      <c r="DQ96" s="21"/>
    </row>
    <row r="97" spans="6:48" x14ac:dyDescent="0.3">
      <c r="F97" s="34"/>
      <c r="G97" s="28"/>
      <c r="H97" s="28"/>
      <c r="I97" s="26"/>
      <c r="J97" s="24"/>
      <c r="K97" s="31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</row>
    <row r="98" spans="6:48" x14ac:dyDescent="0.3">
      <c r="F98" s="36"/>
      <c r="G98" s="37"/>
      <c r="H98" s="37"/>
      <c r="I98" s="39">
        <f>SUM(I6:I97)</f>
        <v>10635602.77</v>
      </c>
      <c r="J98" s="40">
        <f>SUM(J6:J97)</f>
        <v>72821</v>
      </c>
      <c r="K98" s="40">
        <f>SUM(K6:K97)</f>
        <v>14584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</row>
    <row r="99" spans="6:48" x14ac:dyDescent="0.3">
      <c r="F99" s="38"/>
      <c r="G99" s="37"/>
      <c r="H99" s="37"/>
      <c r="I99" s="41">
        <f>I98/5</f>
        <v>2127120.554</v>
      </c>
      <c r="J99" s="42"/>
      <c r="K99" s="40"/>
      <c r="M99" s="19"/>
      <c r="N99" s="19"/>
      <c r="O99" s="19"/>
      <c r="P99" s="19"/>
      <c r="Q99" s="19"/>
      <c r="R99" s="19"/>
      <c r="S99" s="19"/>
      <c r="T99" s="19"/>
    </row>
    <row r="100" spans="6:48" x14ac:dyDescent="0.3">
      <c r="G100" s="28"/>
      <c r="H100" s="28"/>
      <c r="I100" s="26"/>
      <c r="J100" s="24"/>
      <c r="K100" s="31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6:48" x14ac:dyDescent="0.3"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</sheetData>
  <autoFilter ref="A5:AV98" xr:uid="{EE3A1831-4433-43EB-AD1B-40B591DADD2C}"/>
  <mergeCells count="38">
    <mergeCell ref="DP4:DP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O4:DO5"/>
    <mergeCell ref="CI3:CL3"/>
    <mergeCell ref="DB4:DB5"/>
    <mergeCell ref="CY4:CY5"/>
    <mergeCell ref="CG3:CH3"/>
    <mergeCell ref="CP3:CX3"/>
    <mergeCell ref="CZ3:DL3"/>
    <mergeCell ref="CT4:CT5"/>
    <mergeCell ref="CU4:CU5"/>
    <mergeCell ref="CV4:CV5"/>
    <mergeCell ref="CW4:CW5"/>
    <mergeCell ref="CX4:CX5"/>
    <mergeCell ref="CZ4:CZ5"/>
    <mergeCell ref="DA4:DA5"/>
    <mergeCell ref="F4:H4"/>
    <mergeCell ref="CP4:CP5"/>
    <mergeCell ref="CQ4:CQ5"/>
    <mergeCell ref="CR4:CR5"/>
    <mergeCell ref="CS4:CS5"/>
    <mergeCell ref="BY3:CC3"/>
    <mergeCell ref="I1:K1"/>
    <mergeCell ref="AW3:AX3"/>
    <mergeCell ref="AY3:AY4"/>
    <mergeCell ref="AZ3:BC3"/>
    <mergeCell ref="BO3:BQ3"/>
    <mergeCell ref="BF3:BI4"/>
    <mergeCell ref="BR3:BU4"/>
  </mergeCells>
  <conditionalFormatting sqref="C1:C5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C8F8-E510-4B07-A80C-78100255C2A0}">
  <sheetPr>
    <outlinePr summaryBelow="0"/>
  </sheetPr>
  <dimension ref="A1:DZ850"/>
  <sheetViews>
    <sheetView tabSelected="1" zoomScale="55" zoomScaleNormal="55" workbookViewId="0">
      <pane xSplit="3" ySplit="5" topLeftCell="F6" activePane="bottomRight" state="frozen"/>
      <selection pane="topRight" activeCell="E1" sqref="E1"/>
      <selection pane="bottomLeft" activeCell="A9" sqref="A9"/>
      <selection pane="bottomRight" activeCell="B3" sqref="B3"/>
    </sheetView>
  </sheetViews>
  <sheetFormatPr defaultRowHeight="14.4" outlineLevelRow="1" x14ac:dyDescent="0.3"/>
  <cols>
    <col min="1" max="1" width="5.88671875" customWidth="1"/>
    <col min="2" max="2" width="9.33203125" customWidth="1"/>
    <col min="3" max="3" width="15.6640625" customWidth="1"/>
    <col min="4" max="4" width="26.44140625" hidden="1" customWidth="1"/>
    <col min="5" max="5" width="8.5546875" hidden="1" customWidth="1"/>
    <col min="6" max="6" width="12.6640625" style="35" customWidth="1"/>
    <col min="7" max="8" width="8.33203125" style="29" customWidth="1"/>
    <col min="9" max="9" width="14.33203125" style="25" hidden="1" customWidth="1"/>
    <col min="10" max="10" width="8.5546875" style="25" hidden="1" customWidth="1"/>
    <col min="11" max="11" width="10.6640625" style="32" hidden="1" customWidth="1"/>
    <col min="12" max="12" width="6.6640625" style="10" hidden="1" customWidth="1"/>
    <col min="13" max="15" width="11.88671875" style="10" hidden="1" customWidth="1"/>
    <col min="16" max="28" width="14.6640625" style="18" hidden="1" customWidth="1"/>
    <col min="29" max="29" width="11.88671875" style="18" hidden="1" customWidth="1"/>
    <col min="30" max="30" width="1.6640625" hidden="1" customWidth="1"/>
    <col min="31" max="31" width="11.6640625" hidden="1" customWidth="1"/>
    <col min="32" max="48" width="10.44140625" hidden="1" customWidth="1"/>
    <col min="49" max="79" width="4.33203125" customWidth="1"/>
    <col min="80" max="80" width="4.88671875" customWidth="1"/>
    <col min="81" max="86" width="4.33203125" customWidth="1"/>
    <col min="87" max="87" width="3.6640625" customWidth="1"/>
    <col min="88" max="100" width="3.5546875" customWidth="1"/>
    <col min="101" max="112" width="4.109375" customWidth="1"/>
    <col min="113" max="113" width="3.33203125" style="74" customWidth="1"/>
    <col min="114" max="125" width="3.33203125" customWidth="1"/>
    <col min="126" max="127" width="4.33203125" customWidth="1"/>
    <col min="128" max="128" width="8.6640625" style="21" customWidth="1"/>
    <col min="129" max="129" width="10.6640625" customWidth="1"/>
  </cols>
  <sheetData>
    <row r="1" spans="1:130" ht="4.95" customHeight="1" x14ac:dyDescent="0.3">
      <c r="A1" s="7"/>
      <c r="B1" s="1"/>
      <c r="C1" s="1"/>
      <c r="D1" s="2"/>
      <c r="E1" s="3"/>
      <c r="F1" t="s">
        <v>641</v>
      </c>
      <c r="H1" s="68">
        <v>202</v>
      </c>
      <c r="I1" s="143">
        <v>2025</v>
      </c>
      <c r="J1" s="143"/>
      <c r="K1" s="143"/>
      <c r="L1" s="11">
        <v>2023</v>
      </c>
      <c r="M1" s="11">
        <v>2024</v>
      </c>
      <c r="N1" s="11">
        <v>2024</v>
      </c>
      <c r="O1" s="11">
        <v>2024</v>
      </c>
      <c r="P1" s="16">
        <v>2024</v>
      </c>
      <c r="Q1" s="16">
        <v>2024</v>
      </c>
      <c r="R1" s="16">
        <v>2024</v>
      </c>
      <c r="S1" s="16">
        <v>2024</v>
      </c>
      <c r="T1" s="16">
        <v>2024</v>
      </c>
      <c r="U1" s="16">
        <v>2024</v>
      </c>
      <c r="V1" s="16">
        <v>2024</v>
      </c>
      <c r="W1" s="16">
        <v>2024</v>
      </c>
      <c r="X1" s="16">
        <v>2024</v>
      </c>
      <c r="Y1" s="16">
        <v>2025</v>
      </c>
      <c r="Z1" s="16">
        <v>2025</v>
      </c>
      <c r="AA1" s="16">
        <v>2025</v>
      </c>
      <c r="AB1" s="16">
        <v>2025</v>
      </c>
      <c r="AC1" s="16">
        <v>2025</v>
      </c>
      <c r="AD1" s="4"/>
      <c r="AE1" s="8">
        <v>2023</v>
      </c>
      <c r="AF1" s="8">
        <v>2024</v>
      </c>
      <c r="AG1" s="8">
        <v>2024</v>
      </c>
      <c r="AH1" s="8">
        <v>2024</v>
      </c>
      <c r="AI1" s="8">
        <v>2024</v>
      </c>
      <c r="AJ1" s="8">
        <v>2024</v>
      </c>
      <c r="AK1" s="8">
        <v>2024</v>
      </c>
      <c r="AL1" s="8">
        <v>2024</v>
      </c>
      <c r="AM1" s="8">
        <v>2024</v>
      </c>
      <c r="AN1" s="8">
        <v>2024</v>
      </c>
      <c r="AO1" s="8">
        <v>2024</v>
      </c>
      <c r="AP1" s="8">
        <v>2024</v>
      </c>
      <c r="AQ1" s="8">
        <v>2024</v>
      </c>
      <c r="AR1" s="8">
        <v>2025</v>
      </c>
      <c r="AS1" s="8">
        <v>2025</v>
      </c>
      <c r="AT1" s="8">
        <v>2025</v>
      </c>
      <c r="AU1" s="8">
        <v>2025</v>
      </c>
      <c r="AV1" s="8">
        <v>2025</v>
      </c>
    </row>
    <row r="2" spans="1:130" ht="14.4" customHeight="1" x14ac:dyDescent="0.3">
      <c r="A2" s="7"/>
      <c r="B2" s="1"/>
      <c r="C2" s="1"/>
      <c r="D2" s="2"/>
      <c r="E2" s="3"/>
      <c r="F2" s="10" t="s">
        <v>642</v>
      </c>
      <c r="G2" s="21"/>
      <c r="H2" s="68">
        <v>307</v>
      </c>
      <c r="I2" s="22"/>
      <c r="J2" s="22"/>
      <c r="K2" s="22"/>
      <c r="L2" s="11"/>
      <c r="M2" s="11"/>
      <c r="N2" s="11"/>
      <c r="O2" s="11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4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>
        <v>1</v>
      </c>
      <c r="AX2">
        <v>2</v>
      </c>
      <c r="AY2">
        <v>3</v>
      </c>
      <c r="AZ2">
        <v>4</v>
      </c>
      <c r="BA2">
        <v>5</v>
      </c>
      <c r="BB2">
        <v>6</v>
      </c>
      <c r="BC2">
        <v>7</v>
      </c>
      <c r="BD2">
        <v>8</v>
      </c>
      <c r="BE2">
        <v>9</v>
      </c>
      <c r="BF2">
        <v>10</v>
      </c>
      <c r="BG2">
        <v>11</v>
      </c>
      <c r="BJ2">
        <v>12</v>
      </c>
      <c r="BK2">
        <v>13</v>
      </c>
      <c r="BM2">
        <v>14</v>
      </c>
      <c r="BN2">
        <v>15</v>
      </c>
      <c r="BO2">
        <v>16</v>
      </c>
      <c r="BP2">
        <v>17</v>
      </c>
      <c r="BQ2">
        <v>18</v>
      </c>
      <c r="BR2">
        <v>19</v>
      </c>
      <c r="BW2">
        <v>20</v>
      </c>
      <c r="BZ2">
        <v>21</v>
      </c>
      <c r="CA2">
        <v>22</v>
      </c>
      <c r="CB2">
        <v>23</v>
      </c>
      <c r="CC2">
        <v>24</v>
      </c>
      <c r="CD2">
        <v>25</v>
      </c>
      <c r="CE2">
        <v>26</v>
      </c>
      <c r="CF2">
        <v>27</v>
      </c>
      <c r="CG2">
        <v>28</v>
      </c>
      <c r="CH2">
        <v>29</v>
      </c>
      <c r="CI2">
        <v>30</v>
      </c>
      <c r="CJ2">
        <v>31</v>
      </c>
      <c r="CV2">
        <v>32</v>
      </c>
      <c r="CW2">
        <v>33</v>
      </c>
      <c r="CX2">
        <v>34</v>
      </c>
      <c r="CY2">
        <v>35</v>
      </c>
      <c r="CZ2">
        <v>36</v>
      </c>
      <c r="DA2">
        <v>37</v>
      </c>
      <c r="DB2">
        <v>38</v>
      </c>
      <c r="DC2">
        <v>39</v>
      </c>
      <c r="DD2">
        <v>40</v>
      </c>
      <c r="DE2">
        <v>41</v>
      </c>
      <c r="DF2">
        <v>42</v>
      </c>
      <c r="DG2">
        <v>43</v>
      </c>
      <c r="DH2">
        <v>44</v>
      </c>
    </row>
    <row r="3" spans="1:130" ht="63" customHeight="1" x14ac:dyDescent="0.3">
      <c r="A3" s="7"/>
      <c r="B3" s="1"/>
      <c r="C3" s="1"/>
      <c r="D3" s="2"/>
      <c r="E3" s="3"/>
      <c r="F3" s="21"/>
      <c r="G3" s="21"/>
      <c r="H3" s="21"/>
      <c r="I3" s="22"/>
      <c r="J3" s="22"/>
      <c r="K3" s="22"/>
      <c r="L3" s="11"/>
      <c r="M3" s="11"/>
      <c r="N3" s="11"/>
      <c r="O3" s="11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4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144" t="s">
        <v>633</v>
      </c>
      <c r="AX3" s="145"/>
      <c r="AY3" s="146" t="s">
        <v>636</v>
      </c>
      <c r="AZ3" s="148" t="s">
        <v>629</v>
      </c>
      <c r="BA3" s="148"/>
      <c r="BB3" s="148"/>
      <c r="BC3" s="148"/>
      <c r="BD3" s="71" t="s">
        <v>646</v>
      </c>
      <c r="BE3" s="119" t="s">
        <v>685</v>
      </c>
      <c r="BF3" s="149" t="s">
        <v>688</v>
      </c>
      <c r="BG3" s="150"/>
      <c r="BH3" s="150"/>
      <c r="BI3" s="151"/>
      <c r="BJ3" s="120" t="s">
        <v>647</v>
      </c>
      <c r="BK3" s="71" t="s">
        <v>645</v>
      </c>
      <c r="BL3" s="161" t="s">
        <v>829</v>
      </c>
      <c r="BM3" s="71" t="s">
        <v>689</v>
      </c>
      <c r="BN3" s="121" t="s">
        <v>828</v>
      </c>
      <c r="BO3" s="69" t="s">
        <v>643</v>
      </c>
      <c r="BP3" s="155" t="s">
        <v>637</v>
      </c>
      <c r="BQ3" s="148"/>
      <c r="BR3" s="148"/>
      <c r="BS3" s="149" t="s">
        <v>688</v>
      </c>
      <c r="BT3" s="150"/>
      <c r="BU3" s="150"/>
      <c r="BV3" s="151"/>
      <c r="BW3" s="161" t="s">
        <v>829</v>
      </c>
      <c r="BX3" s="120" t="s">
        <v>647</v>
      </c>
      <c r="BY3" s="71" t="s">
        <v>645</v>
      </c>
      <c r="BZ3" s="163" t="s">
        <v>643</v>
      </c>
      <c r="CA3" s="165" t="s">
        <v>648</v>
      </c>
      <c r="CB3" s="166"/>
      <c r="CC3" s="166"/>
      <c r="CD3" s="166"/>
      <c r="CE3" s="167"/>
      <c r="CF3" s="71" t="s">
        <v>646</v>
      </c>
      <c r="CG3" s="117" t="s">
        <v>689</v>
      </c>
      <c r="CH3" s="71" t="s">
        <v>655</v>
      </c>
      <c r="CI3" s="144" t="s">
        <v>656</v>
      </c>
      <c r="CJ3" s="145"/>
      <c r="CK3" s="155" t="s">
        <v>637</v>
      </c>
      <c r="CL3" s="148"/>
      <c r="CM3" s="148"/>
      <c r="CN3" s="148" t="s">
        <v>629</v>
      </c>
      <c r="CO3" s="148"/>
      <c r="CP3" s="148"/>
      <c r="CQ3" s="148"/>
      <c r="CR3" s="149" t="s">
        <v>688</v>
      </c>
      <c r="CS3" s="150"/>
      <c r="CT3" s="150"/>
      <c r="CU3" s="151"/>
      <c r="CV3" s="158" t="s">
        <v>643</v>
      </c>
      <c r="CW3" s="148" t="s">
        <v>659</v>
      </c>
      <c r="CX3" s="77" t="s">
        <v>708</v>
      </c>
      <c r="CY3" s="168" t="s">
        <v>674</v>
      </c>
      <c r="CZ3" s="169"/>
      <c r="DA3" s="169"/>
      <c r="DB3" s="169"/>
      <c r="DC3" s="169"/>
      <c r="DD3" s="169"/>
      <c r="DE3" s="169"/>
      <c r="DF3" s="169"/>
      <c r="DG3" s="170"/>
      <c r="DH3" s="69" t="s">
        <v>682</v>
      </c>
      <c r="DI3" s="177" t="s">
        <v>674</v>
      </c>
      <c r="DJ3" s="178"/>
      <c r="DK3" s="178"/>
      <c r="DL3" s="178"/>
      <c r="DM3" s="178"/>
      <c r="DN3" s="178"/>
      <c r="DO3" s="178"/>
      <c r="DP3" s="178"/>
      <c r="DQ3" s="178"/>
      <c r="DR3" s="178"/>
      <c r="DS3" s="178"/>
      <c r="DT3" s="178"/>
      <c r="DU3" s="179"/>
      <c r="DV3" s="60"/>
      <c r="DW3" s="60"/>
      <c r="DX3" s="72" t="s">
        <v>687</v>
      </c>
    </row>
    <row r="4" spans="1:130" s="61" customFormat="1" ht="19.95" customHeight="1" x14ac:dyDescent="0.3">
      <c r="A4" s="62"/>
      <c r="E4" s="63"/>
      <c r="F4" s="156">
        <v>2024</v>
      </c>
      <c r="G4" s="156"/>
      <c r="H4" s="156"/>
      <c r="I4" s="22"/>
      <c r="J4" s="22"/>
      <c r="K4" s="22"/>
      <c r="L4" s="11"/>
      <c r="M4" s="11"/>
      <c r="N4" s="11"/>
      <c r="O4" s="11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4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58" t="s">
        <v>634</v>
      </c>
      <c r="AX4" s="59" t="s">
        <v>635</v>
      </c>
      <c r="AY4" s="147"/>
      <c r="AZ4" s="59">
        <v>110</v>
      </c>
      <c r="BA4" s="59">
        <v>200</v>
      </c>
      <c r="BB4" s="59">
        <v>250</v>
      </c>
      <c r="BC4" s="59">
        <v>300</v>
      </c>
      <c r="BD4" s="59"/>
      <c r="BE4" s="59"/>
      <c r="BF4" s="152"/>
      <c r="BG4" s="153"/>
      <c r="BH4" s="153"/>
      <c r="BI4" s="154"/>
      <c r="BJ4" s="59"/>
      <c r="BK4" s="59"/>
      <c r="BL4" s="162"/>
      <c r="BM4" s="59"/>
      <c r="BN4" s="59"/>
      <c r="BO4" s="59"/>
      <c r="BP4" s="64" t="s">
        <v>686</v>
      </c>
      <c r="BQ4" s="59" t="s">
        <v>638</v>
      </c>
      <c r="BR4" s="59" t="s">
        <v>639</v>
      </c>
      <c r="BS4" s="152"/>
      <c r="BT4" s="153"/>
      <c r="BU4" s="153"/>
      <c r="BV4" s="154"/>
      <c r="BW4" s="162"/>
      <c r="BX4" s="122"/>
      <c r="BY4" s="122"/>
      <c r="BZ4" s="164"/>
      <c r="CA4" s="59" t="s">
        <v>649</v>
      </c>
      <c r="CB4" s="59" t="s">
        <v>650</v>
      </c>
      <c r="CC4" s="59" t="s">
        <v>651</v>
      </c>
      <c r="CD4" s="59" t="s">
        <v>652</v>
      </c>
      <c r="CE4" s="59" t="s">
        <v>653</v>
      </c>
      <c r="CF4" s="59"/>
      <c r="CG4" s="59"/>
      <c r="CH4" s="59"/>
      <c r="CI4" s="59" t="s">
        <v>657</v>
      </c>
      <c r="CJ4" s="123" t="s">
        <v>830</v>
      </c>
      <c r="CK4" s="64" t="s">
        <v>686</v>
      </c>
      <c r="CL4" s="59" t="s">
        <v>638</v>
      </c>
      <c r="CM4" s="59" t="s">
        <v>639</v>
      </c>
      <c r="CN4" s="59">
        <v>110</v>
      </c>
      <c r="CO4" s="59">
        <v>200</v>
      </c>
      <c r="CP4" s="59">
        <v>250</v>
      </c>
      <c r="CQ4" s="59">
        <v>300</v>
      </c>
      <c r="CR4" s="152"/>
      <c r="CS4" s="153"/>
      <c r="CT4" s="153"/>
      <c r="CU4" s="154"/>
      <c r="CV4" s="159"/>
      <c r="CW4" s="160"/>
      <c r="CX4" s="78" t="s">
        <v>709</v>
      </c>
      <c r="CY4" s="157" t="s">
        <v>675</v>
      </c>
      <c r="CZ4" s="157" t="s">
        <v>676</v>
      </c>
      <c r="DA4" s="157" t="s">
        <v>677</v>
      </c>
      <c r="DB4" s="157" t="s">
        <v>678</v>
      </c>
      <c r="DC4" s="157" t="s">
        <v>679</v>
      </c>
      <c r="DD4" s="157" t="s">
        <v>680</v>
      </c>
      <c r="DE4" s="157" t="s">
        <v>683</v>
      </c>
      <c r="DF4" s="157" t="s">
        <v>684</v>
      </c>
      <c r="DG4" s="157" t="s">
        <v>681</v>
      </c>
      <c r="DH4" s="157"/>
      <c r="DI4" s="175" t="s">
        <v>661</v>
      </c>
      <c r="DJ4" s="175" t="s">
        <v>662</v>
      </c>
      <c r="DK4" s="175" t="s">
        <v>663</v>
      </c>
      <c r="DL4" s="175" t="s">
        <v>664</v>
      </c>
      <c r="DM4" s="175" t="s">
        <v>665</v>
      </c>
      <c r="DN4" s="175" t="s">
        <v>666</v>
      </c>
      <c r="DO4" s="175" t="s">
        <v>667</v>
      </c>
      <c r="DP4" s="175" t="s">
        <v>668</v>
      </c>
      <c r="DQ4" s="175" t="s">
        <v>669</v>
      </c>
      <c r="DR4" s="175" t="s">
        <v>670</v>
      </c>
      <c r="DS4" s="176" t="s">
        <v>671</v>
      </c>
      <c r="DT4" s="175" t="s">
        <v>672</v>
      </c>
      <c r="DU4" s="175" t="s">
        <v>673</v>
      </c>
      <c r="DV4" s="59"/>
      <c r="DW4" s="59"/>
      <c r="DX4" s="171" t="s">
        <v>630</v>
      </c>
      <c r="DY4" s="173" t="s">
        <v>632</v>
      </c>
    </row>
    <row r="5" spans="1:130" s="21" customFormat="1" ht="22.2" customHeight="1" thickBot="1" x14ac:dyDescent="0.35">
      <c r="A5" s="88" t="s">
        <v>1</v>
      </c>
      <c r="B5" s="65" t="s">
        <v>2</v>
      </c>
      <c r="C5" s="65" t="s">
        <v>3</v>
      </c>
      <c r="D5" s="65" t="s">
        <v>4</v>
      </c>
      <c r="E5" s="20" t="s">
        <v>5</v>
      </c>
      <c r="F5" s="33" t="s">
        <v>622</v>
      </c>
      <c r="G5" s="27" t="s">
        <v>623</v>
      </c>
      <c r="H5" s="27" t="s">
        <v>621</v>
      </c>
      <c r="I5" s="23" t="s">
        <v>622</v>
      </c>
      <c r="J5" s="23" t="s">
        <v>623</v>
      </c>
      <c r="K5" s="30" t="s">
        <v>621</v>
      </c>
      <c r="L5" s="11">
        <v>12</v>
      </c>
      <c r="M5" s="11">
        <v>1</v>
      </c>
      <c r="N5" s="11">
        <v>2</v>
      </c>
      <c r="O5" s="11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</v>
      </c>
      <c r="Z5" s="16">
        <v>2</v>
      </c>
      <c r="AA5" s="16">
        <v>3</v>
      </c>
      <c r="AB5" s="16">
        <v>4</v>
      </c>
      <c r="AC5" s="16">
        <v>5</v>
      </c>
      <c r="AD5" s="4" t="s">
        <v>6</v>
      </c>
      <c r="AE5" s="5">
        <v>12</v>
      </c>
      <c r="AF5" s="5">
        <v>1</v>
      </c>
      <c r="AG5" s="5">
        <v>2</v>
      </c>
      <c r="AH5" s="5">
        <v>3</v>
      </c>
      <c r="AI5" s="5">
        <v>4</v>
      </c>
      <c r="AJ5" s="5">
        <v>5</v>
      </c>
      <c r="AK5" s="5">
        <v>6</v>
      </c>
      <c r="AL5" s="5">
        <v>7</v>
      </c>
      <c r="AM5" s="5">
        <v>8</v>
      </c>
      <c r="AN5" s="5">
        <v>9</v>
      </c>
      <c r="AO5" s="5">
        <v>10</v>
      </c>
      <c r="AP5" s="5">
        <v>11</v>
      </c>
      <c r="AQ5" s="5">
        <v>12</v>
      </c>
      <c r="AR5" s="5">
        <v>1</v>
      </c>
      <c r="AS5" s="5">
        <v>2</v>
      </c>
      <c r="AT5" s="5">
        <v>3</v>
      </c>
      <c r="AU5" s="5">
        <v>4</v>
      </c>
      <c r="AV5" s="5">
        <v>5</v>
      </c>
      <c r="AW5" s="55">
        <v>3</v>
      </c>
      <c r="AX5" s="56">
        <v>2</v>
      </c>
      <c r="AY5" s="56">
        <v>1</v>
      </c>
      <c r="AZ5" s="56">
        <v>2</v>
      </c>
      <c r="BA5" s="56">
        <v>1</v>
      </c>
      <c r="BB5" s="56">
        <v>6</v>
      </c>
      <c r="BC5" s="56">
        <v>3</v>
      </c>
      <c r="BD5" s="56">
        <v>1</v>
      </c>
      <c r="BE5" s="56">
        <v>1</v>
      </c>
      <c r="BF5" s="106" t="s">
        <v>656</v>
      </c>
      <c r="BG5" s="106" t="s">
        <v>716</v>
      </c>
      <c r="BH5" s="106" t="s">
        <v>647</v>
      </c>
      <c r="BI5" s="106" t="s">
        <v>863</v>
      </c>
      <c r="BJ5" s="56">
        <v>1</v>
      </c>
      <c r="BK5" s="56">
        <v>1</v>
      </c>
      <c r="BL5" s="56"/>
      <c r="BM5" s="56"/>
      <c r="BN5" s="56"/>
      <c r="BO5" s="56">
        <v>1</v>
      </c>
      <c r="BP5" s="56">
        <v>7</v>
      </c>
      <c r="BQ5" s="56">
        <v>1</v>
      </c>
      <c r="BR5" s="56">
        <v>3</v>
      </c>
      <c r="BS5" s="106" t="s">
        <v>656</v>
      </c>
      <c r="BT5" s="106" t="s">
        <v>716</v>
      </c>
      <c r="BU5" s="106" t="s">
        <v>647</v>
      </c>
      <c r="BV5" s="106" t="s">
        <v>863</v>
      </c>
      <c r="BW5" s="56">
        <v>1</v>
      </c>
      <c r="BX5" s="56"/>
      <c r="BY5" s="56"/>
      <c r="BZ5" s="56">
        <v>1</v>
      </c>
      <c r="CA5" s="73" t="s">
        <v>654</v>
      </c>
      <c r="CB5" s="73" t="s">
        <v>654</v>
      </c>
      <c r="CC5" s="73" t="s">
        <v>654</v>
      </c>
      <c r="CD5" s="73" t="s">
        <v>654</v>
      </c>
      <c r="CE5" s="73" t="s">
        <v>654</v>
      </c>
      <c r="CF5" s="56">
        <v>10</v>
      </c>
      <c r="CG5" s="73"/>
      <c r="CH5" s="73" t="s">
        <v>654</v>
      </c>
      <c r="CI5" s="56">
        <v>1</v>
      </c>
      <c r="CJ5" s="56">
        <v>1</v>
      </c>
      <c r="CK5" s="56"/>
      <c r="CL5" s="56"/>
      <c r="CM5" s="56"/>
      <c r="CN5" s="56"/>
      <c r="CO5" s="56"/>
      <c r="CP5" s="56"/>
      <c r="CQ5" s="56"/>
      <c r="CR5" s="106" t="s">
        <v>656</v>
      </c>
      <c r="CS5" s="106" t="s">
        <v>716</v>
      </c>
      <c r="CT5" s="106" t="s">
        <v>647</v>
      </c>
      <c r="CU5" s="106" t="s">
        <v>863</v>
      </c>
      <c r="CV5" s="56"/>
      <c r="CW5" s="56">
        <v>1</v>
      </c>
      <c r="CX5" s="79"/>
      <c r="CY5" s="157"/>
      <c r="CZ5" s="157"/>
      <c r="DA5" s="157"/>
      <c r="DB5" s="157"/>
      <c r="DC5" s="157"/>
      <c r="DD5" s="157"/>
      <c r="DE5" s="157"/>
      <c r="DF5" s="157"/>
      <c r="DG5" s="157"/>
      <c r="DH5" s="180"/>
      <c r="DI5" s="175"/>
      <c r="DJ5" s="175"/>
      <c r="DK5" s="175"/>
      <c r="DL5" s="175"/>
      <c r="DM5" s="175"/>
      <c r="DN5" s="175"/>
      <c r="DO5" s="175"/>
      <c r="DP5" s="175"/>
      <c r="DQ5" s="175"/>
      <c r="DR5" s="175"/>
      <c r="DS5" s="176"/>
      <c r="DT5" s="175"/>
      <c r="DU5" s="175"/>
      <c r="DV5" s="56"/>
      <c r="DW5" s="56"/>
      <c r="DX5" s="172"/>
      <c r="DY5" s="174"/>
    </row>
    <row r="6" spans="1:130" ht="15" thickBot="1" x14ac:dyDescent="0.35">
      <c r="A6" s="4" t="s">
        <v>8</v>
      </c>
      <c r="B6" s="4" t="s">
        <v>16</v>
      </c>
      <c r="C6" s="91" t="s">
        <v>17</v>
      </c>
      <c r="D6" s="4" t="s">
        <v>18</v>
      </c>
      <c r="E6" s="12">
        <v>3298.43</v>
      </c>
      <c r="F6" s="34">
        <f t="shared" ref="F6:F357" si="0">E6*G6</f>
        <v>946649.40999999992</v>
      </c>
      <c r="G6" s="28">
        <f>SUM(M6:X6)</f>
        <v>287</v>
      </c>
      <c r="H6" s="28">
        <f t="shared" ref="H6:H357" si="1">ROUNDUP(G6/12,0)</f>
        <v>24</v>
      </c>
      <c r="I6" s="26">
        <f t="shared" ref="I6:I357" si="2">J6*E6</f>
        <v>0</v>
      </c>
      <c r="J6" s="24">
        <f t="shared" ref="J6:J357" si="3">SUM(Y6:AC6)</f>
        <v>0</v>
      </c>
      <c r="K6" s="31">
        <f t="shared" ref="K6:K357" si="4">ROUNDUP(J6/5,0)</f>
        <v>0</v>
      </c>
      <c r="L6" s="9">
        <v>0</v>
      </c>
      <c r="M6" s="9">
        <v>0</v>
      </c>
      <c r="N6" s="9">
        <v>0</v>
      </c>
      <c r="O6" s="9">
        <v>28</v>
      </c>
      <c r="P6" s="9">
        <v>28</v>
      </c>
      <c r="Q6" s="9">
        <v>35</v>
      </c>
      <c r="R6" s="9">
        <v>28</v>
      </c>
      <c r="S6" s="9">
        <v>35</v>
      </c>
      <c r="T6" s="9">
        <v>28</v>
      </c>
      <c r="U6" s="9">
        <v>28</v>
      </c>
      <c r="V6" s="9">
        <v>35</v>
      </c>
      <c r="W6" s="9">
        <v>28</v>
      </c>
      <c r="X6" s="9">
        <v>14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E6" s="6">
        <v>0</v>
      </c>
      <c r="AF6" s="6">
        <v>0</v>
      </c>
      <c r="AG6" s="6">
        <v>0</v>
      </c>
      <c r="AH6" s="6">
        <v>92356.04</v>
      </c>
      <c r="AI6" s="6">
        <v>92356.04</v>
      </c>
      <c r="AJ6" s="6">
        <v>115445.04999999999</v>
      </c>
      <c r="AK6" s="6">
        <v>92356.04</v>
      </c>
      <c r="AL6" s="6">
        <v>115445.04999999999</v>
      </c>
      <c r="AM6" s="6">
        <v>92356.04</v>
      </c>
      <c r="AN6" s="6">
        <v>92356.04</v>
      </c>
      <c r="AO6" s="6">
        <v>115445.04999999999</v>
      </c>
      <c r="AP6" s="6">
        <v>92356.04</v>
      </c>
      <c r="AQ6" s="6">
        <v>46178.02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83" t="s">
        <v>631</v>
      </c>
      <c r="AX6" s="75" t="s">
        <v>631</v>
      </c>
      <c r="AY6" s="75" t="s">
        <v>631</v>
      </c>
      <c r="AZ6" s="75"/>
      <c r="BA6" s="75"/>
      <c r="BB6" s="75"/>
      <c r="BC6" s="75"/>
      <c r="BD6" s="75"/>
      <c r="BE6" s="75" t="s">
        <v>631</v>
      </c>
      <c r="BF6" s="75" t="s">
        <v>631</v>
      </c>
      <c r="BG6" s="75" t="s">
        <v>631</v>
      </c>
      <c r="BH6" s="75"/>
      <c r="BI6" s="75"/>
      <c r="BJ6" s="75" t="s">
        <v>631</v>
      </c>
      <c r="BK6" s="75"/>
      <c r="BL6" s="75"/>
      <c r="BM6" s="75" t="s">
        <v>631</v>
      </c>
      <c r="BN6" s="75"/>
      <c r="BO6" s="75"/>
      <c r="BP6" s="75" t="s">
        <v>631</v>
      </c>
      <c r="BQ6" s="75"/>
      <c r="BR6" s="75" t="s">
        <v>631</v>
      </c>
      <c r="BS6" s="75" t="s">
        <v>631</v>
      </c>
      <c r="BT6" s="75" t="s">
        <v>631</v>
      </c>
      <c r="BU6" s="75"/>
      <c r="BV6" s="75"/>
      <c r="BW6" s="75"/>
      <c r="BX6" s="75"/>
      <c r="BY6" s="75"/>
      <c r="BZ6" s="75" t="s">
        <v>631</v>
      </c>
      <c r="CA6" s="75"/>
      <c r="CB6" s="75" t="s">
        <v>631</v>
      </c>
      <c r="CC6" s="75" t="s">
        <v>631</v>
      </c>
      <c r="CD6" s="75" t="s">
        <v>631</v>
      </c>
      <c r="CE6" s="75"/>
      <c r="CF6" s="75" t="s">
        <v>631</v>
      </c>
      <c r="CG6" s="75"/>
      <c r="CH6" s="75" t="s">
        <v>631</v>
      </c>
      <c r="CI6" s="75" t="s">
        <v>631</v>
      </c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 t="s">
        <v>631</v>
      </c>
      <c r="CX6" s="75"/>
      <c r="CY6" s="75"/>
      <c r="CZ6" s="75"/>
      <c r="DA6" s="75"/>
      <c r="DB6" s="75" t="s">
        <v>631</v>
      </c>
      <c r="DC6" s="75"/>
      <c r="DD6" s="75"/>
      <c r="DE6" s="75"/>
      <c r="DF6" s="75"/>
      <c r="DG6" s="75"/>
      <c r="DH6" s="75" t="s">
        <v>631</v>
      </c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92"/>
      <c r="DX6" s="89">
        <f>COUNTIF(AW6:DW6,"x")</f>
        <v>22</v>
      </c>
      <c r="DY6" s="21"/>
      <c r="DZ6" s="21"/>
    </row>
    <row r="7" spans="1:130" collapsed="1" x14ac:dyDescent="0.3">
      <c r="A7" s="4" t="s">
        <v>8</v>
      </c>
      <c r="B7" s="4" t="s">
        <v>16</v>
      </c>
      <c r="C7" s="91" t="s">
        <v>19</v>
      </c>
      <c r="D7" s="4" t="s">
        <v>20</v>
      </c>
      <c r="E7" s="12">
        <v>640.07000000000005</v>
      </c>
      <c r="F7" s="34">
        <f t="shared" si="0"/>
        <v>312994.23000000004</v>
      </c>
      <c r="G7" s="28">
        <f>SUM(M7:X7)</f>
        <v>489</v>
      </c>
      <c r="H7" s="28">
        <f t="shared" si="1"/>
        <v>41</v>
      </c>
      <c r="I7" s="26">
        <f t="shared" si="2"/>
        <v>179219.6</v>
      </c>
      <c r="J7" s="24">
        <f t="shared" si="3"/>
        <v>280</v>
      </c>
      <c r="K7" s="31">
        <f t="shared" si="4"/>
        <v>56</v>
      </c>
      <c r="L7" s="9">
        <v>8</v>
      </c>
      <c r="M7" s="9">
        <v>5</v>
      </c>
      <c r="N7" s="9">
        <v>0</v>
      </c>
      <c r="O7" s="9">
        <v>60</v>
      </c>
      <c r="P7" s="9">
        <v>80</v>
      </c>
      <c r="Q7" s="9">
        <v>80</v>
      </c>
      <c r="R7" s="9">
        <v>64</v>
      </c>
      <c r="S7" s="9">
        <v>60</v>
      </c>
      <c r="T7" s="9">
        <v>40</v>
      </c>
      <c r="U7" s="9">
        <v>40</v>
      </c>
      <c r="V7" s="9">
        <v>0</v>
      </c>
      <c r="W7" s="9">
        <v>0</v>
      </c>
      <c r="X7" s="9">
        <v>60</v>
      </c>
      <c r="Y7" s="9">
        <v>80</v>
      </c>
      <c r="Z7" s="9">
        <v>60</v>
      </c>
      <c r="AA7" s="9">
        <v>60</v>
      </c>
      <c r="AB7" s="9">
        <v>40</v>
      </c>
      <c r="AC7" s="9">
        <v>40</v>
      </c>
      <c r="AE7" s="6">
        <v>5120.5600000000004</v>
      </c>
      <c r="AF7" s="6">
        <v>3200.3500000000004</v>
      </c>
      <c r="AG7" s="6">
        <v>0</v>
      </c>
      <c r="AH7" s="6">
        <v>38404.200000000004</v>
      </c>
      <c r="AI7" s="6">
        <v>51205.600000000006</v>
      </c>
      <c r="AJ7" s="6">
        <v>51205.600000000006</v>
      </c>
      <c r="AK7" s="6">
        <v>40964.480000000003</v>
      </c>
      <c r="AL7" s="6">
        <v>38404.200000000004</v>
      </c>
      <c r="AM7" s="6">
        <v>25602.800000000003</v>
      </c>
      <c r="AN7" s="6">
        <v>25602.800000000003</v>
      </c>
      <c r="AO7" s="6">
        <v>0</v>
      </c>
      <c r="AP7" s="6">
        <v>0</v>
      </c>
      <c r="AQ7" s="6">
        <v>38404.200000000004</v>
      </c>
      <c r="AR7" s="6">
        <v>51205.600000000006</v>
      </c>
      <c r="AS7" s="6">
        <v>38404.200000000004</v>
      </c>
      <c r="AT7" s="6">
        <v>38404.200000000004</v>
      </c>
      <c r="AU7" s="6">
        <v>25602.800000000003</v>
      </c>
      <c r="AV7" s="6">
        <v>25602.800000000003</v>
      </c>
      <c r="AW7" s="93"/>
      <c r="AX7" s="76" t="s">
        <v>631</v>
      </c>
      <c r="AY7" s="76" t="s">
        <v>1288</v>
      </c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5" t="s">
        <v>631</v>
      </c>
      <c r="BQ7" s="76"/>
      <c r="BR7" s="76"/>
      <c r="BS7" s="76"/>
      <c r="BT7" s="76"/>
      <c r="BU7" s="76"/>
      <c r="BV7" s="76"/>
      <c r="BW7" s="76"/>
      <c r="BX7" s="76"/>
      <c r="BY7" s="76"/>
      <c r="BZ7" s="76" t="s">
        <v>631</v>
      </c>
      <c r="CA7" s="76"/>
      <c r="CB7" s="76"/>
      <c r="CC7" s="76"/>
      <c r="CD7" s="76"/>
      <c r="CE7" s="76"/>
      <c r="CF7" s="76"/>
      <c r="CG7" s="76" t="s">
        <v>631</v>
      </c>
      <c r="CH7" s="76" t="s">
        <v>631</v>
      </c>
      <c r="CI7" s="94" t="s">
        <v>631</v>
      </c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 t="s">
        <v>631</v>
      </c>
      <c r="DC7" s="76"/>
      <c r="DD7" s="76"/>
      <c r="DE7" s="76"/>
      <c r="DF7" s="76"/>
      <c r="DG7" s="76"/>
      <c r="DH7" s="76" t="s">
        <v>631</v>
      </c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95"/>
      <c r="DX7" s="90">
        <f>COUNTIF(AW7:DW7,"x")</f>
        <v>8</v>
      </c>
      <c r="DY7" s="21"/>
      <c r="DZ7" s="21"/>
    </row>
    <row r="8" spans="1:130" hidden="1" outlineLevel="1" x14ac:dyDescent="0.3">
      <c r="A8" s="4"/>
      <c r="B8" s="4"/>
      <c r="C8" s="141" t="s">
        <v>690</v>
      </c>
      <c r="D8" s="4"/>
      <c r="E8" s="12"/>
      <c r="F8" s="34"/>
      <c r="G8" s="28"/>
      <c r="H8" s="28"/>
      <c r="I8" s="26"/>
      <c r="J8" s="24"/>
      <c r="K8" s="3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93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6"/>
      <c r="CX8" s="76"/>
      <c r="CY8" s="76"/>
      <c r="CZ8" s="76"/>
      <c r="DA8" s="76"/>
      <c r="DB8" s="76" t="s">
        <v>6</v>
      </c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6"/>
      <c r="DW8" s="95"/>
      <c r="DX8" s="90"/>
      <c r="DY8" s="21"/>
      <c r="DZ8" s="21"/>
    </row>
    <row r="9" spans="1:130" hidden="1" outlineLevel="1" x14ac:dyDescent="0.3">
      <c r="A9" s="4"/>
      <c r="B9" s="4"/>
      <c r="C9" s="141" t="s">
        <v>691</v>
      </c>
      <c r="D9" s="4"/>
      <c r="E9" s="12"/>
      <c r="F9" s="34"/>
      <c r="G9" s="28"/>
      <c r="H9" s="28"/>
      <c r="I9" s="26"/>
      <c r="J9" s="24"/>
      <c r="K9" s="31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93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6"/>
      <c r="CX9" s="76"/>
      <c r="CY9" s="76"/>
      <c r="CZ9" s="76"/>
      <c r="DA9" s="76"/>
      <c r="DB9" s="76" t="s">
        <v>6</v>
      </c>
      <c r="DC9" s="76"/>
      <c r="DD9" s="76"/>
      <c r="DE9" s="76"/>
      <c r="DF9" s="76"/>
      <c r="DG9" s="76"/>
      <c r="DH9" s="76"/>
      <c r="DI9" s="76"/>
      <c r="DJ9" s="76"/>
      <c r="DK9" s="76"/>
      <c r="DL9" s="76"/>
      <c r="DM9" s="76"/>
      <c r="DN9" s="76"/>
      <c r="DO9" s="76"/>
      <c r="DP9" s="76"/>
      <c r="DQ9" s="76"/>
      <c r="DR9" s="76"/>
      <c r="DS9" s="76"/>
      <c r="DT9" s="76"/>
      <c r="DU9" s="76"/>
      <c r="DV9" s="76"/>
      <c r="DW9" s="95"/>
      <c r="DX9" s="90"/>
      <c r="DY9" s="21"/>
      <c r="DZ9" s="21"/>
    </row>
    <row r="10" spans="1:130" hidden="1" outlineLevel="1" x14ac:dyDescent="0.3">
      <c r="A10" s="4"/>
      <c r="B10" s="4"/>
      <c r="C10" s="142" t="s">
        <v>692</v>
      </c>
      <c r="D10" s="4"/>
      <c r="E10" s="12"/>
      <c r="F10" s="34"/>
      <c r="G10" s="28"/>
      <c r="H10" s="28"/>
      <c r="I10" s="26"/>
      <c r="J10" s="24"/>
      <c r="K10" s="3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93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 t="s">
        <v>6</v>
      </c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95"/>
      <c r="DX10" s="90"/>
      <c r="DY10" s="21"/>
      <c r="DZ10" s="21"/>
    </row>
    <row r="11" spans="1:130" s="132" customFormat="1" hidden="1" outlineLevel="1" x14ac:dyDescent="0.3">
      <c r="A11" s="124"/>
      <c r="B11" s="139"/>
      <c r="C11" s="125" t="s">
        <v>695</v>
      </c>
      <c r="D11" s="124"/>
      <c r="E11" s="126"/>
      <c r="F11" s="127"/>
      <c r="G11" s="128"/>
      <c r="H11" s="128"/>
      <c r="I11" s="129"/>
      <c r="J11" s="130"/>
      <c r="K11" s="131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  <c r="AX11" s="135" t="s">
        <v>6</v>
      </c>
      <c r="AY11" s="135" t="s">
        <v>1289</v>
      </c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 t="s">
        <v>6</v>
      </c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 t="s">
        <v>6</v>
      </c>
      <c r="CH11" s="135" t="s">
        <v>6</v>
      </c>
      <c r="CI11" s="136" t="s">
        <v>6</v>
      </c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5"/>
      <c r="CW11" s="135"/>
      <c r="CX11" s="135"/>
      <c r="CY11" s="135"/>
      <c r="CZ11" s="135"/>
      <c r="DA11" s="135"/>
      <c r="DB11" s="135" t="s">
        <v>6</v>
      </c>
      <c r="DC11" s="135"/>
      <c r="DD11" s="135"/>
      <c r="DE11" s="135"/>
      <c r="DF11" s="135"/>
      <c r="DG11" s="135"/>
      <c r="DH11" s="135"/>
      <c r="DI11" s="135"/>
      <c r="DJ11" s="135"/>
      <c r="DK11" s="135"/>
      <c r="DL11" s="135"/>
      <c r="DM11" s="135"/>
      <c r="DN11" s="135"/>
      <c r="DO11" s="135"/>
      <c r="DP11" s="135"/>
      <c r="DQ11" s="135"/>
      <c r="DR11" s="135"/>
      <c r="DS11" s="135"/>
      <c r="DT11" s="135"/>
      <c r="DU11" s="135"/>
      <c r="DV11" s="135"/>
      <c r="DW11" s="137"/>
      <c r="DX11" s="138"/>
    </row>
    <row r="12" spans="1:130" s="132" customFormat="1" hidden="1" outlineLevel="1" x14ac:dyDescent="0.3">
      <c r="A12" s="124"/>
      <c r="B12" s="124"/>
      <c r="C12" s="125" t="s">
        <v>696</v>
      </c>
      <c r="D12" s="124"/>
      <c r="E12" s="126"/>
      <c r="F12" s="127"/>
      <c r="G12" s="128"/>
      <c r="H12" s="128"/>
      <c r="I12" s="129"/>
      <c r="J12" s="130"/>
      <c r="K12" s="131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4"/>
      <c r="AX12" s="135" t="s">
        <v>6</v>
      </c>
      <c r="AY12" s="135" t="s">
        <v>1289</v>
      </c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 t="s">
        <v>6</v>
      </c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 t="s">
        <v>6</v>
      </c>
      <c r="CI12" s="136" t="s">
        <v>6</v>
      </c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 t="s">
        <v>6</v>
      </c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7"/>
      <c r="DX12" s="138"/>
    </row>
    <row r="13" spans="1:130" s="132" customFormat="1" hidden="1" outlineLevel="1" x14ac:dyDescent="0.3">
      <c r="A13" s="124"/>
      <c r="B13" s="124"/>
      <c r="C13" s="140" t="s">
        <v>693</v>
      </c>
      <c r="D13" s="124"/>
      <c r="E13" s="126"/>
      <c r="F13" s="127"/>
      <c r="G13" s="128"/>
      <c r="H13" s="128"/>
      <c r="I13" s="129"/>
      <c r="J13" s="130"/>
      <c r="K13" s="131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4"/>
      <c r="AX13" s="135" t="s">
        <v>1289</v>
      </c>
      <c r="AY13" s="135" t="s">
        <v>6</v>
      </c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 t="s">
        <v>6</v>
      </c>
      <c r="BQ13" s="135"/>
      <c r="BR13" s="135"/>
      <c r="BS13" s="135"/>
      <c r="BT13" s="135"/>
      <c r="BU13" s="135"/>
      <c r="BV13" s="135"/>
      <c r="BW13" s="135"/>
      <c r="BX13" s="135"/>
      <c r="BY13" s="135"/>
      <c r="BZ13" s="135" t="s">
        <v>6</v>
      </c>
      <c r="CA13" s="135"/>
      <c r="CB13" s="135"/>
      <c r="CC13" s="135"/>
      <c r="CD13" s="135"/>
      <c r="CE13" s="135"/>
      <c r="CF13" s="135"/>
      <c r="CG13" s="135" t="s">
        <v>6</v>
      </c>
      <c r="CH13" s="135" t="s">
        <v>6</v>
      </c>
      <c r="CI13" s="136" t="s">
        <v>6</v>
      </c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 t="s">
        <v>6</v>
      </c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7"/>
      <c r="DX13" s="138"/>
    </row>
    <row r="14" spans="1:130" s="132" customFormat="1" hidden="1" outlineLevel="1" x14ac:dyDescent="0.3">
      <c r="A14" s="124"/>
      <c r="B14" s="124"/>
      <c r="C14" s="140" t="s">
        <v>694</v>
      </c>
      <c r="D14" s="124"/>
      <c r="E14" s="126"/>
      <c r="F14" s="127"/>
      <c r="G14" s="128"/>
      <c r="H14" s="128"/>
      <c r="I14" s="129"/>
      <c r="J14" s="130"/>
      <c r="K14" s="131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4"/>
      <c r="AX14" s="135" t="s">
        <v>6</v>
      </c>
      <c r="AY14" s="135" t="s">
        <v>1289</v>
      </c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 t="s">
        <v>6</v>
      </c>
      <c r="BQ14" s="135"/>
      <c r="BR14" s="135"/>
      <c r="BS14" s="135"/>
      <c r="BT14" s="135"/>
      <c r="BU14" s="135"/>
      <c r="BV14" s="135"/>
      <c r="BW14" s="135"/>
      <c r="BX14" s="135"/>
      <c r="BY14" s="135"/>
      <c r="BZ14" s="135" t="s">
        <v>6</v>
      </c>
      <c r="CA14" s="135"/>
      <c r="CB14" s="135"/>
      <c r="CC14" s="135"/>
      <c r="CD14" s="135"/>
      <c r="CE14" s="135"/>
      <c r="CF14" s="135"/>
      <c r="CG14" s="135" t="s">
        <v>6</v>
      </c>
      <c r="CH14" s="135" t="s">
        <v>6</v>
      </c>
      <c r="CI14" s="136" t="s">
        <v>6</v>
      </c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  <c r="DB14" s="135" t="s">
        <v>6</v>
      </c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7"/>
      <c r="DX14" s="138"/>
    </row>
    <row r="15" spans="1:130" collapsed="1" x14ac:dyDescent="0.3">
      <c r="A15" s="4" t="s">
        <v>8</v>
      </c>
      <c r="B15" s="4" t="s">
        <v>24</v>
      </c>
      <c r="C15" s="91" t="s">
        <v>25</v>
      </c>
      <c r="D15" s="4" t="s">
        <v>26</v>
      </c>
      <c r="E15" s="12">
        <v>255.84</v>
      </c>
      <c r="F15" s="34">
        <f t="shared" si="0"/>
        <v>174482.88</v>
      </c>
      <c r="G15" s="28">
        <f>SUM(M15:X15)</f>
        <v>682</v>
      </c>
      <c r="H15" s="28">
        <f t="shared" si="1"/>
        <v>57</v>
      </c>
      <c r="I15" s="26">
        <f t="shared" si="2"/>
        <v>326451.84000000003</v>
      </c>
      <c r="J15" s="24">
        <f t="shared" si="3"/>
        <v>1276</v>
      </c>
      <c r="K15" s="31">
        <f t="shared" si="4"/>
        <v>256</v>
      </c>
      <c r="L15" s="9">
        <v>200</v>
      </c>
      <c r="M15" s="9">
        <v>100</v>
      </c>
      <c r="N15" s="9">
        <v>0</v>
      </c>
      <c r="O15" s="9">
        <v>50</v>
      </c>
      <c r="P15" s="9">
        <v>100</v>
      </c>
      <c r="Q15" s="9">
        <v>0</v>
      </c>
      <c r="R15" s="9">
        <v>0</v>
      </c>
      <c r="S15" s="9">
        <v>100</v>
      </c>
      <c r="T15" s="9">
        <v>0</v>
      </c>
      <c r="U15" s="9">
        <v>0</v>
      </c>
      <c r="V15" s="9">
        <v>0</v>
      </c>
      <c r="W15" s="9">
        <v>100</v>
      </c>
      <c r="X15" s="9">
        <v>232</v>
      </c>
      <c r="Y15" s="9">
        <v>290</v>
      </c>
      <c r="Z15" s="9">
        <v>232</v>
      </c>
      <c r="AA15" s="9">
        <v>232</v>
      </c>
      <c r="AB15" s="9">
        <v>290</v>
      </c>
      <c r="AC15" s="9">
        <v>232</v>
      </c>
      <c r="AE15" s="6">
        <v>51168</v>
      </c>
      <c r="AF15" s="6">
        <v>25584</v>
      </c>
      <c r="AG15" s="6">
        <v>0</v>
      </c>
      <c r="AH15" s="6">
        <v>12792</v>
      </c>
      <c r="AI15" s="6">
        <v>25584</v>
      </c>
      <c r="AJ15" s="6">
        <v>0</v>
      </c>
      <c r="AK15" s="6">
        <v>0</v>
      </c>
      <c r="AL15" s="6">
        <v>25584</v>
      </c>
      <c r="AM15" s="6">
        <v>0</v>
      </c>
      <c r="AN15" s="6">
        <v>0</v>
      </c>
      <c r="AO15" s="6">
        <v>0</v>
      </c>
      <c r="AP15" s="6">
        <v>25584</v>
      </c>
      <c r="AQ15" s="6">
        <v>59354.879999999997</v>
      </c>
      <c r="AR15" s="6">
        <v>74193.600000000006</v>
      </c>
      <c r="AS15" s="6">
        <v>59354.879999999997</v>
      </c>
      <c r="AT15" s="6">
        <v>59354.879999999997</v>
      </c>
      <c r="AU15" s="6">
        <v>74193.600000000006</v>
      </c>
      <c r="AV15" s="6">
        <v>59354.879999999997</v>
      </c>
      <c r="AW15" s="93" t="s">
        <v>631</v>
      </c>
      <c r="AX15" s="76" t="s">
        <v>631</v>
      </c>
      <c r="AY15" s="76"/>
      <c r="AZ15" s="76"/>
      <c r="BA15" s="76" t="s">
        <v>631</v>
      </c>
      <c r="BB15" s="76" t="s">
        <v>631</v>
      </c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 t="s">
        <v>631</v>
      </c>
      <c r="BP15" s="76" t="s">
        <v>631</v>
      </c>
      <c r="BQ15" s="76"/>
      <c r="BR15" s="76"/>
      <c r="BS15" s="76"/>
      <c r="BT15" s="76"/>
      <c r="BU15" s="76"/>
      <c r="BV15" s="76"/>
      <c r="BW15" s="76"/>
      <c r="BX15" s="76"/>
      <c r="BY15" s="76"/>
      <c r="BZ15" s="76" t="s">
        <v>631</v>
      </c>
      <c r="CA15" s="76"/>
      <c r="CB15" s="76"/>
      <c r="CC15" s="76"/>
      <c r="CD15" s="76"/>
      <c r="CE15" s="76"/>
      <c r="CF15" s="76"/>
      <c r="CG15" s="76"/>
      <c r="CH15" s="76" t="s">
        <v>631</v>
      </c>
      <c r="CI15" s="94" t="s">
        <v>631</v>
      </c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 t="s">
        <v>631</v>
      </c>
      <c r="CX15" s="76" t="s">
        <v>631</v>
      </c>
      <c r="CY15" s="76"/>
      <c r="CZ15" s="76"/>
      <c r="DA15" s="76"/>
      <c r="DB15" s="76"/>
      <c r="DC15" s="76"/>
      <c r="DD15" s="76"/>
      <c r="DE15" s="76" t="s">
        <v>631</v>
      </c>
      <c r="DF15" s="76"/>
      <c r="DG15" s="76"/>
      <c r="DH15" s="94" t="s">
        <v>631</v>
      </c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95"/>
      <c r="DX15" s="90">
        <f>COUNTIF(AW15:DW15,"x")</f>
        <v>13</v>
      </c>
      <c r="DY15" s="21"/>
      <c r="DZ15" s="21"/>
    </row>
    <row r="16" spans="1:130" hidden="1" outlineLevel="1" x14ac:dyDescent="0.3">
      <c r="A16" s="4"/>
      <c r="B16" s="4"/>
      <c r="C16" s="98" t="s">
        <v>698</v>
      </c>
      <c r="D16" s="4"/>
      <c r="E16" s="12"/>
      <c r="F16" s="34"/>
      <c r="G16" s="28"/>
      <c r="H16" s="28"/>
      <c r="I16" s="26"/>
      <c r="J16" s="24"/>
      <c r="K16" s="3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93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 t="s">
        <v>6</v>
      </c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95"/>
      <c r="DX16" s="90"/>
      <c r="DY16" s="21"/>
      <c r="DZ16" s="21"/>
    </row>
    <row r="17" spans="1:130" hidden="1" outlineLevel="1" x14ac:dyDescent="0.3">
      <c r="A17" s="4"/>
      <c r="B17" s="4"/>
      <c r="C17" s="98" t="s">
        <v>699</v>
      </c>
      <c r="D17" s="4"/>
      <c r="E17" s="12"/>
      <c r="F17" s="34"/>
      <c r="G17" s="28"/>
      <c r="H17" s="28"/>
      <c r="I17" s="26"/>
      <c r="J17" s="24"/>
      <c r="K17" s="3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93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 t="s">
        <v>6</v>
      </c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95"/>
      <c r="DX17" s="90"/>
      <c r="DY17" s="21"/>
      <c r="DZ17" s="21"/>
    </row>
    <row r="18" spans="1:130" hidden="1" outlineLevel="1" x14ac:dyDescent="0.3">
      <c r="A18" s="4"/>
      <c r="B18" s="4"/>
      <c r="C18" s="98" t="s">
        <v>700</v>
      </c>
      <c r="D18" s="4"/>
      <c r="E18" s="12"/>
      <c r="F18" s="34"/>
      <c r="G18" s="28"/>
      <c r="H18" s="28"/>
      <c r="I18" s="26"/>
      <c r="J18" s="24"/>
      <c r="K18" s="31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93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 t="s">
        <v>6</v>
      </c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95"/>
      <c r="DX18" s="90"/>
      <c r="DY18" s="21"/>
      <c r="DZ18" s="21"/>
    </row>
    <row r="19" spans="1:130" hidden="1" outlineLevel="1" x14ac:dyDescent="0.3">
      <c r="A19" s="4"/>
      <c r="B19" s="4"/>
      <c r="C19" s="98" t="s">
        <v>25</v>
      </c>
      <c r="D19" s="4"/>
      <c r="E19" s="12"/>
      <c r="F19" s="34"/>
      <c r="G19" s="28"/>
      <c r="H19" s="28"/>
      <c r="I19" s="26"/>
      <c r="J19" s="2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93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 t="s">
        <v>6</v>
      </c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95"/>
      <c r="DX19" s="90"/>
      <c r="DY19" s="21"/>
      <c r="DZ19" s="21"/>
    </row>
    <row r="20" spans="1:130" hidden="1" outlineLevel="1" x14ac:dyDescent="0.3">
      <c r="A20" s="4"/>
      <c r="B20" s="4"/>
      <c r="C20" s="98" t="s">
        <v>697</v>
      </c>
      <c r="D20" s="4"/>
      <c r="E20" s="12"/>
      <c r="F20" s="34"/>
      <c r="G20" s="28"/>
      <c r="H20" s="28"/>
      <c r="I20" s="26"/>
      <c r="J20" s="24"/>
      <c r="K20" s="31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93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 t="s">
        <v>6</v>
      </c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95"/>
      <c r="DX20" s="90"/>
      <c r="DY20" s="21"/>
      <c r="DZ20" s="21"/>
    </row>
    <row r="21" spans="1:130" hidden="1" outlineLevel="1" x14ac:dyDescent="0.3">
      <c r="A21" s="4"/>
      <c r="B21" s="4"/>
      <c r="C21" s="99" t="s">
        <v>701</v>
      </c>
      <c r="D21" s="4"/>
      <c r="E21" s="12"/>
      <c r="F21" s="34"/>
      <c r="G21" s="28"/>
      <c r="H21" s="28"/>
      <c r="I21" s="26"/>
      <c r="J21" s="24"/>
      <c r="K21" s="31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93"/>
      <c r="AX21" s="76" t="s">
        <v>6</v>
      </c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 t="s">
        <v>6</v>
      </c>
      <c r="BQ21" s="76"/>
      <c r="BR21" s="76"/>
      <c r="BS21" s="76"/>
      <c r="BT21" s="76"/>
      <c r="BU21" s="76"/>
      <c r="BV21" s="76"/>
      <c r="BW21" s="76" t="s">
        <v>6</v>
      </c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 t="s">
        <v>6</v>
      </c>
      <c r="CI21" s="76" t="s">
        <v>6</v>
      </c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 t="s">
        <v>6</v>
      </c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95"/>
      <c r="DX21" s="90"/>
      <c r="DY21" s="21"/>
      <c r="DZ21" s="21"/>
    </row>
    <row r="22" spans="1:130" hidden="1" outlineLevel="1" x14ac:dyDescent="0.3">
      <c r="A22" s="4"/>
      <c r="B22" s="4"/>
      <c r="C22" s="99" t="s">
        <v>702</v>
      </c>
      <c r="D22" s="4"/>
      <c r="E22" s="12"/>
      <c r="F22" s="34"/>
      <c r="G22" s="28"/>
      <c r="H22" s="28"/>
      <c r="I22" s="26"/>
      <c r="J22" s="24"/>
      <c r="K22" s="31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93"/>
      <c r="AX22" s="76" t="s">
        <v>6</v>
      </c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 t="s">
        <v>6</v>
      </c>
      <c r="BQ22" s="76"/>
      <c r="BR22" s="76"/>
      <c r="BS22" s="76"/>
      <c r="BT22" s="76"/>
      <c r="BU22" s="76"/>
      <c r="BV22" s="76"/>
      <c r="BW22" s="76" t="s">
        <v>6</v>
      </c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 t="s">
        <v>6</v>
      </c>
      <c r="CI22" s="76" t="s">
        <v>6</v>
      </c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 t="s">
        <v>6</v>
      </c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95"/>
      <c r="DX22" s="90"/>
      <c r="DY22" s="21"/>
      <c r="DZ22" s="21"/>
    </row>
    <row r="23" spans="1:130" hidden="1" outlineLevel="1" x14ac:dyDescent="0.3">
      <c r="A23" s="4"/>
      <c r="B23" s="4"/>
      <c r="C23" s="99" t="s">
        <v>703</v>
      </c>
      <c r="D23" s="4"/>
      <c r="E23" s="12"/>
      <c r="F23" s="34"/>
      <c r="G23" s="28"/>
      <c r="H23" s="28"/>
      <c r="I23" s="26"/>
      <c r="J23" s="24"/>
      <c r="K23" s="31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93" t="s">
        <v>6</v>
      </c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 t="s">
        <v>6</v>
      </c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 t="s">
        <v>6</v>
      </c>
      <c r="CI23" s="76" t="s">
        <v>6</v>
      </c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95"/>
      <c r="DX23" s="90"/>
      <c r="DY23" s="21"/>
      <c r="DZ23" s="21"/>
    </row>
    <row r="24" spans="1:130" hidden="1" outlineLevel="1" x14ac:dyDescent="0.3">
      <c r="A24" s="4"/>
      <c r="B24" s="4"/>
      <c r="C24" s="99" t="s">
        <v>42</v>
      </c>
      <c r="D24" s="4"/>
      <c r="E24" s="12"/>
      <c r="F24" s="34"/>
      <c r="G24" s="28"/>
      <c r="H24" s="28"/>
      <c r="I24" s="26"/>
      <c r="J24" s="24"/>
      <c r="K24" s="31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93"/>
      <c r="AX24" s="76" t="s">
        <v>6</v>
      </c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 t="s">
        <v>6</v>
      </c>
      <c r="BQ24" s="76"/>
      <c r="BR24" s="76"/>
      <c r="BS24" s="76"/>
      <c r="BT24" s="76"/>
      <c r="BU24" s="76"/>
      <c r="BV24" s="76"/>
      <c r="BW24" s="76" t="s">
        <v>6</v>
      </c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 t="s">
        <v>6</v>
      </c>
      <c r="CI24" s="76" t="s">
        <v>6</v>
      </c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95"/>
      <c r="DX24" s="90"/>
      <c r="DY24" s="21"/>
      <c r="DZ24" s="21"/>
    </row>
    <row r="25" spans="1:130" hidden="1" outlineLevel="1" x14ac:dyDescent="0.3">
      <c r="A25" s="4"/>
      <c r="B25" s="4"/>
      <c r="C25" s="99" t="s">
        <v>704</v>
      </c>
      <c r="D25" s="4"/>
      <c r="E25" s="12"/>
      <c r="F25" s="34"/>
      <c r="G25" s="28"/>
      <c r="H25" s="28"/>
      <c r="I25" s="26"/>
      <c r="J25" s="24"/>
      <c r="K25" s="31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93"/>
      <c r="AX25" s="76" t="s">
        <v>6</v>
      </c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 t="s">
        <v>6</v>
      </c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 t="s">
        <v>6</v>
      </c>
      <c r="CI25" s="76" t="s">
        <v>6</v>
      </c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 t="s">
        <v>6</v>
      </c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95"/>
      <c r="DX25" s="90"/>
      <c r="DY25" s="21"/>
      <c r="DZ25" s="21"/>
    </row>
    <row r="26" spans="1:130" hidden="1" outlineLevel="1" x14ac:dyDescent="0.3">
      <c r="A26" s="4"/>
      <c r="B26" s="4"/>
      <c r="C26" s="99" t="s">
        <v>705</v>
      </c>
      <c r="D26" s="4"/>
      <c r="E26" s="12"/>
      <c r="F26" s="34"/>
      <c r="G26" s="28"/>
      <c r="H26" s="28"/>
      <c r="I26" s="26"/>
      <c r="J26" s="24"/>
      <c r="K26" s="31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93"/>
      <c r="AX26" s="76" t="s">
        <v>6</v>
      </c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 t="s">
        <v>6</v>
      </c>
      <c r="BQ26" s="76"/>
      <c r="BR26" s="76"/>
      <c r="BS26" s="76"/>
      <c r="BT26" s="76"/>
      <c r="BU26" s="76"/>
      <c r="BV26" s="76"/>
      <c r="BW26" s="76"/>
      <c r="BX26" s="76"/>
      <c r="BY26" s="76"/>
      <c r="BZ26" s="76" t="s">
        <v>6</v>
      </c>
      <c r="CA26" s="76"/>
      <c r="CB26" s="76"/>
      <c r="CC26" s="76"/>
      <c r="CD26" s="76"/>
      <c r="CE26" s="76"/>
      <c r="CF26" s="76"/>
      <c r="CG26" s="76"/>
      <c r="CH26" s="100" t="s">
        <v>6</v>
      </c>
      <c r="CI26" s="76" t="s">
        <v>6</v>
      </c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95"/>
      <c r="DX26" s="90"/>
      <c r="DY26" s="21"/>
      <c r="DZ26" s="21"/>
    </row>
    <row r="27" spans="1:130" hidden="1" outlineLevel="1" x14ac:dyDescent="0.3">
      <c r="A27" s="4"/>
      <c r="B27" s="4"/>
      <c r="C27" s="99" t="s">
        <v>706</v>
      </c>
      <c r="D27" s="4"/>
      <c r="E27" s="12"/>
      <c r="F27" s="34"/>
      <c r="G27" s="28"/>
      <c r="H27" s="28"/>
      <c r="I27" s="26"/>
      <c r="J27" s="24"/>
      <c r="K27" s="31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93"/>
      <c r="AX27" s="76"/>
      <c r="AY27" s="76"/>
      <c r="AZ27" s="76"/>
      <c r="BA27" s="76"/>
      <c r="BB27" s="76" t="s">
        <v>6</v>
      </c>
      <c r="BC27" s="76"/>
      <c r="BD27" s="76"/>
      <c r="BE27" s="76"/>
      <c r="BF27" s="76" t="s">
        <v>6</v>
      </c>
      <c r="BG27" s="76"/>
      <c r="BH27" s="76"/>
      <c r="BI27" s="76"/>
      <c r="BJ27" s="76"/>
      <c r="BK27" s="76"/>
      <c r="BL27" s="76"/>
      <c r="BM27" s="76" t="s">
        <v>6</v>
      </c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95"/>
      <c r="DX27" s="90"/>
      <c r="DY27" s="21"/>
      <c r="DZ27" s="21"/>
    </row>
    <row r="28" spans="1:130" hidden="1" outlineLevel="1" x14ac:dyDescent="0.3">
      <c r="A28" s="4"/>
      <c r="B28" s="4"/>
      <c r="C28" s="99" t="s">
        <v>707</v>
      </c>
      <c r="D28" s="4"/>
      <c r="E28" s="12"/>
      <c r="F28" s="34"/>
      <c r="G28" s="28"/>
      <c r="H28" s="28"/>
      <c r="I28" s="26"/>
      <c r="J28" s="24"/>
      <c r="K28" s="31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93"/>
      <c r="AX28" s="76"/>
      <c r="AY28" s="76"/>
      <c r="AZ28" s="76"/>
      <c r="BA28" s="76" t="s">
        <v>6</v>
      </c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95"/>
      <c r="DX28" s="90"/>
      <c r="DY28" s="21"/>
      <c r="DZ28" s="21"/>
    </row>
    <row r="29" spans="1:130" collapsed="1" x14ac:dyDescent="0.3">
      <c r="A29" s="4" t="s">
        <v>8</v>
      </c>
      <c r="B29" s="4" t="s">
        <v>24</v>
      </c>
      <c r="C29" s="91" t="s">
        <v>28</v>
      </c>
      <c r="D29" s="4" t="s">
        <v>29</v>
      </c>
      <c r="E29" s="12">
        <v>269.11</v>
      </c>
      <c r="F29" s="34">
        <f t="shared" si="0"/>
        <v>309476.5</v>
      </c>
      <c r="G29" s="28">
        <f t="shared" ref="G29:G155" si="5">SUM(M29:X29)</f>
        <v>1150</v>
      </c>
      <c r="H29" s="28">
        <f t="shared" si="1"/>
        <v>96</v>
      </c>
      <c r="I29" s="26">
        <f t="shared" si="2"/>
        <v>0</v>
      </c>
      <c r="J29" s="24">
        <f t="shared" si="3"/>
        <v>0</v>
      </c>
      <c r="K29" s="31">
        <f t="shared" si="4"/>
        <v>0</v>
      </c>
      <c r="L29" s="9">
        <v>0</v>
      </c>
      <c r="M29" s="9">
        <v>0</v>
      </c>
      <c r="N29" s="9">
        <v>0</v>
      </c>
      <c r="O29" s="9">
        <v>100</v>
      </c>
      <c r="P29" s="9">
        <v>100</v>
      </c>
      <c r="Q29" s="9">
        <v>200</v>
      </c>
      <c r="R29" s="9">
        <v>300</v>
      </c>
      <c r="S29" s="9">
        <v>0</v>
      </c>
      <c r="T29" s="9">
        <v>150</v>
      </c>
      <c r="U29" s="9">
        <v>100</v>
      </c>
      <c r="V29" s="9">
        <v>0</v>
      </c>
      <c r="W29" s="9">
        <v>200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E29" s="6">
        <v>0</v>
      </c>
      <c r="AF29" s="6">
        <v>0</v>
      </c>
      <c r="AG29" s="6">
        <v>0</v>
      </c>
      <c r="AH29" s="6">
        <v>26911</v>
      </c>
      <c r="AI29" s="6">
        <v>26911</v>
      </c>
      <c r="AJ29" s="6">
        <v>53822</v>
      </c>
      <c r="AK29" s="6">
        <v>80733</v>
      </c>
      <c r="AL29" s="6">
        <v>0</v>
      </c>
      <c r="AM29" s="6">
        <v>40366.5</v>
      </c>
      <c r="AN29" s="6">
        <v>26911</v>
      </c>
      <c r="AO29" s="6">
        <v>0</v>
      </c>
      <c r="AP29" s="6">
        <v>53822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93"/>
      <c r="AX29" s="76"/>
      <c r="AY29" s="76"/>
      <c r="AZ29" s="76"/>
      <c r="BA29" s="76"/>
      <c r="BB29" s="76" t="s">
        <v>631</v>
      </c>
      <c r="BC29" s="76"/>
      <c r="BD29" s="76" t="s">
        <v>631</v>
      </c>
      <c r="BE29" s="76"/>
      <c r="BF29" s="76" t="s">
        <v>631</v>
      </c>
      <c r="BG29" s="76"/>
      <c r="BH29" s="76"/>
      <c r="BI29" s="76"/>
      <c r="BJ29" s="76"/>
      <c r="BK29" s="76"/>
      <c r="BL29" s="76"/>
      <c r="BM29" s="76" t="s">
        <v>631</v>
      </c>
      <c r="BN29" s="76" t="s">
        <v>631</v>
      </c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 t="s">
        <v>631</v>
      </c>
      <c r="DF29" s="76"/>
      <c r="DG29" s="76"/>
      <c r="DH29" s="76" t="s">
        <v>631</v>
      </c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95"/>
      <c r="DX29" s="90">
        <f>COUNTIF(AW29:DW29,"x")</f>
        <v>7</v>
      </c>
      <c r="DY29" s="21"/>
      <c r="DZ29" s="21"/>
    </row>
    <row r="30" spans="1:130" hidden="1" outlineLevel="1" x14ac:dyDescent="0.3">
      <c r="A30" s="4"/>
      <c r="B30" s="4"/>
      <c r="C30" s="104" t="s">
        <v>710</v>
      </c>
      <c r="D30" s="4"/>
      <c r="E30" s="12"/>
      <c r="F30" s="34"/>
      <c r="G30" s="28"/>
      <c r="H30" s="28"/>
      <c r="I30" s="26"/>
      <c r="J30" s="24"/>
      <c r="K30" s="31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93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95"/>
      <c r="DX30" s="90"/>
      <c r="DY30" s="21"/>
      <c r="DZ30" s="21"/>
    </row>
    <row r="31" spans="1:130" hidden="1" outlineLevel="1" x14ac:dyDescent="0.3">
      <c r="A31" s="4"/>
      <c r="B31" s="4"/>
      <c r="C31" s="109" t="s">
        <v>714</v>
      </c>
      <c r="D31" s="4"/>
      <c r="E31" s="12"/>
      <c r="F31" s="34"/>
      <c r="G31" s="28"/>
      <c r="H31" s="28"/>
      <c r="I31" s="26"/>
      <c r="J31" s="24"/>
      <c r="K31" s="31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93"/>
      <c r="AX31" s="76"/>
      <c r="AY31" s="76"/>
      <c r="AZ31" s="76"/>
      <c r="BA31" s="76"/>
      <c r="BB31" s="76" t="s">
        <v>6</v>
      </c>
      <c r="BC31" s="76"/>
      <c r="BD31" s="76" t="s">
        <v>6</v>
      </c>
      <c r="BE31" s="76"/>
      <c r="BF31" s="76" t="s">
        <v>6</v>
      </c>
      <c r="BG31" s="76"/>
      <c r="BH31" s="76"/>
      <c r="BI31" s="76"/>
      <c r="BJ31" s="76"/>
      <c r="BK31" s="76"/>
      <c r="BL31" s="76"/>
      <c r="BM31" s="76" t="s">
        <v>6</v>
      </c>
      <c r="BN31" s="76" t="s">
        <v>6</v>
      </c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94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95"/>
      <c r="DX31" s="90"/>
      <c r="DY31" s="21"/>
      <c r="DZ31" s="21"/>
    </row>
    <row r="32" spans="1:130" hidden="1" outlineLevel="1" x14ac:dyDescent="0.3">
      <c r="A32" s="4"/>
      <c r="B32" s="4"/>
      <c r="C32" s="104" t="s">
        <v>711</v>
      </c>
      <c r="D32" s="4"/>
      <c r="E32" s="12"/>
      <c r="F32" s="34"/>
      <c r="G32" s="28"/>
      <c r="H32" s="28"/>
      <c r="I32" s="26"/>
      <c r="J32" s="24"/>
      <c r="K32" s="31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93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 t="s">
        <v>6</v>
      </c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95"/>
      <c r="DX32" s="90"/>
      <c r="DY32" s="21"/>
      <c r="DZ32" s="21"/>
    </row>
    <row r="33" spans="1:130" hidden="1" outlineLevel="1" x14ac:dyDescent="0.3">
      <c r="A33" s="4"/>
      <c r="B33" s="4"/>
      <c r="C33" s="109" t="s">
        <v>714</v>
      </c>
      <c r="D33" s="4"/>
      <c r="E33" s="12"/>
      <c r="F33" s="34"/>
      <c r="G33" s="28"/>
      <c r="H33" s="28"/>
      <c r="I33" s="26"/>
      <c r="J33" s="24"/>
      <c r="K33" s="31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93"/>
      <c r="AX33" s="76"/>
      <c r="AY33" s="76"/>
      <c r="AZ33" s="76"/>
      <c r="BA33" s="76"/>
      <c r="BB33" s="76" t="s">
        <v>6</v>
      </c>
      <c r="BC33" s="76"/>
      <c r="BD33" s="76" t="s">
        <v>6</v>
      </c>
      <c r="BE33" s="76"/>
      <c r="BF33" s="76" t="s">
        <v>6</v>
      </c>
      <c r="BG33" s="76"/>
      <c r="BH33" s="76"/>
      <c r="BI33" s="76"/>
      <c r="BJ33" s="76"/>
      <c r="BK33" s="76"/>
      <c r="BL33" s="76"/>
      <c r="BM33" s="76" t="s">
        <v>6</v>
      </c>
      <c r="BN33" s="76" t="s">
        <v>6</v>
      </c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94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95"/>
      <c r="DX33" s="90"/>
      <c r="DY33" s="21"/>
      <c r="DZ33" s="21"/>
    </row>
    <row r="34" spans="1:130" hidden="1" outlineLevel="1" x14ac:dyDescent="0.3">
      <c r="A34" s="4"/>
      <c r="B34" s="4"/>
      <c r="C34" s="104" t="s">
        <v>712</v>
      </c>
      <c r="D34" s="4"/>
      <c r="E34" s="12"/>
      <c r="F34" s="34"/>
      <c r="G34" s="28"/>
      <c r="H34" s="28"/>
      <c r="I34" s="26"/>
      <c r="J34" s="24"/>
      <c r="K34" s="31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93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 t="s">
        <v>6</v>
      </c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95"/>
      <c r="DX34" s="90"/>
      <c r="DY34" s="21"/>
      <c r="DZ34" s="21"/>
    </row>
    <row r="35" spans="1:130" hidden="1" outlineLevel="1" x14ac:dyDescent="0.3">
      <c r="A35" s="4"/>
      <c r="B35" s="4"/>
      <c r="C35" s="109" t="s">
        <v>714</v>
      </c>
      <c r="D35" s="4"/>
      <c r="E35" s="12"/>
      <c r="F35" s="34"/>
      <c r="G35" s="28"/>
      <c r="H35" s="28"/>
      <c r="I35" s="26"/>
      <c r="J35" s="24"/>
      <c r="K35" s="31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93"/>
      <c r="AX35" s="76"/>
      <c r="AY35" s="76"/>
      <c r="AZ35" s="76"/>
      <c r="BA35" s="76"/>
      <c r="BB35" s="76" t="s">
        <v>6</v>
      </c>
      <c r="BC35" s="76"/>
      <c r="BD35" s="76" t="s">
        <v>6</v>
      </c>
      <c r="BE35" s="76"/>
      <c r="BF35" s="76" t="s">
        <v>6</v>
      </c>
      <c r="BG35" s="76"/>
      <c r="BH35" s="76"/>
      <c r="BI35" s="76"/>
      <c r="BJ35" s="76"/>
      <c r="BK35" s="76"/>
      <c r="BL35" s="76"/>
      <c r="BM35" s="76" t="s">
        <v>6</v>
      </c>
      <c r="BN35" s="76" t="s">
        <v>6</v>
      </c>
      <c r="BO35" s="76"/>
      <c r="BP35" s="76"/>
      <c r="BQ35" s="76"/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6"/>
      <c r="CG35" s="76"/>
      <c r="CH35" s="76"/>
      <c r="CI35" s="94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6"/>
      <c r="CU35" s="76"/>
      <c r="CV35" s="76"/>
      <c r="CW35" s="76"/>
      <c r="CX35" s="76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6"/>
      <c r="DL35" s="76"/>
      <c r="DM35" s="76"/>
      <c r="DN35" s="76"/>
      <c r="DO35" s="76"/>
      <c r="DP35" s="76"/>
      <c r="DQ35" s="76"/>
      <c r="DR35" s="76"/>
      <c r="DS35" s="76"/>
      <c r="DT35" s="76"/>
      <c r="DU35" s="76"/>
      <c r="DV35" s="76"/>
      <c r="DW35" s="95"/>
      <c r="DX35" s="90"/>
      <c r="DY35" s="21"/>
      <c r="DZ35" s="21"/>
    </row>
    <row r="36" spans="1:130" hidden="1" outlineLevel="1" x14ac:dyDescent="0.3">
      <c r="A36" s="4"/>
      <c r="B36" s="4"/>
      <c r="C36" s="104" t="s">
        <v>713</v>
      </c>
      <c r="D36" s="4"/>
      <c r="E36" s="12"/>
      <c r="F36" s="34"/>
      <c r="G36" s="28"/>
      <c r="H36" s="28"/>
      <c r="I36" s="26"/>
      <c r="J36" s="24"/>
      <c r="K36" s="31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93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6"/>
      <c r="CL36" s="76"/>
      <c r="CM36" s="76"/>
      <c r="CN36" s="76"/>
      <c r="CO36" s="76"/>
      <c r="CP36" s="76"/>
      <c r="CQ36" s="76"/>
      <c r="CR36" s="76"/>
      <c r="CS36" s="76"/>
      <c r="CT36" s="76"/>
      <c r="CU36" s="76"/>
      <c r="CV36" s="76"/>
      <c r="CW36" s="76" t="s">
        <v>6</v>
      </c>
      <c r="CX36" s="76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6"/>
      <c r="DJ36" s="76"/>
      <c r="DK36" s="76"/>
      <c r="DL36" s="76"/>
      <c r="DM36" s="76"/>
      <c r="DN36" s="76"/>
      <c r="DO36" s="76"/>
      <c r="DP36" s="76"/>
      <c r="DQ36" s="76"/>
      <c r="DR36" s="76"/>
      <c r="DS36" s="76"/>
      <c r="DT36" s="76"/>
      <c r="DU36" s="76"/>
      <c r="DV36" s="76"/>
      <c r="DW36" s="95"/>
      <c r="DX36" s="90"/>
      <c r="DY36" s="21"/>
      <c r="DZ36" s="21"/>
    </row>
    <row r="37" spans="1:130" hidden="1" outlineLevel="1" x14ac:dyDescent="0.3">
      <c r="A37" s="4"/>
      <c r="B37" s="4"/>
      <c r="C37" s="109" t="s">
        <v>714</v>
      </c>
      <c r="D37" s="4"/>
      <c r="E37" s="12"/>
      <c r="F37" s="34"/>
      <c r="G37" s="28"/>
      <c r="H37" s="28"/>
      <c r="I37" s="26"/>
      <c r="J37" s="24"/>
      <c r="K37" s="31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93"/>
      <c r="AX37" s="76"/>
      <c r="AY37" s="76"/>
      <c r="AZ37" s="76"/>
      <c r="BA37" s="76"/>
      <c r="BB37" s="76" t="s">
        <v>6</v>
      </c>
      <c r="BC37" s="76"/>
      <c r="BD37" s="76" t="s">
        <v>6</v>
      </c>
      <c r="BE37" s="76"/>
      <c r="BF37" s="76" t="s">
        <v>6</v>
      </c>
      <c r="BG37" s="76"/>
      <c r="BH37" s="76"/>
      <c r="BI37" s="76"/>
      <c r="BJ37" s="76"/>
      <c r="BK37" s="76"/>
      <c r="BL37" s="76"/>
      <c r="BM37" s="76" t="s">
        <v>6</v>
      </c>
      <c r="BN37" s="76" t="s">
        <v>6</v>
      </c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94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76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6"/>
      <c r="DJ37" s="76"/>
      <c r="DK37" s="76"/>
      <c r="DL37" s="76"/>
      <c r="DM37" s="76"/>
      <c r="DN37" s="76"/>
      <c r="DO37" s="76"/>
      <c r="DP37" s="76"/>
      <c r="DQ37" s="76"/>
      <c r="DR37" s="76"/>
      <c r="DS37" s="76"/>
      <c r="DT37" s="76"/>
      <c r="DU37" s="76"/>
      <c r="DV37" s="76"/>
      <c r="DW37" s="95"/>
      <c r="DX37" s="90"/>
      <c r="DY37" s="21"/>
      <c r="DZ37" s="21"/>
    </row>
    <row r="38" spans="1:130" hidden="1" outlineLevel="1" x14ac:dyDescent="0.3">
      <c r="A38" s="4"/>
      <c r="B38" s="4"/>
      <c r="C38" s="104" t="s">
        <v>28</v>
      </c>
      <c r="D38" s="4"/>
      <c r="E38" s="12"/>
      <c r="F38" s="34"/>
      <c r="G38" s="28"/>
      <c r="H38" s="28"/>
      <c r="I38" s="26"/>
      <c r="J38" s="24"/>
      <c r="K38" s="3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93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 t="s">
        <v>6</v>
      </c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95"/>
      <c r="DX38" s="90"/>
      <c r="DY38" s="21"/>
      <c r="DZ38" s="21"/>
    </row>
    <row r="39" spans="1:130" hidden="1" outlineLevel="1" x14ac:dyDescent="0.3">
      <c r="A39" s="4"/>
      <c r="B39" s="4"/>
      <c r="C39" s="104" t="s">
        <v>714</v>
      </c>
      <c r="D39" s="4"/>
      <c r="E39" s="12"/>
      <c r="F39" s="34"/>
      <c r="G39" s="28"/>
      <c r="H39" s="28"/>
      <c r="I39" s="26"/>
      <c r="J39" s="24"/>
      <c r="K39" s="31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93"/>
      <c r="AX39" s="76"/>
      <c r="AY39" s="76"/>
      <c r="AZ39" s="76"/>
      <c r="BA39" s="76"/>
      <c r="BB39" s="76" t="s">
        <v>6</v>
      </c>
      <c r="BC39" s="76"/>
      <c r="BD39" s="76" t="s">
        <v>6</v>
      </c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76"/>
      <c r="CY39" s="76"/>
      <c r="CZ39" s="76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6"/>
      <c r="DL39" s="76"/>
      <c r="DM39" s="76"/>
      <c r="DN39" s="76"/>
      <c r="DO39" s="76"/>
      <c r="DP39" s="76"/>
      <c r="DQ39" s="76"/>
      <c r="DR39" s="76"/>
      <c r="DS39" s="76"/>
      <c r="DT39" s="76"/>
      <c r="DU39" s="76"/>
      <c r="DV39" s="76"/>
      <c r="DW39" s="95"/>
      <c r="DX39" s="90"/>
      <c r="DY39" s="21"/>
      <c r="DZ39" s="21"/>
    </row>
    <row r="40" spans="1:130" collapsed="1" x14ac:dyDescent="0.3">
      <c r="A40" s="4" t="s">
        <v>8</v>
      </c>
      <c r="B40" s="4" t="s">
        <v>24</v>
      </c>
      <c r="C40" s="91" t="s">
        <v>30</v>
      </c>
      <c r="D40" s="4" t="s">
        <v>31</v>
      </c>
      <c r="E40" s="12">
        <v>285.58</v>
      </c>
      <c r="F40" s="34">
        <f t="shared" si="0"/>
        <v>799624</v>
      </c>
      <c r="G40" s="28">
        <f t="shared" si="5"/>
        <v>2800</v>
      </c>
      <c r="H40" s="28">
        <f t="shared" si="1"/>
        <v>234</v>
      </c>
      <c r="I40" s="26">
        <f t="shared" si="2"/>
        <v>628276</v>
      </c>
      <c r="J40" s="24">
        <f t="shared" si="3"/>
        <v>2200</v>
      </c>
      <c r="K40" s="31">
        <f t="shared" si="4"/>
        <v>440</v>
      </c>
      <c r="L40" s="9">
        <v>0</v>
      </c>
      <c r="M40" s="9">
        <v>400</v>
      </c>
      <c r="N40" s="9">
        <v>0</v>
      </c>
      <c r="O40" s="9">
        <v>400</v>
      </c>
      <c r="P40" s="9">
        <v>200</v>
      </c>
      <c r="Q40" s="9">
        <v>100</v>
      </c>
      <c r="R40" s="9">
        <v>0</v>
      </c>
      <c r="S40" s="9">
        <v>200</v>
      </c>
      <c r="T40" s="9">
        <v>0</v>
      </c>
      <c r="U40" s="9">
        <v>200</v>
      </c>
      <c r="V40" s="9">
        <v>500</v>
      </c>
      <c r="W40" s="9">
        <v>400</v>
      </c>
      <c r="X40" s="9">
        <v>400</v>
      </c>
      <c r="Y40" s="9">
        <v>500</v>
      </c>
      <c r="Z40" s="9">
        <v>400</v>
      </c>
      <c r="AA40" s="9">
        <v>400</v>
      </c>
      <c r="AB40" s="9">
        <v>500</v>
      </c>
      <c r="AC40" s="9">
        <v>400</v>
      </c>
      <c r="AE40" s="6">
        <v>0</v>
      </c>
      <c r="AF40" s="6">
        <v>114232</v>
      </c>
      <c r="AG40" s="6">
        <v>0</v>
      </c>
      <c r="AH40" s="6">
        <v>114232</v>
      </c>
      <c r="AI40" s="6">
        <v>57116</v>
      </c>
      <c r="AJ40" s="6">
        <v>28558</v>
      </c>
      <c r="AK40" s="6">
        <v>0</v>
      </c>
      <c r="AL40" s="6">
        <v>57116</v>
      </c>
      <c r="AM40" s="6">
        <v>0</v>
      </c>
      <c r="AN40" s="6">
        <v>57116</v>
      </c>
      <c r="AO40" s="6">
        <v>142790</v>
      </c>
      <c r="AP40" s="6">
        <v>114232</v>
      </c>
      <c r="AQ40" s="6">
        <v>114232</v>
      </c>
      <c r="AR40" s="6">
        <v>142790</v>
      </c>
      <c r="AS40" s="6">
        <v>114232</v>
      </c>
      <c r="AT40" s="6">
        <v>114232</v>
      </c>
      <c r="AU40" s="6">
        <v>142790</v>
      </c>
      <c r="AV40" s="6">
        <v>114232</v>
      </c>
      <c r="AW40" s="93" t="s">
        <v>631</v>
      </c>
      <c r="AX40" s="76" t="s">
        <v>631</v>
      </c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 t="s">
        <v>631</v>
      </c>
      <c r="BP40" s="76" t="s">
        <v>631</v>
      </c>
      <c r="BQ40" s="76"/>
      <c r="BR40" s="76"/>
      <c r="BS40" s="76"/>
      <c r="BT40" s="76"/>
      <c r="BU40" s="76"/>
      <c r="BV40" s="76"/>
      <c r="BW40" s="76" t="s">
        <v>631</v>
      </c>
      <c r="BX40" s="76"/>
      <c r="BY40" s="76"/>
      <c r="BZ40" s="76" t="s">
        <v>6</v>
      </c>
      <c r="CA40" s="76"/>
      <c r="CB40" s="76"/>
      <c r="CC40" s="76"/>
      <c r="CD40" s="76"/>
      <c r="CE40" s="76"/>
      <c r="CF40" s="76" t="s">
        <v>631</v>
      </c>
      <c r="CG40" s="76"/>
      <c r="CH40" s="76" t="s">
        <v>631</v>
      </c>
      <c r="CI40" s="94" t="s">
        <v>631</v>
      </c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 t="s">
        <v>631</v>
      </c>
      <c r="CX40" s="76"/>
      <c r="CY40" s="76"/>
      <c r="CZ40" s="76"/>
      <c r="DA40" s="76"/>
      <c r="DB40" s="76"/>
      <c r="DC40" s="76"/>
      <c r="DD40" s="76"/>
      <c r="DE40" s="76" t="s">
        <v>631</v>
      </c>
      <c r="DF40" s="76"/>
      <c r="DG40" s="76"/>
      <c r="DH40" s="76" t="s">
        <v>631</v>
      </c>
      <c r="DI40" s="76"/>
      <c r="DJ40" s="76"/>
      <c r="DK40" s="76"/>
      <c r="DL40" s="76"/>
      <c r="DM40" s="76"/>
      <c r="DN40" s="76"/>
      <c r="DO40" s="76"/>
      <c r="DP40" s="76"/>
      <c r="DQ40" s="76"/>
      <c r="DR40" s="76"/>
      <c r="DS40" s="76"/>
      <c r="DT40" s="76"/>
      <c r="DU40" s="76"/>
      <c r="DV40" s="76"/>
      <c r="DW40" s="95"/>
      <c r="DX40" s="90">
        <f>COUNTIF(AW40:DW40,"x")</f>
        <v>12</v>
      </c>
      <c r="DY40" s="21"/>
      <c r="DZ40" s="21"/>
    </row>
    <row r="41" spans="1:130" hidden="1" outlineLevel="1" x14ac:dyDescent="0.3">
      <c r="A41" s="4"/>
      <c r="B41" s="4"/>
      <c r="C41" s="103" t="s">
        <v>718</v>
      </c>
      <c r="D41" s="4"/>
      <c r="E41" s="12"/>
      <c r="F41" s="34"/>
      <c r="G41" s="28"/>
      <c r="H41" s="28"/>
      <c r="I41" s="26"/>
      <c r="J41" s="24"/>
      <c r="K41" s="31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93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76"/>
      <c r="CY41" s="76"/>
      <c r="CZ41" s="76"/>
      <c r="DA41" s="76"/>
      <c r="DB41" s="76"/>
      <c r="DC41" s="76"/>
      <c r="DD41" s="76"/>
      <c r="DE41" s="76" t="s">
        <v>6</v>
      </c>
      <c r="DF41" s="76"/>
      <c r="DG41" s="76"/>
      <c r="DH41" s="76"/>
      <c r="DI41" s="76"/>
      <c r="DJ41" s="76"/>
      <c r="DK41" s="76"/>
      <c r="DL41" s="76"/>
      <c r="DM41" s="76"/>
      <c r="DN41" s="76"/>
      <c r="DO41" s="76"/>
      <c r="DP41" s="76"/>
      <c r="DQ41" s="76"/>
      <c r="DR41" s="76"/>
      <c r="DS41" s="76"/>
      <c r="DT41" s="76"/>
      <c r="DU41" s="76"/>
      <c r="DV41" s="76"/>
      <c r="DW41" s="95"/>
      <c r="DX41" s="90"/>
      <c r="DY41" s="21"/>
      <c r="DZ41" s="21"/>
    </row>
    <row r="42" spans="1:130" hidden="1" outlineLevel="1" x14ac:dyDescent="0.3">
      <c r="A42" s="4"/>
      <c r="B42" s="4"/>
      <c r="C42" s="103" t="s">
        <v>719</v>
      </c>
      <c r="D42" s="4"/>
      <c r="E42" s="12"/>
      <c r="F42" s="34"/>
      <c r="G42" s="28"/>
      <c r="H42" s="28"/>
      <c r="I42" s="26"/>
      <c r="J42" s="24"/>
      <c r="K42" s="3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93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76"/>
      <c r="CY42" s="76"/>
      <c r="CZ42" s="76"/>
      <c r="DA42" s="76"/>
      <c r="DB42" s="76"/>
      <c r="DC42" s="76"/>
      <c r="DD42" s="76"/>
      <c r="DE42" s="76" t="s">
        <v>6</v>
      </c>
      <c r="DF42" s="76"/>
      <c r="DG42" s="76"/>
      <c r="DH42" s="76"/>
      <c r="DI42" s="76"/>
      <c r="DJ42" s="76"/>
      <c r="DK42" s="7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6"/>
      <c r="DW42" s="95"/>
      <c r="DX42" s="90"/>
      <c r="DY42" s="21"/>
      <c r="DZ42" s="21"/>
    </row>
    <row r="43" spans="1:130" hidden="1" outlineLevel="1" x14ac:dyDescent="0.3">
      <c r="A43" s="4"/>
      <c r="B43" s="4"/>
      <c r="C43" s="103" t="s">
        <v>720</v>
      </c>
      <c r="D43" s="4"/>
      <c r="E43" s="12"/>
      <c r="F43" s="34"/>
      <c r="G43" s="28"/>
      <c r="H43" s="28"/>
      <c r="I43" s="26"/>
      <c r="J43" s="24"/>
      <c r="K43" s="31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93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 t="s">
        <v>6</v>
      </c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95"/>
      <c r="DX43" s="90"/>
      <c r="DY43" s="21"/>
      <c r="DZ43" s="21"/>
    </row>
    <row r="44" spans="1:130" hidden="1" outlineLevel="1" x14ac:dyDescent="0.3">
      <c r="A44" s="4"/>
      <c r="B44" s="4"/>
      <c r="C44" s="103" t="s">
        <v>30</v>
      </c>
      <c r="D44" s="4"/>
      <c r="E44" s="12"/>
      <c r="F44" s="34"/>
      <c r="G44" s="28"/>
      <c r="H44" s="28"/>
      <c r="I44" s="26"/>
      <c r="J44" s="24"/>
      <c r="K44" s="3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93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 t="s">
        <v>6</v>
      </c>
      <c r="DF44" s="76"/>
      <c r="DG44" s="76"/>
      <c r="DH44" s="76"/>
      <c r="DI44" s="76"/>
      <c r="DJ44" s="76"/>
      <c r="DK44" s="76"/>
      <c r="DL44" s="76"/>
      <c r="DM44" s="76"/>
      <c r="DN44" s="76"/>
      <c r="DO44" s="76"/>
      <c r="DP44" s="76"/>
      <c r="DQ44" s="76"/>
      <c r="DR44" s="76"/>
      <c r="DS44" s="76"/>
      <c r="DT44" s="76"/>
      <c r="DU44" s="76"/>
      <c r="DV44" s="76"/>
      <c r="DW44" s="95"/>
      <c r="DX44" s="90"/>
      <c r="DY44" s="21"/>
      <c r="DZ44" s="21"/>
    </row>
    <row r="45" spans="1:130" hidden="1" outlineLevel="1" x14ac:dyDescent="0.3">
      <c r="A45" s="4"/>
      <c r="B45" s="4"/>
      <c r="C45" s="103" t="s">
        <v>717</v>
      </c>
      <c r="D45" s="4"/>
      <c r="E45" s="12"/>
      <c r="F45" s="34"/>
      <c r="G45" s="28"/>
      <c r="H45" s="28"/>
      <c r="I45" s="26"/>
      <c r="J45" s="24"/>
      <c r="K45" s="31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93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 t="s">
        <v>6</v>
      </c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95"/>
      <c r="DX45" s="90"/>
      <c r="DY45" s="21"/>
      <c r="DZ45" s="21"/>
    </row>
    <row r="46" spans="1:130" hidden="1" outlineLevel="1" x14ac:dyDescent="0.3">
      <c r="A46" s="4"/>
      <c r="B46" s="4"/>
      <c r="C46" s="105" t="s">
        <v>721</v>
      </c>
      <c r="D46" s="4"/>
      <c r="E46" s="12"/>
      <c r="F46" s="34"/>
      <c r="G46" s="28"/>
      <c r="H46" s="28"/>
      <c r="I46" s="26"/>
      <c r="J46" s="24"/>
      <c r="K46" s="31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93"/>
      <c r="AX46" s="76" t="s">
        <v>6</v>
      </c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 t="s">
        <v>6</v>
      </c>
      <c r="BQ46" s="76"/>
      <c r="BR46" s="76"/>
      <c r="BS46" s="76"/>
      <c r="BT46" s="76"/>
      <c r="BU46" s="76"/>
      <c r="BV46" s="76"/>
      <c r="BW46" s="76"/>
      <c r="BX46" s="76"/>
      <c r="BY46" s="76"/>
      <c r="BZ46" s="76" t="s">
        <v>6</v>
      </c>
      <c r="CA46" s="76"/>
      <c r="CB46" s="76"/>
      <c r="CC46" s="76"/>
      <c r="CD46" s="76"/>
      <c r="CE46" s="76"/>
      <c r="CF46" s="76"/>
      <c r="CG46" s="76"/>
      <c r="CH46" s="76" t="s">
        <v>6</v>
      </c>
      <c r="CI46" s="94" t="s">
        <v>6</v>
      </c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76"/>
      <c r="CY46" s="76"/>
      <c r="CZ46" s="76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6"/>
      <c r="DL46" s="76"/>
      <c r="DM46" s="76"/>
      <c r="DN46" s="76"/>
      <c r="DO46" s="76"/>
      <c r="DP46" s="76"/>
      <c r="DQ46" s="76"/>
      <c r="DR46" s="76"/>
      <c r="DS46" s="76"/>
      <c r="DT46" s="76"/>
      <c r="DU46" s="76"/>
      <c r="DV46" s="76"/>
      <c r="DW46" s="95"/>
      <c r="DX46" s="90"/>
      <c r="DY46" s="21"/>
      <c r="DZ46" s="21"/>
    </row>
    <row r="47" spans="1:130" hidden="1" outlineLevel="1" x14ac:dyDescent="0.3">
      <c r="A47" s="4"/>
      <c r="B47" s="4"/>
      <c r="C47" s="105" t="s">
        <v>722</v>
      </c>
      <c r="D47" s="4"/>
      <c r="E47" s="12"/>
      <c r="F47" s="34"/>
      <c r="G47" s="28"/>
      <c r="H47" s="28"/>
      <c r="I47" s="26"/>
      <c r="J47" s="24"/>
      <c r="K47" s="31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93"/>
      <c r="AX47" s="76" t="s">
        <v>6</v>
      </c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 t="s">
        <v>6</v>
      </c>
      <c r="BQ47" s="76"/>
      <c r="BR47" s="76"/>
      <c r="BS47" s="76"/>
      <c r="BT47" s="76"/>
      <c r="BU47" s="76"/>
      <c r="BV47" s="76"/>
      <c r="BW47" s="76" t="s">
        <v>6</v>
      </c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 t="s">
        <v>6</v>
      </c>
      <c r="CI47" s="94" t="s">
        <v>6</v>
      </c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/>
      <c r="CU47" s="76"/>
      <c r="CV47" s="76"/>
      <c r="CW47" s="76" t="s">
        <v>6</v>
      </c>
      <c r="CX47" s="76"/>
      <c r="CY47" s="76"/>
      <c r="CZ47" s="76"/>
      <c r="DA47" s="76"/>
      <c r="DB47" s="76"/>
      <c r="DC47" s="76"/>
      <c r="DD47" s="76"/>
      <c r="DE47" s="76"/>
      <c r="DF47" s="76"/>
      <c r="DG47" s="76"/>
      <c r="DH47" s="76"/>
      <c r="DI47" s="76"/>
      <c r="DJ47" s="76"/>
      <c r="DK47" s="76"/>
      <c r="DL47" s="76"/>
      <c r="DM47" s="76"/>
      <c r="DN47" s="76"/>
      <c r="DO47" s="76"/>
      <c r="DP47" s="76"/>
      <c r="DQ47" s="76"/>
      <c r="DR47" s="76"/>
      <c r="DS47" s="76"/>
      <c r="DT47" s="76"/>
      <c r="DU47" s="76"/>
      <c r="DV47" s="76"/>
      <c r="DW47" s="95"/>
      <c r="DX47" s="90"/>
      <c r="DY47" s="21"/>
      <c r="DZ47" s="21"/>
    </row>
    <row r="48" spans="1:130" hidden="1" outlineLevel="1" x14ac:dyDescent="0.3">
      <c r="A48" s="4"/>
      <c r="B48" s="4"/>
      <c r="C48" s="105" t="s">
        <v>723</v>
      </c>
      <c r="D48" s="4"/>
      <c r="E48" s="12"/>
      <c r="F48" s="34"/>
      <c r="G48" s="28"/>
      <c r="H48" s="28"/>
      <c r="I48" s="26"/>
      <c r="J48" s="24"/>
      <c r="K48" s="31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93"/>
      <c r="AX48" s="76" t="s">
        <v>6</v>
      </c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 t="s">
        <v>6</v>
      </c>
      <c r="BQ48" s="76"/>
      <c r="BR48" s="76"/>
      <c r="BS48" s="76"/>
      <c r="BT48" s="76"/>
      <c r="BU48" s="76"/>
      <c r="BV48" s="76"/>
      <c r="BW48" s="76" t="s">
        <v>6</v>
      </c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 t="s">
        <v>6</v>
      </c>
      <c r="CI48" s="94" t="s">
        <v>6</v>
      </c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6"/>
      <c r="DK48" s="76"/>
      <c r="DL48" s="76"/>
      <c r="DM48" s="76"/>
      <c r="DN48" s="76"/>
      <c r="DO48" s="76"/>
      <c r="DP48" s="76"/>
      <c r="DQ48" s="76"/>
      <c r="DR48" s="76"/>
      <c r="DS48" s="76"/>
      <c r="DT48" s="76"/>
      <c r="DU48" s="76"/>
      <c r="DV48" s="76"/>
      <c r="DW48" s="95"/>
      <c r="DX48" s="90"/>
      <c r="DY48" s="21"/>
      <c r="DZ48" s="21"/>
    </row>
    <row r="49" spans="1:130" hidden="1" outlineLevel="1" x14ac:dyDescent="0.3">
      <c r="A49" s="4"/>
      <c r="B49" s="4"/>
      <c r="C49" s="105" t="s">
        <v>724</v>
      </c>
      <c r="D49" s="4"/>
      <c r="E49" s="12"/>
      <c r="F49" s="34"/>
      <c r="G49" s="28"/>
      <c r="H49" s="28"/>
      <c r="I49" s="26"/>
      <c r="J49" s="24"/>
      <c r="K49" s="31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93"/>
      <c r="AX49" s="76" t="s">
        <v>6</v>
      </c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 t="s">
        <v>6</v>
      </c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 t="s">
        <v>6</v>
      </c>
      <c r="CI49" s="94" t="s">
        <v>6</v>
      </c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/>
      <c r="CU49" s="76"/>
      <c r="CV49" s="76"/>
      <c r="CW49" s="76"/>
      <c r="CX49" s="76"/>
      <c r="CY49" s="76"/>
      <c r="CZ49" s="76"/>
      <c r="DA49" s="76"/>
      <c r="DB49" s="76"/>
      <c r="DC49" s="76"/>
      <c r="DD49" s="76"/>
      <c r="DE49" s="76"/>
      <c r="DF49" s="76"/>
      <c r="DG49" s="76"/>
      <c r="DH49" s="76"/>
      <c r="DI49" s="76"/>
      <c r="DJ49" s="76"/>
      <c r="DK49" s="76"/>
      <c r="DL49" s="76"/>
      <c r="DM49" s="76"/>
      <c r="DN49" s="76"/>
      <c r="DO49" s="76"/>
      <c r="DP49" s="76"/>
      <c r="DQ49" s="76"/>
      <c r="DR49" s="76"/>
      <c r="DS49" s="76"/>
      <c r="DT49" s="76"/>
      <c r="DU49" s="76"/>
      <c r="DV49" s="76"/>
      <c r="DW49" s="95"/>
      <c r="DX49" s="90"/>
      <c r="DY49" s="21"/>
      <c r="DZ49" s="21"/>
    </row>
    <row r="50" spans="1:130" hidden="1" outlineLevel="1" x14ac:dyDescent="0.3">
      <c r="A50" s="4"/>
      <c r="B50" s="4"/>
      <c r="C50" s="105" t="s">
        <v>725</v>
      </c>
      <c r="D50" s="4"/>
      <c r="E50" s="12"/>
      <c r="F50" s="34"/>
      <c r="G50" s="28"/>
      <c r="H50" s="28"/>
      <c r="I50" s="26"/>
      <c r="J50" s="24"/>
      <c r="K50" s="31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93"/>
      <c r="AX50" s="76" t="s">
        <v>6</v>
      </c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 t="s">
        <v>6</v>
      </c>
      <c r="BQ50" s="76"/>
      <c r="BR50" s="76"/>
      <c r="BS50" s="76"/>
      <c r="BT50" s="76"/>
      <c r="BU50" s="76"/>
      <c r="BV50" s="76"/>
      <c r="BW50" s="76"/>
      <c r="BX50" s="76"/>
      <c r="BY50" s="76"/>
      <c r="BZ50" s="76" t="s">
        <v>6</v>
      </c>
      <c r="CA50" s="76"/>
      <c r="CB50" s="76"/>
      <c r="CC50" s="76"/>
      <c r="CD50" s="76"/>
      <c r="CE50" s="76"/>
      <c r="CF50" s="76"/>
      <c r="CG50" s="76"/>
      <c r="CH50" s="76" t="s">
        <v>6</v>
      </c>
      <c r="CI50" s="94" t="s">
        <v>6</v>
      </c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95"/>
      <c r="DX50" s="90"/>
      <c r="DY50" s="21"/>
      <c r="DZ50" s="21"/>
    </row>
    <row r="51" spans="1:130" hidden="1" outlineLevel="1" x14ac:dyDescent="0.3">
      <c r="A51" s="4"/>
      <c r="B51" s="4"/>
      <c r="C51" s="105" t="s">
        <v>726</v>
      </c>
      <c r="D51" s="4"/>
      <c r="E51" s="12"/>
      <c r="F51" s="34"/>
      <c r="G51" s="28"/>
      <c r="H51" s="28"/>
      <c r="I51" s="26"/>
      <c r="J51" s="24"/>
      <c r="K51" s="31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93" t="s">
        <v>6</v>
      </c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 t="s">
        <v>6</v>
      </c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  <c r="CF51" s="76"/>
      <c r="CG51" s="76"/>
      <c r="CH51" s="76" t="s">
        <v>6</v>
      </c>
      <c r="CI51" s="94" t="s">
        <v>6</v>
      </c>
      <c r="CJ51" s="76"/>
      <c r="CK51" s="76"/>
      <c r="CL51" s="76"/>
      <c r="CM51" s="76"/>
      <c r="CN51" s="76"/>
      <c r="CO51" s="76"/>
      <c r="CP51" s="76"/>
      <c r="CQ51" s="76"/>
      <c r="CR51" s="76"/>
      <c r="CS51" s="76"/>
      <c r="CT51" s="76"/>
      <c r="CU51" s="76"/>
      <c r="CV51" s="76"/>
      <c r="CW51" s="76"/>
      <c r="CX51" s="76"/>
      <c r="CY51" s="76"/>
      <c r="CZ51" s="76"/>
      <c r="DA51" s="76"/>
      <c r="DB51" s="76"/>
      <c r="DC51" s="76"/>
      <c r="DD51" s="76"/>
      <c r="DE51" s="76"/>
      <c r="DF51" s="76"/>
      <c r="DG51" s="76"/>
      <c r="DH51" s="76"/>
      <c r="DI51" s="76"/>
      <c r="DJ51" s="76"/>
      <c r="DK51" s="7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6"/>
      <c r="DW51" s="95"/>
      <c r="DX51" s="90"/>
      <c r="DY51" s="21"/>
      <c r="DZ51" s="21"/>
    </row>
    <row r="52" spans="1:130" collapsed="1" x14ac:dyDescent="0.3">
      <c r="A52" s="4" t="s">
        <v>8</v>
      </c>
      <c r="B52" s="4" t="s">
        <v>24</v>
      </c>
      <c r="C52" s="91" t="s">
        <v>34</v>
      </c>
      <c r="D52" s="4" t="s">
        <v>35</v>
      </c>
      <c r="E52" s="12">
        <v>348.86</v>
      </c>
      <c r="F52" s="34">
        <f t="shared" si="0"/>
        <v>453518</v>
      </c>
      <c r="G52" s="28">
        <f t="shared" si="5"/>
        <v>1300</v>
      </c>
      <c r="H52" s="28">
        <f t="shared" si="1"/>
        <v>109</v>
      </c>
      <c r="I52" s="26">
        <f t="shared" si="2"/>
        <v>34886</v>
      </c>
      <c r="J52" s="24">
        <f t="shared" si="3"/>
        <v>100</v>
      </c>
      <c r="K52" s="31">
        <f t="shared" si="4"/>
        <v>20</v>
      </c>
      <c r="L52" s="9">
        <v>0</v>
      </c>
      <c r="M52" s="9">
        <v>0</v>
      </c>
      <c r="N52" s="9">
        <v>0</v>
      </c>
      <c r="O52" s="9">
        <v>100</v>
      </c>
      <c r="P52" s="9">
        <v>200</v>
      </c>
      <c r="Q52" s="9">
        <v>250</v>
      </c>
      <c r="R52" s="9">
        <v>200</v>
      </c>
      <c r="S52" s="9">
        <v>0</v>
      </c>
      <c r="T52" s="9">
        <v>250</v>
      </c>
      <c r="U52" s="9">
        <v>200</v>
      </c>
      <c r="V52" s="9">
        <v>100</v>
      </c>
      <c r="W52" s="9">
        <v>0</v>
      </c>
      <c r="X52" s="9">
        <v>0</v>
      </c>
      <c r="Y52" s="9">
        <v>100</v>
      </c>
      <c r="Z52" s="9">
        <v>0</v>
      </c>
      <c r="AA52" s="9">
        <v>0</v>
      </c>
      <c r="AB52" s="9">
        <v>0</v>
      </c>
      <c r="AC52" s="9">
        <v>0</v>
      </c>
      <c r="AE52" s="6">
        <v>0</v>
      </c>
      <c r="AF52" s="6">
        <v>0</v>
      </c>
      <c r="AG52" s="6">
        <v>0</v>
      </c>
      <c r="AH52" s="6">
        <v>34886</v>
      </c>
      <c r="AI52" s="6">
        <v>69772</v>
      </c>
      <c r="AJ52" s="6">
        <v>87215</v>
      </c>
      <c r="AK52" s="6">
        <v>69772</v>
      </c>
      <c r="AL52" s="6">
        <v>0</v>
      </c>
      <c r="AM52" s="6">
        <v>87215</v>
      </c>
      <c r="AN52" s="6">
        <v>69772</v>
      </c>
      <c r="AO52" s="6">
        <v>34886</v>
      </c>
      <c r="AP52" s="6">
        <v>0</v>
      </c>
      <c r="AQ52" s="6">
        <v>0</v>
      </c>
      <c r="AR52" s="6">
        <v>34886</v>
      </c>
      <c r="AS52" s="6">
        <v>0</v>
      </c>
      <c r="AT52" s="6">
        <v>0</v>
      </c>
      <c r="AU52" s="6">
        <v>0</v>
      </c>
      <c r="AV52" s="6">
        <v>0</v>
      </c>
      <c r="AW52" s="93"/>
      <c r="AX52" s="76"/>
      <c r="AY52" s="76"/>
      <c r="AZ52" s="76"/>
      <c r="BA52" s="76"/>
      <c r="BB52" s="76" t="s">
        <v>631</v>
      </c>
      <c r="BC52" s="76"/>
      <c r="BD52" s="76" t="s">
        <v>631</v>
      </c>
      <c r="BE52" s="76"/>
      <c r="BF52" s="76" t="s">
        <v>631</v>
      </c>
      <c r="BG52" s="76"/>
      <c r="BH52" s="76"/>
      <c r="BI52" s="76"/>
      <c r="BJ52" s="76"/>
      <c r="BK52" s="76"/>
      <c r="BL52" s="76"/>
      <c r="BM52" s="76" t="s">
        <v>631</v>
      </c>
      <c r="BN52" s="76" t="s">
        <v>631</v>
      </c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  <c r="CF52" s="76"/>
      <c r="CG52" s="76"/>
      <c r="CH52" s="76"/>
      <c r="CI52" s="76"/>
      <c r="CJ52" s="76"/>
      <c r="CK52" s="76"/>
      <c r="CL52" s="76"/>
      <c r="CM52" s="76"/>
      <c r="CN52" s="76"/>
      <c r="CO52" s="76"/>
      <c r="CP52" s="76"/>
      <c r="CQ52" s="76"/>
      <c r="CR52" s="76"/>
      <c r="CS52" s="76"/>
      <c r="CT52" s="76"/>
      <c r="CU52" s="76"/>
      <c r="CV52" s="76"/>
      <c r="CW52" s="76" t="s">
        <v>631</v>
      </c>
      <c r="CX52" s="76"/>
      <c r="CY52" s="76"/>
      <c r="CZ52" s="76"/>
      <c r="DA52" s="76"/>
      <c r="DB52" s="76"/>
      <c r="DC52" s="76"/>
      <c r="DD52" s="76"/>
      <c r="DE52" s="76" t="s">
        <v>631</v>
      </c>
      <c r="DF52" s="76"/>
      <c r="DG52" s="76"/>
      <c r="DH52" s="76"/>
      <c r="DI52" s="76"/>
      <c r="DJ52" s="76"/>
      <c r="DK52" s="76"/>
      <c r="DL52" s="76"/>
      <c r="DM52" s="76"/>
      <c r="DN52" s="76"/>
      <c r="DO52" s="76"/>
      <c r="DP52" s="76"/>
      <c r="DQ52" s="76"/>
      <c r="DR52" s="76"/>
      <c r="DS52" s="76"/>
      <c r="DT52" s="76"/>
      <c r="DU52" s="76"/>
      <c r="DV52" s="76"/>
      <c r="DW52" s="95"/>
      <c r="DX52" s="90">
        <f>COUNTIF(AW52:DW52,"x")</f>
        <v>7</v>
      </c>
      <c r="DY52" s="21"/>
      <c r="DZ52" s="21"/>
    </row>
    <row r="53" spans="1:130" hidden="1" outlineLevel="1" x14ac:dyDescent="0.3">
      <c r="A53" s="4"/>
      <c r="B53" s="4"/>
      <c r="C53" s="102" t="s">
        <v>34</v>
      </c>
      <c r="D53" s="4"/>
      <c r="E53" s="12"/>
      <c r="F53" s="34"/>
      <c r="G53" s="28"/>
      <c r="H53" s="28"/>
      <c r="I53" s="26"/>
      <c r="J53" s="24"/>
      <c r="K53" s="31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93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 t="s">
        <v>6</v>
      </c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95"/>
      <c r="DX53" s="90"/>
      <c r="DY53" s="21"/>
      <c r="DZ53" s="21"/>
    </row>
    <row r="54" spans="1:130" hidden="1" outlineLevel="1" x14ac:dyDescent="0.3">
      <c r="A54" s="4"/>
      <c r="B54" s="4"/>
      <c r="C54" s="103" t="s">
        <v>727</v>
      </c>
      <c r="D54" s="4"/>
      <c r="E54" s="12"/>
      <c r="F54" s="34"/>
      <c r="G54" s="28"/>
      <c r="H54" s="28"/>
      <c r="I54" s="26"/>
      <c r="J54" s="24"/>
      <c r="K54" s="31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93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 t="s">
        <v>6</v>
      </c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95"/>
      <c r="DX54" s="90"/>
      <c r="DY54" s="21"/>
      <c r="DZ54" s="21"/>
    </row>
    <row r="55" spans="1:130" hidden="1" outlineLevel="1" x14ac:dyDescent="0.3">
      <c r="A55" s="4"/>
      <c r="B55" s="4"/>
      <c r="C55" s="108" t="s">
        <v>714</v>
      </c>
      <c r="D55" s="4"/>
      <c r="E55" s="12"/>
      <c r="F55" s="34"/>
      <c r="G55" s="28"/>
      <c r="H55" s="28"/>
      <c r="I55" s="26"/>
      <c r="J55" s="24"/>
      <c r="K55" s="31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93"/>
      <c r="AX55" s="76"/>
      <c r="AY55" s="76"/>
      <c r="AZ55" s="76"/>
      <c r="BA55" s="76"/>
      <c r="BB55" s="76" t="s">
        <v>6</v>
      </c>
      <c r="BC55" s="76"/>
      <c r="BD55" s="76" t="s">
        <v>6</v>
      </c>
      <c r="BE55" s="76"/>
      <c r="BF55" s="76" t="s">
        <v>6</v>
      </c>
      <c r="BG55" s="76"/>
      <c r="BH55" s="76"/>
      <c r="BI55" s="76"/>
      <c r="BJ55" s="76"/>
      <c r="BK55" s="76"/>
      <c r="BL55" s="76"/>
      <c r="BM55" s="76" t="s">
        <v>6</v>
      </c>
      <c r="BN55" s="76" t="s">
        <v>6</v>
      </c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95"/>
      <c r="DX55" s="90"/>
      <c r="DY55" s="21"/>
      <c r="DZ55" s="21"/>
    </row>
    <row r="56" spans="1:130" hidden="1" outlineLevel="1" x14ac:dyDescent="0.3">
      <c r="A56" s="4"/>
      <c r="B56" s="4"/>
      <c r="C56" s="103" t="s">
        <v>728</v>
      </c>
      <c r="D56" s="4"/>
      <c r="E56" s="12"/>
      <c r="F56" s="34"/>
      <c r="G56" s="28"/>
      <c r="H56" s="28"/>
      <c r="I56" s="26"/>
      <c r="J56" s="24"/>
      <c r="K56" s="31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93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 t="s">
        <v>6</v>
      </c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95"/>
      <c r="DX56" s="90"/>
      <c r="DY56" s="21"/>
      <c r="DZ56" s="21"/>
    </row>
    <row r="57" spans="1:130" hidden="1" outlineLevel="1" x14ac:dyDescent="0.3">
      <c r="A57" s="4"/>
      <c r="B57" s="4"/>
      <c r="C57" s="108" t="s">
        <v>714</v>
      </c>
      <c r="D57" s="4"/>
      <c r="E57" s="12"/>
      <c r="F57" s="34"/>
      <c r="G57" s="28"/>
      <c r="H57" s="28"/>
      <c r="I57" s="26"/>
      <c r="J57" s="24"/>
      <c r="K57" s="31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93"/>
      <c r="AX57" s="76"/>
      <c r="AY57" s="76"/>
      <c r="AZ57" s="76"/>
      <c r="BA57" s="76"/>
      <c r="BB57" s="76" t="s">
        <v>6</v>
      </c>
      <c r="BC57" s="76"/>
      <c r="BD57" s="76" t="s">
        <v>6</v>
      </c>
      <c r="BE57" s="76"/>
      <c r="BF57" s="76" t="s">
        <v>6</v>
      </c>
      <c r="BG57" s="76"/>
      <c r="BH57" s="76"/>
      <c r="BI57" s="76"/>
      <c r="BJ57" s="76"/>
      <c r="BK57" s="76"/>
      <c r="BL57" s="76"/>
      <c r="BM57" s="76" t="s">
        <v>6</v>
      </c>
      <c r="BN57" s="76" t="s">
        <v>6</v>
      </c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95"/>
      <c r="DX57" s="90"/>
      <c r="DY57" s="21"/>
      <c r="DZ57" s="21"/>
    </row>
    <row r="58" spans="1:130" hidden="1" outlineLevel="1" x14ac:dyDescent="0.3">
      <c r="A58" s="4"/>
      <c r="B58" s="4"/>
      <c r="C58" s="103" t="s">
        <v>729</v>
      </c>
      <c r="D58" s="4"/>
      <c r="E58" s="12"/>
      <c r="F58" s="34"/>
      <c r="G58" s="28"/>
      <c r="H58" s="28"/>
      <c r="I58" s="26"/>
      <c r="J58" s="24"/>
      <c r="K58" s="31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93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 t="s">
        <v>6</v>
      </c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95"/>
      <c r="DX58" s="90"/>
      <c r="DY58" s="21"/>
      <c r="DZ58" s="21"/>
    </row>
    <row r="59" spans="1:130" hidden="1" outlineLevel="1" x14ac:dyDescent="0.3">
      <c r="A59" s="4"/>
      <c r="B59" s="4"/>
      <c r="C59" s="108" t="s">
        <v>714</v>
      </c>
      <c r="D59" s="4"/>
      <c r="E59" s="12"/>
      <c r="F59" s="34"/>
      <c r="G59" s="28"/>
      <c r="H59" s="28"/>
      <c r="I59" s="26"/>
      <c r="J59" s="24"/>
      <c r="K59" s="31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93"/>
      <c r="AX59" s="76"/>
      <c r="AY59" s="76"/>
      <c r="AZ59" s="76"/>
      <c r="BA59" s="76"/>
      <c r="BB59" s="76" t="s">
        <v>6</v>
      </c>
      <c r="BC59" s="76"/>
      <c r="BD59" s="76" t="s">
        <v>6</v>
      </c>
      <c r="BE59" s="76"/>
      <c r="BF59" s="76" t="s">
        <v>6</v>
      </c>
      <c r="BG59" s="76"/>
      <c r="BH59" s="76"/>
      <c r="BI59" s="76"/>
      <c r="BJ59" s="76"/>
      <c r="BK59" s="76"/>
      <c r="BL59" s="76"/>
      <c r="BM59" s="76" t="s">
        <v>6</v>
      </c>
      <c r="BN59" s="76" t="s">
        <v>6</v>
      </c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95"/>
      <c r="DX59" s="90"/>
      <c r="DY59" s="21"/>
      <c r="DZ59" s="21"/>
    </row>
    <row r="60" spans="1:130" collapsed="1" x14ac:dyDescent="0.3">
      <c r="A60" s="4" t="s">
        <v>8</v>
      </c>
      <c r="B60" s="4" t="s">
        <v>27</v>
      </c>
      <c r="C60" s="91" t="s">
        <v>36</v>
      </c>
      <c r="D60" s="4" t="s">
        <v>37</v>
      </c>
      <c r="E60" s="12">
        <v>471.95</v>
      </c>
      <c r="F60" s="34">
        <f t="shared" si="0"/>
        <v>1461157.2</v>
      </c>
      <c r="G60" s="28">
        <f t="shared" si="5"/>
        <v>3096</v>
      </c>
      <c r="H60" s="28">
        <f t="shared" si="1"/>
        <v>258</v>
      </c>
      <c r="I60" s="26">
        <f t="shared" si="2"/>
        <v>1040177.7999999999</v>
      </c>
      <c r="J60" s="24">
        <f t="shared" si="3"/>
        <v>2204</v>
      </c>
      <c r="K60" s="31">
        <f t="shared" si="4"/>
        <v>441</v>
      </c>
      <c r="L60" s="9">
        <v>150</v>
      </c>
      <c r="M60" s="9">
        <v>350</v>
      </c>
      <c r="N60" s="9">
        <v>0</v>
      </c>
      <c r="O60" s="9">
        <v>0</v>
      </c>
      <c r="P60" s="9">
        <v>200</v>
      </c>
      <c r="Q60" s="9">
        <v>250</v>
      </c>
      <c r="R60" s="9">
        <v>100</v>
      </c>
      <c r="S60" s="9">
        <v>300</v>
      </c>
      <c r="T60" s="9">
        <v>200</v>
      </c>
      <c r="U60" s="9">
        <v>448</v>
      </c>
      <c r="V60" s="9">
        <v>400</v>
      </c>
      <c r="W60" s="9">
        <v>400</v>
      </c>
      <c r="X60" s="9">
        <v>448</v>
      </c>
      <c r="Y60" s="9">
        <v>300</v>
      </c>
      <c r="Z60" s="9">
        <v>448</v>
      </c>
      <c r="AA60" s="9">
        <v>448</v>
      </c>
      <c r="AB60" s="9">
        <v>560</v>
      </c>
      <c r="AC60" s="9">
        <v>448</v>
      </c>
      <c r="AE60" s="6">
        <v>65340</v>
      </c>
      <c r="AF60" s="6">
        <v>159182.5</v>
      </c>
      <c r="AG60" s="6">
        <v>0</v>
      </c>
      <c r="AH60" s="6">
        <v>0</v>
      </c>
      <c r="AI60" s="6">
        <v>94390</v>
      </c>
      <c r="AJ60" s="6">
        <v>117987.5</v>
      </c>
      <c r="AK60" s="6">
        <v>47195</v>
      </c>
      <c r="AL60" s="6">
        <v>141585</v>
      </c>
      <c r="AM60" s="6">
        <v>94390</v>
      </c>
      <c r="AN60" s="6">
        <v>211433.60000000001</v>
      </c>
      <c r="AO60" s="6">
        <v>188780</v>
      </c>
      <c r="AP60" s="6">
        <v>188780</v>
      </c>
      <c r="AQ60" s="6">
        <v>211433.60000000001</v>
      </c>
      <c r="AR60" s="6">
        <v>141585</v>
      </c>
      <c r="AS60" s="6">
        <v>211433.60000000001</v>
      </c>
      <c r="AT60" s="6">
        <v>211433.60000000001</v>
      </c>
      <c r="AU60" s="6">
        <v>264292</v>
      </c>
      <c r="AV60" s="6">
        <v>211433.60000000001</v>
      </c>
      <c r="AW60" s="93" t="s">
        <v>631</v>
      </c>
      <c r="AX60" s="76" t="s">
        <v>631</v>
      </c>
      <c r="AY60" s="76"/>
      <c r="AZ60" s="76"/>
      <c r="BA60" s="76"/>
      <c r="BB60" s="76" t="s">
        <v>631</v>
      </c>
      <c r="BC60" s="76"/>
      <c r="BD60" s="76" t="s">
        <v>631</v>
      </c>
      <c r="BE60" s="76"/>
      <c r="BF60" s="76" t="s">
        <v>631</v>
      </c>
      <c r="BG60" s="76"/>
      <c r="BH60" s="76"/>
      <c r="BI60" s="76"/>
      <c r="BJ60" s="76"/>
      <c r="BK60" s="76"/>
      <c r="BL60" s="76"/>
      <c r="BM60" s="76" t="s">
        <v>631</v>
      </c>
      <c r="BN60" s="76" t="s">
        <v>631</v>
      </c>
      <c r="BO60" s="76"/>
      <c r="BP60" s="76" t="s">
        <v>631</v>
      </c>
      <c r="BQ60" s="76"/>
      <c r="BR60" s="76"/>
      <c r="BS60" s="76"/>
      <c r="BT60" s="76"/>
      <c r="BU60" s="76"/>
      <c r="BV60" s="76"/>
      <c r="BW60" s="76" t="s">
        <v>631</v>
      </c>
      <c r="BX60" s="76"/>
      <c r="BY60" s="76"/>
      <c r="BZ60" s="76" t="s">
        <v>631</v>
      </c>
      <c r="CA60" s="76"/>
      <c r="CB60" s="76"/>
      <c r="CC60" s="76"/>
      <c r="CD60" s="76"/>
      <c r="CE60" s="76"/>
      <c r="CF60" s="76" t="s">
        <v>833</v>
      </c>
      <c r="CG60" s="76"/>
      <c r="CH60" s="76" t="s">
        <v>631</v>
      </c>
      <c r="CI60" s="94" t="s">
        <v>631</v>
      </c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 t="s">
        <v>631</v>
      </c>
      <c r="CX60" s="76"/>
      <c r="CY60" s="76"/>
      <c r="CZ60" s="76"/>
      <c r="DA60" s="76"/>
      <c r="DB60" s="76"/>
      <c r="DC60" s="76"/>
      <c r="DD60" s="76"/>
      <c r="DE60" s="76" t="s">
        <v>631</v>
      </c>
      <c r="DF60" s="76"/>
      <c r="DG60" s="76"/>
      <c r="DH60" s="107" t="s">
        <v>631</v>
      </c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95"/>
      <c r="DX60" s="90">
        <f>COUNTIF(AW60:DW60,"x")</f>
        <v>15</v>
      </c>
      <c r="DY60" s="21"/>
      <c r="DZ60" s="21"/>
    </row>
    <row r="61" spans="1:130" hidden="1" outlineLevel="1" x14ac:dyDescent="0.3">
      <c r="A61" s="4"/>
      <c r="B61" s="4"/>
      <c r="C61" s="102" t="s">
        <v>730</v>
      </c>
      <c r="D61" s="4"/>
      <c r="E61" s="12"/>
      <c r="F61" s="34"/>
      <c r="G61" s="28"/>
      <c r="H61" s="28"/>
      <c r="I61" s="26"/>
      <c r="J61" s="24"/>
      <c r="K61" s="31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93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94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 t="s">
        <v>6</v>
      </c>
      <c r="CX61" s="76"/>
      <c r="CY61" s="76"/>
      <c r="CZ61" s="76"/>
      <c r="DA61" s="76"/>
      <c r="DB61" s="76"/>
      <c r="DC61" s="76"/>
      <c r="DD61" s="76"/>
      <c r="DE61" s="76" t="s">
        <v>6</v>
      </c>
      <c r="DF61" s="76"/>
      <c r="DG61" s="76"/>
      <c r="DH61" s="76" t="s">
        <v>6</v>
      </c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95"/>
      <c r="DX61" s="90"/>
      <c r="DY61" s="21"/>
      <c r="DZ61" s="21"/>
    </row>
    <row r="62" spans="1:130" hidden="1" outlineLevel="1" x14ac:dyDescent="0.3">
      <c r="A62" s="4"/>
      <c r="B62" s="4"/>
      <c r="C62" s="108" t="s">
        <v>714</v>
      </c>
      <c r="D62" s="4"/>
      <c r="E62" s="12"/>
      <c r="F62" s="34"/>
      <c r="G62" s="28"/>
      <c r="H62" s="28"/>
      <c r="I62" s="26"/>
      <c r="J62" s="24"/>
      <c r="K62" s="31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93"/>
      <c r="AX62" s="76"/>
      <c r="AY62" s="76"/>
      <c r="AZ62" s="76"/>
      <c r="BA62" s="76"/>
      <c r="BB62" s="76" t="s">
        <v>6</v>
      </c>
      <c r="BC62" s="76"/>
      <c r="BD62" s="76" t="s">
        <v>6</v>
      </c>
      <c r="BE62" s="76"/>
      <c r="BF62" s="76" t="s">
        <v>6</v>
      </c>
      <c r="BG62" s="76"/>
      <c r="BH62" s="76"/>
      <c r="BI62" s="76"/>
      <c r="BJ62" s="76"/>
      <c r="BK62" s="76"/>
      <c r="BL62" s="76"/>
      <c r="BM62" s="76" t="s">
        <v>6</v>
      </c>
      <c r="BN62" s="76" t="s">
        <v>6</v>
      </c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94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95"/>
      <c r="DX62" s="90"/>
      <c r="DY62" s="21"/>
      <c r="DZ62" s="21"/>
    </row>
    <row r="63" spans="1:130" hidden="1" outlineLevel="1" x14ac:dyDescent="0.3">
      <c r="A63" s="4"/>
      <c r="B63" s="4"/>
      <c r="C63" s="102" t="s">
        <v>731</v>
      </c>
      <c r="D63" s="4"/>
      <c r="E63" s="12"/>
      <c r="F63" s="34"/>
      <c r="G63" s="28"/>
      <c r="H63" s="28"/>
      <c r="I63" s="26"/>
      <c r="J63" s="24"/>
      <c r="K63" s="31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93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94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 t="s">
        <v>6</v>
      </c>
      <c r="CX63" s="76"/>
      <c r="CY63" s="76"/>
      <c r="CZ63" s="76"/>
      <c r="DA63" s="76"/>
      <c r="DB63" s="76"/>
      <c r="DC63" s="76"/>
      <c r="DD63" s="76"/>
      <c r="DE63" s="76" t="s">
        <v>6</v>
      </c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95"/>
      <c r="DX63" s="90"/>
      <c r="DY63" s="21"/>
      <c r="DZ63" s="21"/>
    </row>
    <row r="64" spans="1:130" hidden="1" outlineLevel="1" x14ac:dyDescent="0.3">
      <c r="A64" s="4"/>
      <c r="B64" s="4"/>
      <c r="C64" s="108" t="s">
        <v>714</v>
      </c>
      <c r="D64" s="4"/>
      <c r="E64" s="12"/>
      <c r="F64" s="34"/>
      <c r="G64" s="28"/>
      <c r="H64" s="28"/>
      <c r="I64" s="26"/>
      <c r="J64" s="24"/>
      <c r="K64" s="31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93"/>
      <c r="AX64" s="76"/>
      <c r="AY64" s="76"/>
      <c r="AZ64" s="76"/>
      <c r="BA64" s="76"/>
      <c r="BB64" s="76" t="s">
        <v>6</v>
      </c>
      <c r="BC64" s="76"/>
      <c r="BD64" s="76" t="s">
        <v>6</v>
      </c>
      <c r="BE64" s="76"/>
      <c r="BF64" s="76" t="s">
        <v>6</v>
      </c>
      <c r="BG64" s="76"/>
      <c r="BH64" s="76"/>
      <c r="BI64" s="76"/>
      <c r="BJ64" s="76"/>
      <c r="BK64" s="76"/>
      <c r="BL64" s="76"/>
      <c r="BM64" s="76" t="s">
        <v>6</v>
      </c>
      <c r="BN64" s="76" t="s">
        <v>6</v>
      </c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94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95"/>
      <c r="DX64" s="90"/>
      <c r="DY64" s="21"/>
      <c r="DZ64" s="21"/>
    </row>
    <row r="65" spans="1:130" hidden="1" outlineLevel="1" x14ac:dyDescent="0.3">
      <c r="A65" s="4"/>
      <c r="B65" s="4"/>
      <c r="C65" s="102" t="s">
        <v>732</v>
      </c>
      <c r="D65" s="4"/>
      <c r="E65" s="12"/>
      <c r="F65" s="34"/>
      <c r="G65" s="28"/>
      <c r="H65" s="28"/>
      <c r="I65" s="26"/>
      <c r="J65" s="24"/>
      <c r="K65" s="31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93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94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 t="s">
        <v>6</v>
      </c>
      <c r="CX65" s="76"/>
      <c r="CY65" s="76"/>
      <c r="CZ65" s="76"/>
      <c r="DA65" s="76"/>
      <c r="DB65" s="76"/>
      <c r="DC65" s="76"/>
      <c r="DD65" s="76"/>
      <c r="DE65" s="76" t="s">
        <v>6</v>
      </c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95"/>
      <c r="DX65" s="90"/>
      <c r="DY65" s="21"/>
      <c r="DZ65" s="21"/>
    </row>
    <row r="66" spans="1:130" hidden="1" outlineLevel="1" x14ac:dyDescent="0.3">
      <c r="A66" s="4"/>
      <c r="B66" s="4"/>
      <c r="C66" s="108" t="s">
        <v>714</v>
      </c>
      <c r="D66" s="4"/>
      <c r="E66" s="12"/>
      <c r="F66" s="34"/>
      <c r="G66" s="28"/>
      <c r="H66" s="28"/>
      <c r="I66" s="26"/>
      <c r="J66" s="24"/>
      <c r="K66" s="31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93"/>
      <c r="AX66" s="76"/>
      <c r="AY66" s="76"/>
      <c r="AZ66" s="76"/>
      <c r="BA66" s="76"/>
      <c r="BB66" s="76" t="s">
        <v>6</v>
      </c>
      <c r="BC66" s="76"/>
      <c r="BD66" s="76" t="s">
        <v>6</v>
      </c>
      <c r="BE66" s="76"/>
      <c r="BF66" s="76" t="s">
        <v>6</v>
      </c>
      <c r="BG66" s="76"/>
      <c r="BH66" s="76"/>
      <c r="BI66" s="76"/>
      <c r="BJ66" s="76"/>
      <c r="BK66" s="76"/>
      <c r="BL66" s="76"/>
      <c r="BM66" s="76" t="s">
        <v>6</v>
      </c>
      <c r="BN66" s="76" t="s">
        <v>6</v>
      </c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94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95"/>
      <c r="DX66" s="90"/>
      <c r="DY66" s="21"/>
      <c r="DZ66" s="21"/>
    </row>
    <row r="67" spans="1:130" hidden="1" outlineLevel="1" x14ac:dyDescent="0.3">
      <c r="A67" s="4"/>
      <c r="B67" s="4"/>
      <c r="C67" s="102" t="s">
        <v>733</v>
      </c>
      <c r="D67" s="4"/>
      <c r="E67" s="12"/>
      <c r="F67" s="34"/>
      <c r="G67" s="28"/>
      <c r="H67" s="28"/>
      <c r="I67" s="26"/>
      <c r="J67" s="24"/>
      <c r="K67" s="31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93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94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 t="s">
        <v>6</v>
      </c>
      <c r="CX67" s="76"/>
      <c r="CY67" s="76"/>
      <c r="CZ67" s="76"/>
      <c r="DA67" s="76"/>
      <c r="DB67" s="76"/>
      <c r="DC67" s="76"/>
      <c r="DD67" s="76"/>
      <c r="DE67" s="76" t="s">
        <v>6</v>
      </c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95"/>
      <c r="DX67" s="90"/>
      <c r="DY67" s="21"/>
      <c r="DZ67" s="21"/>
    </row>
    <row r="68" spans="1:130" hidden="1" outlineLevel="1" x14ac:dyDescent="0.3">
      <c r="A68" s="4"/>
      <c r="B68" s="4"/>
      <c r="C68" s="108" t="s">
        <v>714</v>
      </c>
      <c r="D68" s="4"/>
      <c r="E68" s="12"/>
      <c r="F68" s="34"/>
      <c r="G68" s="28"/>
      <c r="H68" s="28"/>
      <c r="I68" s="26"/>
      <c r="J68" s="24"/>
      <c r="K68" s="31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93"/>
      <c r="AX68" s="76"/>
      <c r="AY68" s="76"/>
      <c r="AZ68" s="76"/>
      <c r="BA68" s="76"/>
      <c r="BB68" s="76" t="s">
        <v>6</v>
      </c>
      <c r="BC68" s="76"/>
      <c r="BD68" s="76" t="s">
        <v>6</v>
      </c>
      <c r="BE68" s="76"/>
      <c r="BF68" s="76" t="s">
        <v>6</v>
      </c>
      <c r="BG68" s="76"/>
      <c r="BH68" s="76"/>
      <c r="BI68" s="76"/>
      <c r="BJ68" s="76"/>
      <c r="BK68" s="76"/>
      <c r="BL68" s="76"/>
      <c r="BM68" s="76" t="s">
        <v>6</v>
      </c>
      <c r="BN68" s="76" t="s">
        <v>6</v>
      </c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94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95"/>
      <c r="DX68" s="90"/>
      <c r="DY68" s="21"/>
      <c r="DZ68" s="21"/>
    </row>
    <row r="69" spans="1:130" hidden="1" outlineLevel="1" x14ac:dyDescent="0.3">
      <c r="A69" s="4"/>
      <c r="B69" s="4"/>
      <c r="C69" s="102" t="s">
        <v>734</v>
      </c>
      <c r="D69" s="4"/>
      <c r="E69" s="12"/>
      <c r="F69" s="34"/>
      <c r="G69" s="28"/>
      <c r="H69" s="28"/>
      <c r="I69" s="26"/>
      <c r="J69" s="24"/>
      <c r="K69" s="31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93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94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 t="s">
        <v>6</v>
      </c>
      <c r="CX69" s="76"/>
      <c r="CY69" s="76"/>
      <c r="CZ69" s="76"/>
      <c r="DA69" s="76"/>
      <c r="DB69" s="76"/>
      <c r="DC69" s="76"/>
      <c r="DD69" s="76"/>
      <c r="DE69" s="76" t="s">
        <v>6</v>
      </c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95"/>
      <c r="DX69" s="90"/>
      <c r="DY69" s="21"/>
      <c r="DZ69" s="21"/>
    </row>
    <row r="70" spans="1:130" hidden="1" outlineLevel="1" x14ac:dyDescent="0.3">
      <c r="A70" s="4"/>
      <c r="B70" s="4"/>
      <c r="C70" s="108" t="s">
        <v>714</v>
      </c>
      <c r="D70" s="4"/>
      <c r="E70" s="12"/>
      <c r="F70" s="34"/>
      <c r="G70" s="28"/>
      <c r="H70" s="28"/>
      <c r="I70" s="26"/>
      <c r="J70" s="24"/>
      <c r="K70" s="31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93"/>
      <c r="AX70" s="76"/>
      <c r="AY70" s="76"/>
      <c r="AZ70" s="76"/>
      <c r="BA70" s="76"/>
      <c r="BB70" s="76" t="s">
        <v>6</v>
      </c>
      <c r="BC70" s="76"/>
      <c r="BD70" s="76" t="s">
        <v>6</v>
      </c>
      <c r="BE70" s="76"/>
      <c r="BF70" s="76" t="s">
        <v>6</v>
      </c>
      <c r="BG70" s="76"/>
      <c r="BH70" s="76"/>
      <c r="BI70" s="76"/>
      <c r="BJ70" s="76"/>
      <c r="BK70" s="76"/>
      <c r="BL70" s="76"/>
      <c r="BM70" s="76" t="s">
        <v>6</v>
      </c>
      <c r="BN70" s="76" t="s">
        <v>6</v>
      </c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94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95"/>
      <c r="DX70" s="90"/>
      <c r="DY70" s="21"/>
      <c r="DZ70" s="21"/>
    </row>
    <row r="71" spans="1:130" hidden="1" outlineLevel="1" x14ac:dyDescent="0.3">
      <c r="A71" s="4"/>
      <c r="B71" s="4"/>
      <c r="C71" s="102" t="s">
        <v>735</v>
      </c>
      <c r="D71" s="4"/>
      <c r="E71" s="12"/>
      <c r="F71" s="34"/>
      <c r="G71" s="28"/>
      <c r="H71" s="28"/>
      <c r="I71" s="26"/>
      <c r="J71" s="24"/>
      <c r="K71" s="31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93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94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 t="s">
        <v>6</v>
      </c>
      <c r="CX71" s="76"/>
      <c r="CY71" s="76"/>
      <c r="CZ71" s="76"/>
      <c r="DA71" s="76"/>
      <c r="DB71" s="76"/>
      <c r="DC71" s="76"/>
      <c r="DD71" s="76"/>
      <c r="DE71" s="76" t="s">
        <v>6</v>
      </c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95"/>
      <c r="DX71" s="90"/>
      <c r="DY71" s="21"/>
      <c r="DZ71" s="21"/>
    </row>
    <row r="72" spans="1:130" hidden="1" outlineLevel="1" x14ac:dyDescent="0.3">
      <c r="A72" s="4"/>
      <c r="B72" s="4"/>
      <c r="C72" s="108" t="s">
        <v>714</v>
      </c>
      <c r="D72" s="4"/>
      <c r="E72" s="12"/>
      <c r="F72" s="34"/>
      <c r="G72" s="28"/>
      <c r="H72" s="28"/>
      <c r="I72" s="26"/>
      <c r="J72" s="24"/>
      <c r="K72" s="31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93"/>
      <c r="AX72" s="76"/>
      <c r="AY72" s="76"/>
      <c r="AZ72" s="76"/>
      <c r="BA72" s="76"/>
      <c r="BB72" s="76" t="s">
        <v>6</v>
      </c>
      <c r="BC72" s="76"/>
      <c r="BD72" s="76" t="s">
        <v>6</v>
      </c>
      <c r="BE72" s="76"/>
      <c r="BF72" s="76" t="s">
        <v>6</v>
      </c>
      <c r="BG72" s="76"/>
      <c r="BH72" s="76"/>
      <c r="BI72" s="76"/>
      <c r="BJ72" s="76"/>
      <c r="BK72" s="76"/>
      <c r="BL72" s="76"/>
      <c r="BM72" s="76" t="s">
        <v>6</v>
      </c>
      <c r="BN72" s="76" t="s">
        <v>6</v>
      </c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94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95"/>
      <c r="DX72" s="90"/>
      <c r="DY72" s="21"/>
      <c r="DZ72" s="21"/>
    </row>
    <row r="73" spans="1:130" hidden="1" outlineLevel="1" x14ac:dyDescent="0.3">
      <c r="A73" s="4"/>
      <c r="B73" s="4"/>
      <c r="C73" s="102" t="s">
        <v>36</v>
      </c>
      <c r="D73" s="4"/>
      <c r="E73" s="12"/>
      <c r="F73" s="34"/>
      <c r="G73" s="28"/>
      <c r="H73" s="28"/>
      <c r="I73" s="26"/>
      <c r="J73" s="24"/>
      <c r="K73" s="31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93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94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 t="s">
        <v>6</v>
      </c>
      <c r="CX73" s="76"/>
      <c r="CY73" s="76"/>
      <c r="CZ73" s="76"/>
      <c r="DA73" s="76"/>
      <c r="DB73" s="76"/>
      <c r="DC73" s="76"/>
      <c r="DD73" s="76"/>
      <c r="DE73" s="76" t="s">
        <v>6</v>
      </c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95"/>
      <c r="DX73" s="90"/>
      <c r="DY73" s="21"/>
      <c r="DZ73" s="21"/>
    </row>
    <row r="74" spans="1:130" hidden="1" outlineLevel="1" x14ac:dyDescent="0.3">
      <c r="A74" s="4"/>
      <c r="B74" s="4"/>
      <c r="C74" s="108" t="s">
        <v>714</v>
      </c>
      <c r="D74" s="4"/>
      <c r="E74" s="12"/>
      <c r="F74" s="34"/>
      <c r="G74" s="28"/>
      <c r="H74" s="28"/>
      <c r="I74" s="26"/>
      <c r="J74" s="24"/>
      <c r="K74" s="31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93"/>
      <c r="AX74" s="76"/>
      <c r="AY74" s="76"/>
      <c r="AZ74" s="76"/>
      <c r="BA74" s="76"/>
      <c r="BB74" s="76" t="s">
        <v>6</v>
      </c>
      <c r="BC74" s="76"/>
      <c r="BD74" s="76" t="s">
        <v>6</v>
      </c>
      <c r="BE74" s="76"/>
      <c r="BF74" s="76" t="s">
        <v>6</v>
      </c>
      <c r="BG74" s="76"/>
      <c r="BH74" s="76"/>
      <c r="BI74" s="76"/>
      <c r="BJ74" s="76"/>
      <c r="BK74" s="76"/>
      <c r="BL74" s="76"/>
      <c r="BM74" s="76" t="s">
        <v>6</v>
      </c>
      <c r="BN74" s="76" t="s">
        <v>6</v>
      </c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94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95"/>
      <c r="DX74" s="90"/>
      <c r="DY74" s="21"/>
      <c r="DZ74" s="21"/>
    </row>
    <row r="75" spans="1:130" hidden="1" outlineLevel="1" x14ac:dyDescent="0.3">
      <c r="A75" s="4"/>
      <c r="B75" s="4"/>
      <c r="C75" s="102" t="s">
        <v>736</v>
      </c>
      <c r="D75" s="4"/>
      <c r="E75" s="12"/>
      <c r="F75" s="34"/>
      <c r="G75" s="28"/>
      <c r="H75" s="28"/>
      <c r="I75" s="26"/>
      <c r="J75" s="24"/>
      <c r="K75" s="31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93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94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 t="s">
        <v>6</v>
      </c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95"/>
      <c r="DX75" s="90"/>
      <c r="DY75" s="21"/>
      <c r="DZ75" s="21"/>
    </row>
    <row r="76" spans="1:130" hidden="1" outlineLevel="1" x14ac:dyDescent="0.3">
      <c r="A76" s="4"/>
      <c r="B76" s="4"/>
      <c r="C76" s="103" t="s">
        <v>737</v>
      </c>
      <c r="D76" s="4"/>
      <c r="E76" s="12"/>
      <c r="F76" s="34"/>
      <c r="G76" s="28"/>
      <c r="H76" s="28"/>
      <c r="I76" s="26"/>
      <c r="J76" s="24"/>
      <c r="K76" s="31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93"/>
      <c r="AX76" s="76" t="s">
        <v>6</v>
      </c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 t="s">
        <v>6</v>
      </c>
      <c r="BQ76" s="76"/>
      <c r="BR76" s="76"/>
      <c r="BS76" s="76"/>
      <c r="BT76" s="76"/>
      <c r="BU76" s="76"/>
      <c r="BV76" s="76"/>
      <c r="BW76" s="76" t="s">
        <v>6</v>
      </c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 t="s">
        <v>6</v>
      </c>
      <c r="CI76" s="94" t="s">
        <v>6</v>
      </c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 t="s">
        <v>6</v>
      </c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95"/>
      <c r="DX76" s="90"/>
      <c r="DY76" s="21"/>
      <c r="DZ76" s="21"/>
    </row>
    <row r="77" spans="1:130" hidden="1" outlineLevel="1" x14ac:dyDescent="0.3">
      <c r="A77" s="4"/>
      <c r="B77" s="4"/>
      <c r="C77" s="103" t="s">
        <v>738</v>
      </c>
      <c r="D77" s="4"/>
      <c r="E77" s="12"/>
      <c r="F77" s="34"/>
      <c r="G77" s="28"/>
      <c r="H77" s="28"/>
      <c r="I77" s="26"/>
      <c r="J77" s="24"/>
      <c r="K77" s="31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93"/>
      <c r="AX77" s="76" t="s">
        <v>6</v>
      </c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 t="s">
        <v>6</v>
      </c>
      <c r="BQ77" s="76"/>
      <c r="BR77" s="76"/>
      <c r="BS77" s="76"/>
      <c r="BT77" s="76"/>
      <c r="BU77" s="76"/>
      <c r="BV77" s="76"/>
      <c r="BW77" s="76" t="s">
        <v>6</v>
      </c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 t="s">
        <v>6</v>
      </c>
      <c r="CI77" s="94" t="s">
        <v>6</v>
      </c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95"/>
      <c r="DX77" s="90"/>
      <c r="DY77" s="21"/>
      <c r="DZ77" s="21"/>
    </row>
    <row r="78" spans="1:130" hidden="1" outlineLevel="1" x14ac:dyDescent="0.3">
      <c r="A78" s="4"/>
      <c r="B78" s="4"/>
      <c r="C78" s="103" t="s">
        <v>739</v>
      </c>
      <c r="D78" s="4"/>
      <c r="E78" s="12"/>
      <c r="F78" s="34"/>
      <c r="G78" s="28"/>
      <c r="H78" s="28"/>
      <c r="I78" s="26"/>
      <c r="J78" s="24"/>
      <c r="K78" s="31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93"/>
      <c r="AX78" s="76" t="s">
        <v>6</v>
      </c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 t="s">
        <v>6</v>
      </c>
      <c r="BQ78" s="76"/>
      <c r="BR78" s="76"/>
      <c r="BS78" s="76"/>
      <c r="BT78" s="76"/>
      <c r="BU78" s="76"/>
      <c r="BV78" s="76"/>
      <c r="BW78" s="76" t="s">
        <v>6</v>
      </c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 t="s">
        <v>6</v>
      </c>
      <c r="CI78" s="94" t="s">
        <v>6</v>
      </c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95"/>
      <c r="DX78" s="90"/>
      <c r="DY78" s="21"/>
      <c r="DZ78" s="21"/>
    </row>
    <row r="79" spans="1:130" hidden="1" outlineLevel="1" x14ac:dyDescent="0.3">
      <c r="A79" s="4"/>
      <c r="B79" s="4"/>
      <c r="C79" s="103" t="s">
        <v>740</v>
      </c>
      <c r="D79" s="4"/>
      <c r="E79" s="12"/>
      <c r="F79" s="34"/>
      <c r="G79" s="28"/>
      <c r="H79" s="28"/>
      <c r="I79" s="26"/>
      <c r="J79" s="24"/>
      <c r="K79" s="31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93" t="s">
        <v>6</v>
      </c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 t="s">
        <v>6</v>
      </c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 t="s">
        <v>6</v>
      </c>
      <c r="CI79" s="94" t="s">
        <v>6</v>
      </c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95"/>
      <c r="DX79" s="90"/>
      <c r="DY79" s="21"/>
      <c r="DZ79" s="21"/>
    </row>
    <row r="80" spans="1:130" hidden="1" outlineLevel="1" x14ac:dyDescent="0.3">
      <c r="A80" s="4"/>
      <c r="B80" s="4"/>
      <c r="C80" s="103" t="s">
        <v>741</v>
      </c>
      <c r="D80" s="4"/>
      <c r="E80" s="12"/>
      <c r="F80" s="34"/>
      <c r="G80" s="28"/>
      <c r="H80" s="28"/>
      <c r="I80" s="26"/>
      <c r="J80" s="24"/>
      <c r="K80" s="31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93"/>
      <c r="AX80" s="76" t="s">
        <v>6</v>
      </c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 t="s">
        <v>6</v>
      </c>
      <c r="BQ80" s="76"/>
      <c r="BR80" s="76"/>
      <c r="BS80" s="76"/>
      <c r="BT80" s="76"/>
      <c r="BU80" s="76"/>
      <c r="BV80" s="76"/>
      <c r="BW80" s="76"/>
      <c r="BX80" s="76"/>
      <c r="BY80" s="76"/>
      <c r="BZ80" s="76" t="s">
        <v>6</v>
      </c>
      <c r="CA80" s="76"/>
      <c r="CB80" s="76"/>
      <c r="CC80" s="76"/>
      <c r="CD80" s="76"/>
      <c r="CE80" s="76"/>
      <c r="CF80" s="76"/>
      <c r="CG80" s="76"/>
      <c r="CH80" s="76" t="s">
        <v>6</v>
      </c>
      <c r="CI80" s="94" t="s">
        <v>6</v>
      </c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95"/>
      <c r="DX80" s="90"/>
      <c r="DY80" s="21"/>
      <c r="DZ80" s="21"/>
    </row>
    <row r="81" spans="1:130" hidden="1" outlineLevel="1" x14ac:dyDescent="0.3">
      <c r="A81" s="4"/>
      <c r="B81" s="4"/>
      <c r="C81" s="103" t="s">
        <v>742</v>
      </c>
      <c r="D81" s="4"/>
      <c r="E81" s="12"/>
      <c r="F81" s="34"/>
      <c r="G81" s="28"/>
      <c r="H81" s="28"/>
      <c r="I81" s="26"/>
      <c r="J81" s="24"/>
      <c r="K81" s="31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93" t="s">
        <v>6</v>
      </c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 t="s">
        <v>6</v>
      </c>
      <c r="CI81" s="94" t="s">
        <v>6</v>
      </c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95"/>
      <c r="DX81" s="90"/>
      <c r="DY81" s="21"/>
      <c r="DZ81" s="21"/>
    </row>
    <row r="82" spans="1:130" hidden="1" outlineLevel="1" x14ac:dyDescent="0.3">
      <c r="A82" s="4"/>
      <c r="B82" s="4"/>
      <c r="C82" s="103" t="s">
        <v>743</v>
      </c>
      <c r="D82" s="4"/>
      <c r="E82" s="12"/>
      <c r="F82" s="34"/>
      <c r="G82" s="28"/>
      <c r="H82" s="28"/>
      <c r="I82" s="26"/>
      <c r="J82" s="24"/>
      <c r="K82" s="31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93"/>
      <c r="AX82" s="76" t="s">
        <v>6</v>
      </c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 t="s">
        <v>6</v>
      </c>
      <c r="CI82" s="94" t="s">
        <v>6</v>
      </c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95"/>
      <c r="DX82" s="90"/>
      <c r="DY82" s="21"/>
      <c r="DZ82" s="21"/>
    </row>
    <row r="83" spans="1:130" collapsed="1" x14ac:dyDescent="0.3">
      <c r="A83" s="4" t="s">
        <v>8</v>
      </c>
      <c r="B83" s="4" t="s">
        <v>27</v>
      </c>
      <c r="C83" s="91" t="s">
        <v>38</v>
      </c>
      <c r="D83" s="4" t="s">
        <v>39</v>
      </c>
      <c r="E83" s="12">
        <v>468.32</v>
      </c>
      <c r="F83" s="34">
        <f t="shared" si="0"/>
        <v>187328</v>
      </c>
      <c r="G83" s="28">
        <f t="shared" si="5"/>
        <v>400</v>
      </c>
      <c r="H83" s="28">
        <f t="shared" si="1"/>
        <v>34</v>
      </c>
      <c r="I83" s="26">
        <f t="shared" si="2"/>
        <v>93664</v>
      </c>
      <c r="J83" s="24">
        <f t="shared" si="3"/>
        <v>200</v>
      </c>
      <c r="K83" s="31">
        <f t="shared" si="4"/>
        <v>40</v>
      </c>
      <c r="L83" s="9">
        <v>200</v>
      </c>
      <c r="M83" s="9">
        <v>0</v>
      </c>
      <c r="N83" s="9">
        <v>0</v>
      </c>
      <c r="O83" s="9">
        <v>200</v>
      </c>
      <c r="P83" s="9">
        <v>0</v>
      </c>
      <c r="Q83" s="9">
        <v>0</v>
      </c>
      <c r="R83" s="9">
        <v>100</v>
      </c>
      <c r="S83" s="9">
        <v>0</v>
      </c>
      <c r="T83" s="9">
        <v>0</v>
      </c>
      <c r="U83" s="9">
        <v>0</v>
      </c>
      <c r="V83" s="9">
        <v>100</v>
      </c>
      <c r="W83" s="9">
        <v>0</v>
      </c>
      <c r="X83" s="9">
        <v>0</v>
      </c>
      <c r="Y83" s="9">
        <v>0</v>
      </c>
      <c r="Z83" s="9">
        <v>200</v>
      </c>
      <c r="AA83" s="9">
        <v>0</v>
      </c>
      <c r="AB83" s="9">
        <v>0</v>
      </c>
      <c r="AC83" s="9">
        <v>0</v>
      </c>
      <c r="AE83" s="6">
        <v>93664</v>
      </c>
      <c r="AF83" s="6">
        <v>0</v>
      </c>
      <c r="AG83" s="6">
        <v>0</v>
      </c>
      <c r="AH83" s="6">
        <v>93664</v>
      </c>
      <c r="AI83" s="6">
        <v>0</v>
      </c>
      <c r="AJ83" s="6">
        <v>0</v>
      </c>
      <c r="AK83" s="6">
        <v>46832</v>
      </c>
      <c r="AL83" s="6">
        <v>0</v>
      </c>
      <c r="AM83" s="6">
        <v>0</v>
      </c>
      <c r="AN83" s="6">
        <v>0</v>
      </c>
      <c r="AO83" s="6">
        <v>46832</v>
      </c>
      <c r="AP83" s="6">
        <v>0</v>
      </c>
      <c r="AQ83" s="6">
        <v>0</v>
      </c>
      <c r="AR83" s="6">
        <v>0</v>
      </c>
      <c r="AS83" s="6">
        <v>93664</v>
      </c>
      <c r="AT83" s="6">
        <v>0</v>
      </c>
      <c r="AU83" s="6">
        <v>0</v>
      </c>
      <c r="AV83" s="6">
        <v>0</v>
      </c>
      <c r="AW83" s="93" t="s">
        <v>631</v>
      </c>
      <c r="AX83" s="76" t="s">
        <v>631</v>
      </c>
      <c r="AY83" s="76"/>
      <c r="AZ83" s="76"/>
      <c r="BA83" s="76"/>
      <c r="BB83" s="76" t="s">
        <v>631</v>
      </c>
      <c r="BC83" s="76"/>
      <c r="BD83" s="76" t="s">
        <v>631</v>
      </c>
      <c r="BE83" s="76"/>
      <c r="BF83" s="76" t="s">
        <v>631</v>
      </c>
      <c r="BG83" s="76"/>
      <c r="BH83" s="76"/>
      <c r="BI83" s="76"/>
      <c r="BJ83" s="76"/>
      <c r="BK83" s="76"/>
      <c r="BL83" s="76"/>
      <c r="BM83" s="76" t="s">
        <v>631</v>
      </c>
      <c r="BN83" s="76" t="s">
        <v>631</v>
      </c>
      <c r="BO83" s="76"/>
      <c r="BP83" s="76" t="s">
        <v>631</v>
      </c>
      <c r="BQ83" s="76"/>
      <c r="BR83" s="76"/>
      <c r="BS83" s="76"/>
      <c r="BT83" s="76"/>
      <c r="BU83" s="76"/>
      <c r="BV83" s="76"/>
      <c r="BW83" s="76" t="s">
        <v>631</v>
      </c>
      <c r="BX83" s="76"/>
      <c r="BY83" s="76"/>
      <c r="BZ83" s="76" t="s">
        <v>631</v>
      </c>
      <c r="CA83" s="76"/>
      <c r="CB83" s="76"/>
      <c r="CC83" s="76"/>
      <c r="CD83" s="76"/>
      <c r="CE83" s="76"/>
      <c r="CF83" s="76"/>
      <c r="CG83" s="76"/>
      <c r="CH83" s="76" t="s">
        <v>631</v>
      </c>
      <c r="CI83" s="76" t="s">
        <v>631</v>
      </c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 t="s">
        <v>631</v>
      </c>
      <c r="CX83" s="76"/>
      <c r="CY83" s="76"/>
      <c r="CZ83" s="76"/>
      <c r="DA83" s="76"/>
      <c r="DB83" s="76"/>
      <c r="DC83" s="76"/>
      <c r="DD83" s="76"/>
      <c r="DE83" s="76" t="s">
        <v>631</v>
      </c>
      <c r="DF83" s="76"/>
      <c r="DG83" s="76"/>
      <c r="DH83" s="76" t="s">
        <v>631</v>
      </c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95"/>
      <c r="DX83" s="90">
        <f>COUNTIF(AW83:DW83,"x")</f>
        <v>15</v>
      </c>
      <c r="DY83" s="21"/>
      <c r="DZ83" s="21"/>
    </row>
    <row r="84" spans="1:130" hidden="1" outlineLevel="1" x14ac:dyDescent="0.3">
      <c r="A84" s="4"/>
      <c r="B84" s="4"/>
      <c r="C84" s="102" t="s">
        <v>730</v>
      </c>
      <c r="D84" s="4"/>
      <c r="E84" s="12"/>
      <c r="F84" s="34"/>
      <c r="G84" s="28"/>
      <c r="H84" s="28"/>
      <c r="I84" s="26"/>
      <c r="J84" s="24"/>
      <c r="K84" s="31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93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94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 t="s">
        <v>6</v>
      </c>
      <c r="CX84" s="76"/>
      <c r="CY84" s="76"/>
      <c r="CZ84" s="76"/>
      <c r="DA84" s="76"/>
      <c r="DB84" s="76"/>
      <c r="DC84" s="76"/>
      <c r="DD84" s="76"/>
      <c r="DE84" s="76" t="s">
        <v>6</v>
      </c>
      <c r="DF84" s="76"/>
      <c r="DG84" s="76"/>
      <c r="DH84" s="76" t="s">
        <v>6</v>
      </c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95"/>
      <c r="DX84" s="90"/>
      <c r="DY84" s="21"/>
      <c r="DZ84" s="21"/>
    </row>
    <row r="85" spans="1:130" hidden="1" outlineLevel="1" x14ac:dyDescent="0.3">
      <c r="A85" s="4"/>
      <c r="B85" s="4"/>
      <c r="C85" s="108" t="s">
        <v>714</v>
      </c>
      <c r="D85" s="4"/>
      <c r="E85" s="12"/>
      <c r="F85" s="34"/>
      <c r="G85" s="28"/>
      <c r="H85" s="28"/>
      <c r="I85" s="26"/>
      <c r="J85" s="24"/>
      <c r="K85" s="31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93"/>
      <c r="AX85" s="76"/>
      <c r="AY85" s="76"/>
      <c r="AZ85" s="76"/>
      <c r="BA85" s="76"/>
      <c r="BB85" s="76" t="s">
        <v>6</v>
      </c>
      <c r="BC85" s="76"/>
      <c r="BD85" s="76" t="s">
        <v>6</v>
      </c>
      <c r="BE85" s="76"/>
      <c r="BF85" s="76" t="s">
        <v>6</v>
      </c>
      <c r="BG85" s="76"/>
      <c r="BH85" s="76"/>
      <c r="BI85" s="76"/>
      <c r="BJ85" s="76"/>
      <c r="BK85" s="76"/>
      <c r="BL85" s="76"/>
      <c r="BM85" s="76" t="s">
        <v>6</v>
      </c>
      <c r="BN85" s="76" t="s">
        <v>6</v>
      </c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94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95"/>
      <c r="DX85" s="90"/>
      <c r="DY85" s="21"/>
      <c r="DZ85" s="21"/>
    </row>
    <row r="86" spans="1:130" hidden="1" outlineLevel="1" x14ac:dyDescent="0.3">
      <c r="A86" s="4"/>
      <c r="B86" s="4"/>
      <c r="C86" s="102" t="s">
        <v>731</v>
      </c>
      <c r="D86" s="4"/>
      <c r="E86" s="12"/>
      <c r="F86" s="34"/>
      <c r="G86" s="28"/>
      <c r="H86" s="28"/>
      <c r="I86" s="26"/>
      <c r="J86" s="24"/>
      <c r="K86" s="31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93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94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 t="s">
        <v>6</v>
      </c>
      <c r="CX86" s="76"/>
      <c r="CY86" s="76"/>
      <c r="CZ86" s="76"/>
      <c r="DA86" s="76"/>
      <c r="DB86" s="76"/>
      <c r="DC86" s="76"/>
      <c r="DD86" s="76"/>
      <c r="DE86" s="76" t="s">
        <v>6</v>
      </c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95"/>
      <c r="DX86" s="90"/>
      <c r="DY86" s="21"/>
      <c r="DZ86" s="21"/>
    </row>
    <row r="87" spans="1:130" hidden="1" outlineLevel="1" x14ac:dyDescent="0.3">
      <c r="A87" s="4"/>
      <c r="B87" s="4"/>
      <c r="C87" s="108" t="s">
        <v>714</v>
      </c>
      <c r="D87" s="4"/>
      <c r="E87" s="12"/>
      <c r="F87" s="34"/>
      <c r="G87" s="28"/>
      <c r="H87" s="28"/>
      <c r="I87" s="26"/>
      <c r="J87" s="24"/>
      <c r="K87" s="31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93"/>
      <c r="AX87" s="76"/>
      <c r="AY87" s="76"/>
      <c r="AZ87" s="76"/>
      <c r="BA87" s="76"/>
      <c r="BB87" s="76" t="s">
        <v>6</v>
      </c>
      <c r="BC87" s="76"/>
      <c r="BD87" s="76" t="s">
        <v>6</v>
      </c>
      <c r="BE87" s="76"/>
      <c r="BF87" s="76" t="s">
        <v>6</v>
      </c>
      <c r="BG87" s="76"/>
      <c r="BH87" s="76"/>
      <c r="BI87" s="76"/>
      <c r="BJ87" s="76"/>
      <c r="BK87" s="76"/>
      <c r="BL87" s="76"/>
      <c r="BM87" s="76" t="s">
        <v>6</v>
      </c>
      <c r="BN87" s="76" t="s">
        <v>6</v>
      </c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94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95"/>
      <c r="DX87" s="90"/>
      <c r="DY87" s="21"/>
      <c r="DZ87" s="21"/>
    </row>
    <row r="88" spans="1:130" hidden="1" outlineLevel="1" x14ac:dyDescent="0.3">
      <c r="A88" s="4"/>
      <c r="B88" s="4"/>
      <c r="C88" s="102" t="s">
        <v>732</v>
      </c>
      <c r="D88" s="4"/>
      <c r="E88" s="12"/>
      <c r="F88" s="34"/>
      <c r="G88" s="28"/>
      <c r="H88" s="28"/>
      <c r="I88" s="26"/>
      <c r="J88" s="24"/>
      <c r="K88" s="31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93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94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 t="s">
        <v>6</v>
      </c>
      <c r="CX88" s="76"/>
      <c r="CY88" s="76"/>
      <c r="CZ88" s="76"/>
      <c r="DA88" s="76"/>
      <c r="DB88" s="76"/>
      <c r="DC88" s="76"/>
      <c r="DD88" s="76"/>
      <c r="DE88" s="76" t="s">
        <v>6</v>
      </c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95"/>
      <c r="DX88" s="90"/>
      <c r="DY88" s="21"/>
      <c r="DZ88" s="21"/>
    </row>
    <row r="89" spans="1:130" hidden="1" outlineLevel="1" x14ac:dyDescent="0.3">
      <c r="A89" s="4"/>
      <c r="B89" s="4"/>
      <c r="C89" s="108" t="s">
        <v>714</v>
      </c>
      <c r="D89" s="4"/>
      <c r="E89" s="12"/>
      <c r="F89" s="34"/>
      <c r="G89" s="28"/>
      <c r="H89" s="28"/>
      <c r="I89" s="26"/>
      <c r="J89" s="24"/>
      <c r="K89" s="31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93"/>
      <c r="AX89" s="76"/>
      <c r="AY89" s="76"/>
      <c r="AZ89" s="76"/>
      <c r="BA89" s="76"/>
      <c r="BB89" s="76" t="s">
        <v>6</v>
      </c>
      <c r="BC89" s="76"/>
      <c r="BD89" s="76" t="s">
        <v>6</v>
      </c>
      <c r="BE89" s="76"/>
      <c r="BF89" s="76" t="s">
        <v>6</v>
      </c>
      <c r="BG89" s="76"/>
      <c r="BH89" s="76"/>
      <c r="BI89" s="76"/>
      <c r="BJ89" s="76"/>
      <c r="BK89" s="76"/>
      <c r="BL89" s="76"/>
      <c r="BM89" s="76" t="s">
        <v>6</v>
      </c>
      <c r="BN89" s="76" t="s">
        <v>6</v>
      </c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94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95"/>
      <c r="DX89" s="90"/>
      <c r="DY89" s="21"/>
      <c r="DZ89" s="21"/>
    </row>
    <row r="90" spans="1:130" hidden="1" outlineLevel="1" x14ac:dyDescent="0.3">
      <c r="A90" s="4"/>
      <c r="B90" s="4"/>
      <c r="C90" s="102" t="s">
        <v>733</v>
      </c>
      <c r="D90" s="4"/>
      <c r="E90" s="12"/>
      <c r="F90" s="34"/>
      <c r="G90" s="28"/>
      <c r="H90" s="28"/>
      <c r="I90" s="26"/>
      <c r="J90" s="24"/>
      <c r="K90" s="31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93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94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 t="s">
        <v>6</v>
      </c>
      <c r="CX90" s="76"/>
      <c r="CY90" s="76"/>
      <c r="CZ90" s="76"/>
      <c r="DA90" s="76"/>
      <c r="DB90" s="76"/>
      <c r="DC90" s="76"/>
      <c r="DD90" s="76"/>
      <c r="DE90" s="76" t="s">
        <v>6</v>
      </c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95"/>
      <c r="DX90" s="90"/>
      <c r="DY90" s="21"/>
      <c r="DZ90" s="21"/>
    </row>
    <row r="91" spans="1:130" hidden="1" outlineLevel="1" x14ac:dyDescent="0.3">
      <c r="A91" s="4"/>
      <c r="B91" s="4"/>
      <c r="C91" s="108" t="s">
        <v>714</v>
      </c>
      <c r="D91" s="4"/>
      <c r="E91" s="12"/>
      <c r="F91" s="34"/>
      <c r="G91" s="28"/>
      <c r="H91" s="28"/>
      <c r="I91" s="26"/>
      <c r="J91" s="24"/>
      <c r="K91" s="31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93"/>
      <c r="AX91" s="76"/>
      <c r="AY91" s="76"/>
      <c r="AZ91" s="76"/>
      <c r="BA91" s="76"/>
      <c r="BB91" s="76" t="s">
        <v>6</v>
      </c>
      <c r="BC91" s="76"/>
      <c r="BD91" s="76" t="s">
        <v>6</v>
      </c>
      <c r="BE91" s="76"/>
      <c r="BF91" s="76" t="s">
        <v>6</v>
      </c>
      <c r="BG91" s="76"/>
      <c r="BH91" s="76"/>
      <c r="BI91" s="76"/>
      <c r="BJ91" s="76"/>
      <c r="BK91" s="76"/>
      <c r="BL91" s="76"/>
      <c r="BM91" s="76" t="s">
        <v>6</v>
      </c>
      <c r="BN91" s="76" t="s">
        <v>6</v>
      </c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94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95"/>
      <c r="DX91" s="90"/>
      <c r="DY91" s="21"/>
      <c r="DZ91" s="21"/>
    </row>
    <row r="92" spans="1:130" hidden="1" outlineLevel="1" x14ac:dyDescent="0.3">
      <c r="A92" s="4"/>
      <c r="B92" s="4"/>
      <c r="C92" s="102" t="s">
        <v>734</v>
      </c>
      <c r="D92" s="4"/>
      <c r="E92" s="12"/>
      <c r="F92" s="34"/>
      <c r="G92" s="28"/>
      <c r="H92" s="28"/>
      <c r="I92" s="26"/>
      <c r="J92" s="24"/>
      <c r="K92" s="31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93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94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 t="s">
        <v>6</v>
      </c>
      <c r="CX92" s="76"/>
      <c r="CY92" s="76"/>
      <c r="CZ92" s="76"/>
      <c r="DA92" s="76"/>
      <c r="DB92" s="76"/>
      <c r="DC92" s="76"/>
      <c r="DD92" s="76"/>
      <c r="DE92" s="76" t="s">
        <v>6</v>
      </c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95"/>
      <c r="DX92" s="90"/>
      <c r="DY92" s="21"/>
      <c r="DZ92" s="21"/>
    </row>
    <row r="93" spans="1:130" hidden="1" outlineLevel="1" x14ac:dyDescent="0.3">
      <c r="A93" s="4"/>
      <c r="B93" s="4"/>
      <c r="C93" s="108" t="s">
        <v>714</v>
      </c>
      <c r="D93" s="4"/>
      <c r="E93" s="12"/>
      <c r="F93" s="34"/>
      <c r="G93" s="28"/>
      <c r="H93" s="28"/>
      <c r="I93" s="26"/>
      <c r="J93" s="24"/>
      <c r="K93" s="31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93"/>
      <c r="AX93" s="76"/>
      <c r="AY93" s="76"/>
      <c r="AZ93" s="76"/>
      <c r="BA93" s="76"/>
      <c r="BB93" s="76" t="s">
        <v>6</v>
      </c>
      <c r="BC93" s="76"/>
      <c r="BD93" s="76" t="s">
        <v>6</v>
      </c>
      <c r="BE93" s="76"/>
      <c r="BF93" s="76" t="s">
        <v>6</v>
      </c>
      <c r="BG93" s="76"/>
      <c r="BH93" s="76"/>
      <c r="BI93" s="76"/>
      <c r="BJ93" s="76"/>
      <c r="BK93" s="76"/>
      <c r="BL93" s="76"/>
      <c r="BM93" s="76" t="s">
        <v>6</v>
      </c>
      <c r="BN93" s="76" t="s">
        <v>6</v>
      </c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94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95"/>
      <c r="DX93" s="90"/>
      <c r="DY93" s="21"/>
      <c r="DZ93" s="21"/>
    </row>
    <row r="94" spans="1:130" hidden="1" outlineLevel="1" x14ac:dyDescent="0.3">
      <c r="A94" s="4"/>
      <c r="B94" s="4"/>
      <c r="C94" s="102" t="s">
        <v>735</v>
      </c>
      <c r="D94" s="4"/>
      <c r="E94" s="12"/>
      <c r="F94" s="34"/>
      <c r="G94" s="28"/>
      <c r="H94" s="28"/>
      <c r="I94" s="26"/>
      <c r="J94" s="24"/>
      <c r="K94" s="31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93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94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 t="s">
        <v>6</v>
      </c>
      <c r="CX94" s="76"/>
      <c r="CY94" s="76"/>
      <c r="CZ94" s="76"/>
      <c r="DA94" s="76"/>
      <c r="DB94" s="76"/>
      <c r="DC94" s="76"/>
      <c r="DD94" s="76"/>
      <c r="DE94" s="76" t="s">
        <v>6</v>
      </c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95"/>
      <c r="DX94" s="90"/>
      <c r="DY94" s="21"/>
      <c r="DZ94" s="21"/>
    </row>
    <row r="95" spans="1:130" hidden="1" outlineLevel="1" x14ac:dyDescent="0.3">
      <c r="A95" s="4"/>
      <c r="B95" s="4"/>
      <c r="C95" s="108" t="s">
        <v>714</v>
      </c>
      <c r="D95" s="4"/>
      <c r="E95" s="12"/>
      <c r="F95" s="34"/>
      <c r="G95" s="28"/>
      <c r="H95" s="28"/>
      <c r="I95" s="26"/>
      <c r="J95" s="24"/>
      <c r="K95" s="31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93"/>
      <c r="AX95" s="76"/>
      <c r="AY95" s="76"/>
      <c r="AZ95" s="76"/>
      <c r="BA95" s="76"/>
      <c r="BB95" s="76" t="s">
        <v>6</v>
      </c>
      <c r="BC95" s="76"/>
      <c r="BD95" s="76" t="s">
        <v>6</v>
      </c>
      <c r="BE95" s="76"/>
      <c r="BF95" s="76" t="s">
        <v>6</v>
      </c>
      <c r="BG95" s="76"/>
      <c r="BH95" s="76"/>
      <c r="BI95" s="76"/>
      <c r="BJ95" s="76"/>
      <c r="BK95" s="76"/>
      <c r="BL95" s="76"/>
      <c r="BM95" s="76" t="s">
        <v>6</v>
      </c>
      <c r="BN95" s="76" t="s">
        <v>6</v>
      </c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94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95"/>
      <c r="DX95" s="90"/>
      <c r="DY95" s="21"/>
      <c r="DZ95" s="21"/>
    </row>
    <row r="96" spans="1:130" hidden="1" outlineLevel="1" x14ac:dyDescent="0.3">
      <c r="A96" s="4"/>
      <c r="B96" s="4"/>
      <c r="C96" s="102" t="s">
        <v>36</v>
      </c>
      <c r="D96" s="4"/>
      <c r="E96" s="12"/>
      <c r="F96" s="34"/>
      <c r="G96" s="28"/>
      <c r="H96" s="28"/>
      <c r="I96" s="26"/>
      <c r="J96" s="24"/>
      <c r="K96" s="31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93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94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 t="s">
        <v>6</v>
      </c>
      <c r="CX96" s="76"/>
      <c r="CY96" s="76"/>
      <c r="CZ96" s="76"/>
      <c r="DA96" s="76"/>
      <c r="DB96" s="76"/>
      <c r="DC96" s="76"/>
      <c r="DD96" s="76"/>
      <c r="DE96" s="76" t="s">
        <v>6</v>
      </c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95"/>
      <c r="DX96" s="90"/>
      <c r="DY96" s="21"/>
      <c r="DZ96" s="21"/>
    </row>
    <row r="97" spans="1:130" hidden="1" outlineLevel="1" x14ac:dyDescent="0.3">
      <c r="A97" s="4"/>
      <c r="B97" s="4"/>
      <c r="C97" s="108" t="s">
        <v>714</v>
      </c>
      <c r="D97" s="4"/>
      <c r="E97" s="12"/>
      <c r="F97" s="34"/>
      <c r="G97" s="28"/>
      <c r="H97" s="28"/>
      <c r="I97" s="26"/>
      <c r="J97" s="24"/>
      <c r="K97" s="31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93"/>
      <c r="AX97" s="76"/>
      <c r="AY97" s="76"/>
      <c r="AZ97" s="76"/>
      <c r="BA97" s="76"/>
      <c r="BB97" s="76" t="s">
        <v>6</v>
      </c>
      <c r="BC97" s="76"/>
      <c r="BD97" s="76" t="s">
        <v>6</v>
      </c>
      <c r="BE97" s="76"/>
      <c r="BF97" s="76" t="s">
        <v>6</v>
      </c>
      <c r="BG97" s="76"/>
      <c r="BH97" s="76"/>
      <c r="BI97" s="76"/>
      <c r="BJ97" s="76"/>
      <c r="BK97" s="76"/>
      <c r="BL97" s="76"/>
      <c r="BM97" s="76" t="s">
        <v>6</v>
      </c>
      <c r="BN97" s="76" t="s">
        <v>6</v>
      </c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94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95"/>
      <c r="DX97" s="90"/>
      <c r="DY97" s="21"/>
      <c r="DZ97" s="21"/>
    </row>
    <row r="98" spans="1:130" hidden="1" outlineLevel="1" x14ac:dyDescent="0.3">
      <c r="A98" s="4"/>
      <c r="B98" s="4"/>
      <c r="C98" s="102" t="s">
        <v>736</v>
      </c>
      <c r="D98" s="4"/>
      <c r="E98" s="12"/>
      <c r="F98" s="34"/>
      <c r="G98" s="28"/>
      <c r="H98" s="28"/>
      <c r="I98" s="26"/>
      <c r="J98" s="24"/>
      <c r="K98" s="31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93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94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 t="s">
        <v>6</v>
      </c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95"/>
      <c r="DX98" s="90"/>
      <c r="DY98" s="21"/>
      <c r="DZ98" s="21"/>
    </row>
    <row r="99" spans="1:130" hidden="1" outlineLevel="1" x14ac:dyDescent="0.3">
      <c r="A99" s="4"/>
      <c r="B99" s="4"/>
      <c r="C99" s="103" t="s">
        <v>737</v>
      </c>
      <c r="D99" s="4"/>
      <c r="E99" s="12"/>
      <c r="F99" s="34"/>
      <c r="G99" s="28"/>
      <c r="H99" s="28"/>
      <c r="I99" s="26"/>
      <c r="J99" s="24"/>
      <c r="K99" s="31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93"/>
      <c r="AX99" s="76" t="s">
        <v>6</v>
      </c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 t="s">
        <v>6</v>
      </c>
      <c r="BQ99" s="76"/>
      <c r="BR99" s="76"/>
      <c r="BS99" s="76"/>
      <c r="BT99" s="76"/>
      <c r="BU99" s="76"/>
      <c r="BV99" s="76"/>
      <c r="BW99" s="76" t="s">
        <v>6</v>
      </c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 t="s">
        <v>6</v>
      </c>
      <c r="CI99" s="94" t="s">
        <v>6</v>
      </c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 t="s">
        <v>6</v>
      </c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95"/>
      <c r="DX99" s="90"/>
      <c r="DY99" s="21"/>
      <c r="DZ99" s="21"/>
    </row>
    <row r="100" spans="1:130" hidden="1" outlineLevel="1" x14ac:dyDescent="0.3">
      <c r="A100" s="4"/>
      <c r="B100" s="4"/>
      <c r="C100" s="103" t="s">
        <v>738</v>
      </c>
      <c r="D100" s="4"/>
      <c r="E100" s="12"/>
      <c r="F100" s="34"/>
      <c r="G100" s="28"/>
      <c r="H100" s="28"/>
      <c r="I100" s="26"/>
      <c r="J100" s="24"/>
      <c r="K100" s="31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93"/>
      <c r="AX100" s="76" t="s">
        <v>6</v>
      </c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 t="s">
        <v>6</v>
      </c>
      <c r="BQ100" s="76"/>
      <c r="BR100" s="76"/>
      <c r="BS100" s="76"/>
      <c r="BT100" s="76"/>
      <c r="BU100" s="76"/>
      <c r="BV100" s="76"/>
      <c r="BW100" s="76" t="s">
        <v>6</v>
      </c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 t="s">
        <v>6</v>
      </c>
      <c r="CI100" s="94" t="s">
        <v>6</v>
      </c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95"/>
      <c r="DX100" s="90"/>
      <c r="DY100" s="21"/>
      <c r="DZ100" s="21"/>
    </row>
    <row r="101" spans="1:130" hidden="1" outlineLevel="1" x14ac:dyDescent="0.3">
      <c r="A101" s="4"/>
      <c r="B101" s="4"/>
      <c r="C101" s="103" t="s">
        <v>739</v>
      </c>
      <c r="D101" s="4"/>
      <c r="E101" s="12"/>
      <c r="F101" s="34"/>
      <c r="G101" s="28"/>
      <c r="H101" s="28"/>
      <c r="I101" s="26"/>
      <c r="J101" s="24"/>
      <c r="K101" s="31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93"/>
      <c r="AX101" s="76" t="s">
        <v>6</v>
      </c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 t="s">
        <v>6</v>
      </c>
      <c r="BQ101" s="76"/>
      <c r="BR101" s="76"/>
      <c r="BS101" s="76"/>
      <c r="BT101" s="76"/>
      <c r="BU101" s="76"/>
      <c r="BV101" s="76"/>
      <c r="BW101" s="76" t="s">
        <v>6</v>
      </c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 t="s">
        <v>6</v>
      </c>
      <c r="CI101" s="94" t="s">
        <v>6</v>
      </c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95"/>
      <c r="DX101" s="90"/>
      <c r="DY101" s="21"/>
      <c r="DZ101" s="21"/>
    </row>
    <row r="102" spans="1:130" hidden="1" outlineLevel="1" x14ac:dyDescent="0.3">
      <c r="A102" s="4"/>
      <c r="B102" s="4"/>
      <c r="C102" s="103" t="s">
        <v>740</v>
      </c>
      <c r="D102" s="4"/>
      <c r="E102" s="12"/>
      <c r="F102" s="34"/>
      <c r="G102" s="28"/>
      <c r="H102" s="28"/>
      <c r="I102" s="26"/>
      <c r="J102" s="24"/>
      <c r="K102" s="31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93" t="s">
        <v>6</v>
      </c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 t="s">
        <v>6</v>
      </c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 t="s">
        <v>6</v>
      </c>
      <c r="CI102" s="94" t="s">
        <v>6</v>
      </c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95"/>
      <c r="DX102" s="90"/>
      <c r="DY102" s="21"/>
      <c r="DZ102" s="21"/>
    </row>
    <row r="103" spans="1:130" hidden="1" outlineLevel="1" x14ac:dyDescent="0.3">
      <c r="A103" s="4"/>
      <c r="B103" s="4"/>
      <c r="C103" s="103" t="s">
        <v>741</v>
      </c>
      <c r="D103" s="4"/>
      <c r="E103" s="12"/>
      <c r="F103" s="34"/>
      <c r="G103" s="28"/>
      <c r="H103" s="28"/>
      <c r="I103" s="26"/>
      <c r="J103" s="24"/>
      <c r="K103" s="31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93"/>
      <c r="AX103" s="76" t="s">
        <v>6</v>
      </c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 t="s">
        <v>6</v>
      </c>
      <c r="BQ103" s="76"/>
      <c r="BR103" s="76"/>
      <c r="BS103" s="76"/>
      <c r="BT103" s="76"/>
      <c r="BU103" s="76"/>
      <c r="BV103" s="76"/>
      <c r="BW103" s="76"/>
      <c r="BX103" s="76"/>
      <c r="BY103" s="76"/>
      <c r="BZ103" s="76" t="s">
        <v>6</v>
      </c>
      <c r="CA103" s="76"/>
      <c r="CB103" s="76"/>
      <c r="CC103" s="76"/>
      <c r="CD103" s="76"/>
      <c r="CE103" s="76"/>
      <c r="CF103" s="76"/>
      <c r="CG103" s="76"/>
      <c r="CH103" s="76" t="s">
        <v>6</v>
      </c>
      <c r="CI103" s="94" t="s">
        <v>6</v>
      </c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95"/>
      <c r="DX103" s="90"/>
      <c r="DY103" s="21"/>
      <c r="DZ103" s="21"/>
    </row>
    <row r="104" spans="1:130" hidden="1" outlineLevel="1" x14ac:dyDescent="0.3">
      <c r="A104" s="4"/>
      <c r="B104" s="4"/>
      <c r="C104" s="103" t="s">
        <v>742</v>
      </c>
      <c r="D104" s="4"/>
      <c r="E104" s="12"/>
      <c r="F104" s="34"/>
      <c r="G104" s="28"/>
      <c r="H104" s="28"/>
      <c r="I104" s="26"/>
      <c r="J104" s="24"/>
      <c r="K104" s="31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93" t="s">
        <v>6</v>
      </c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 t="s">
        <v>6</v>
      </c>
      <c r="CI104" s="94" t="s">
        <v>6</v>
      </c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95"/>
      <c r="DX104" s="90"/>
      <c r="DY104" s="21"/>
      <c r="DZ104" s="21"/>
    </row>
    <row r="105" spans="1:130" hidden="1" outlineLevel="1" x14ac:dyDescent="0.3">
      <c r="A105" s="4"/>
      <c r="B105" s="4"/>
      <c r="C105" s="103" t="s">
        <v>743</v>
      </c>
      <c r="D105" s="4"/>
      <c r="E105" s="12"/>
      <c r="F105" s="34"/>
      <c r="G105" s="28"/>
      <c r="H105" s="28"/>
      <c r="I105" s="26"/>
      <c r="J105" s="24"/>
      <c r="K105" s="31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93"/>
      <c r="AX105" s="76" t="s">
        <v>6</v>
      </c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 t="s">
        <v>6</v>
      </c>
      <c r="CI105" s="94" t="s">
        <v>6</v>
      </c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95"/>
      <c r="DX105" s="90"/>
      <c r="DY105" s="21"/>
      <c r="DZ105" s="21"/>
    </row>
    <row r="106" spans="1:130" collapsed="1" x14ac:dyDescent="0.3">
      <c r="A106" s="4" t="s">
        <v>8</v>
      </c>
      <c r="B106" s="4" t="s">
        <v>52</v>
      </c>
      <c r="C106" s="111" t="s">
        <v>53</v>
      </c>
      <c r="D106" s="4" t="s">
        <v>54</v>
      </c>
      <c r="E106" s="12">
        <v>2814.12</v>
      </c>
      <c r="F106" s="34">
        <f t="shared" si="0"/>
        <v>396790.92</v>
      </c>
      <c r="G106" s="28">
        <f t="shared" si="5"/>
        <v>141</v>
      </c>
      <c r="H106" s="28">
        <f t="shared" si="1"/>
        <v>12</v>
      </c>
      <c r="I106" s="26">
        <f t="shared" si="2"/>
        <v>0</v>
      </c>
      <c r="J106" s="24">
        <f t="shared" si="3"/>
        <v>0</v>
      </c>
      <c r="K106" s="31">
        <f t="shared" si="4"/>
        <v>0</v>
      </c>
      <c r="L106" s="9">
        <v>46</v>
      </c>
      <c r="M106" s="9">
        <v>69</v>
      </c>
      <c r="N106" s="9">
        <v>20</v>
      </c>
      <c r="O106" s="9">
        <v>52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E106" s="6">
        <v>129449.51999999999</v>
      </c>
      <c r="AF106" s="6">
        <v>194174.28</v>
      </c>
      <c r="AG106" s="6">
        <v>56282.399999999994</v>
      </c>
      <c r="AH106" s="6">
        <v>146334.24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93" t="s">
        <v>631</v>
      </c>
      <c r="AX106" s="76" t="s">
        <v>631</v>
      </c>
      <c r="AY106" s="76" t="s">
        <v>631</v>
      </c>
      <c r="AZ106" s="76"/>
      <c r="BA106" s="76"/>
      <c r="BB106" s="76"/>
      <c r="BC106" s="76"/>
      <c r="BD106" s="76"/>
      <c r="BE106" s="76" t="s">
        <v>631</v>
      </c>
      <c r="BF106" s="76" t="s">
        <v>631</v>
      </c>
      <c r="BG106" s="76"/>
      <c r="BH106" s="76"/>
      <c r="BI106" s="76"/>
      <c r="BJ106" s="76"/>
      <c r="BK106" s="76"/>
      <c r="BL106" s="76"/>
      <c r="BM106" s="76"/>
      <c r="BN106" s="76"/>
      <c r="BO106" s="76"/>
      <c r="BP106" s="76" t="s">
        <v>631</v>
      </c>
      <c r="BQ106" s="76"/>
      <c r="BR106" s="76" t="s">
        <v>631</v>
      </c>
      <c r="BS106" s="76"/>
      <c r="BT106" s="76"/>
      <c r="BU106" s="76"/>
      <c r="BV106" s="76"/>
      <c r="BW106" s="76"/>
      <c r="BX106" s="76"/>
      <c r="BY106" s="76"/>
      <c r="BZ106" s="76"/>
      <c r="CA106" s="76"/>
      <c r="CB106" s="76" t="s">
        <v>631</v>
      </c>
      <c r="CC106" s="76" t="s">
        <v>631</v>
      </c>
      <c r="CD106" s="76" t="s">
        <v>631</v>
      </c>
      <c r="CE106" s="76"/>
      <c r="CF106" s="76" t="s">
        <v>631</v>
      </c>
      <c r="CG106" s="76" t="s">
        <v>631</v>
      </c>
      <c r="CH106" s="76" t="s">
        <v>631</v>
      </c>
      <c r="CI106" s="76" t="s">
        <v>631</v>
      </c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 t="s">
        <v>631</v>
      </c>
      <c r="CX106" s="76"/>
      <c r="CY106" s="76"/>
      <c r="CZ106" s="76"/>
      <c r="DA106" s="76"/>
      <c r="DB106" s="76" t="s">
        <v>631</v>
      </c>
      <c r="DC106" s="76"/>
      <c r="DD106" s="76"/>
      <c r="DE106" s="76"/>
      <c r="DF106" s="76"/>
      <c r="DG106" s="76"/>
      <c r="DH106" s="96" t="s">
        <v>631</v>
      </c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95"/>
      <c r="DX106" s="90">
        <f>COUNTIF(AW106:DW106,"x")</f>
        <v>17</v>
      </c>
      <c r="DY106" s="21"/>
      <c r="DZ106" s="21"/>
    </row>
    <row r="107" spans="1:130" hidden="1" outlineLevel="1" x14ac:dyDescent="0.3">
      <c r="A107" s="4"/>
      <c r="B107" s="4"/>
      <c r="C107" s="110" t="s">
        <v>834</v>
      </c>
      <c r="D107" s="4"/>
      <c r="E107" s="12"/>
      <c r="F107" s="34"/>
      <c r="G107" s="28"/>
      <c r="H107" s="28"/>
      <c r="I107" s="26"/>
      <c r="J107" s="24"/>
      <c r="K107" s="31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93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 t="s">
        <v>6</v>
      </c>
      <c r="CC107" s="76"/>
      <c r="CD107" s="76"/>
      <c r="CE107" s="76"/>
      <c r="CF107" s="76" t="s">
        <v>6</v>
      </c>
      <c r="CG107" s="76"/>
      <c r="CH107" s="76" t="s">
        <v>6</v>
      </c>
      <c r="CI107" s="76" t="s">
        <v>6</v>
      </c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 t="s">
        <v>6</v>
      </c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9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95"/>
      <c r="DX107" s="90"/>
      <c r="DY107" s="21"/>
      <c r="DZ107" s="21"/>
    </row>
    <row r="108" spans="1:130" hidden="1" outlineLevel="1" x14ac:dyDescent="0.3">
      <c r="A108" s="4"/>
      <c r="B108" s="4"/>
      <c r="C108" s="110" t="s">
        <v>835</v>
      </c>
      <c r="D108" s="4"/>
      <c r="E108" s="12"/>
      <c r="F108" s="34"/>
      <c r="G108" s="28"/>
      <c r="H108" s="28"/>
      <c r="I108" s="26"/>
      <c r="J108" s="24"/>
      <c r="K108" s="31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93" t="s">
        <v>6</v>
      </c>
      <c r="AX108" s="76"/>
      <c r="AY108" s="76"/>
      <c r="AZ108" s="76"/>
      <c r="BA108" s="76"/>
      <c r="BB108" s="76"/>
      <c r="BC108" s="76"/>
      <c r="BD108" s="76"/>
      <c r="BE108" s="76"/>
      <c r="BF108" s="76" t="s">
        <v>6</v>
      </c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 t="s">
        <v>6</v>
      </c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 t="s">
        <v>6</v>
      </c>
      <c r="CI108" s="76" t="s">
        <v>6</v>
      </c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9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95"/>
      <c r="DX108" s="90"/>
      <c r="DY108" s="21"/>
      <c r="DZ108" s="21"/>
    </row>
    <row r="109" spans="1:130" hidden="1" outlineLevel="1" x14ac:dyDescent="0.3">
      <c r="A109" s="4"/>
      <c r="B109" s="4"/>
      <c r="C109" s="110" t="s">
        <v>836</v>
      </c>
      <c r="D109" s="4"/>
      <c r="E109" s="12"/>
      <c r="F109" s="34"/>
      <c r="G109" s="28"/>
      <c r="H109" s="28"/>
      <c r="I109" s="26"/>
      <c r="J109" s="24"/>
      <c r="K109" s="31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93" t="s">
        <v>6</v>
      </c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 t="s">
        <v>6</v>
      </c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 t="s">
        <v>6</v>
      </c>
      <c r="CI109" s="76" t="s">
        <v>6</v>
      </c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9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95"/>
      <c r="DX109" s="90"/>
      <c r="DY109" s="21"/>
      <c r="DZ109" s="21"/>
    </row>
    <row r="110" spans="1:130" hidden="1" outlineLevel="1" x14ac:dyDescent="0.3">
      <c r="A110" s="4"/>
      <c r="B110" s="4"/>
      <c r="C110" s="110" t="s">
        <v>837</v>
      </c>
      <c r="D110" s="4"/>
      <c r="E110" s="12"/>
      <c r="F110" s="34"/>
      <c r="G110" s="28"/>
      <c r="H110" s="28"/>
      <c r="I110" s="26"/>
      <c r="J110" s="24"/>
      <c r="K110" s="31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93"/>
      <c r="AX110" s="76" t="s">
        <v>6</v>
      </c>
      <c r="AY110" s="76"/>
      <c r="AZ110" s="76"/>
      <c r="BA110" s="76"/>
      <c r="BB110" s="76"/>
      <c r="BC110" s="76"/>
      <c r="BD110" s="76"/>
      <c r="BE110" s="76"/>
      <c r="BF110" s="76" t="s">
        <v>6</v>
      </c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 t="s">
        <v>6</v>
      </c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 t="s">
        <v>6</v>
      </c>
      <c r="CI110" s="76" t="s">
        <v>6</v>
      </c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9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95"/>
      <c r="DX110" s="90"/>
      <c r="DY110" s="21"/>
      <c r="DZ110" s="21"/>
    </row>
    <row r="111" spans="1:130" hidden="1" outlineLevel="1" x14ac:dyDescent="0.3">
      <c r="A111" s="4"/>
      <c r="B111" s="4"/>
      <c r="C111" s="110" t="s">
        <v>838</v>
      </c>
      <c r="D111" s="4"/>
      <c r="E111" s="12"/>
      <c r="F111" s="34"/>
      <c r="G111" s="28"/>
      <c r="H111" s="28"/>
      <c r="I111" s="26"/>
      <c r="J111" s="24"/>
      <c r="K111" s="31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93"/>
      <c r="AX111" s="76"/>
      <c r="AY111" s="76"/>
      <c r="AZ111" s="76"/>
      <c r="BA111" s="76"/>
      <c r="BB111" s="76"/>
      <c r="BC111" s="76"/>
      <c r="BD111" s="76"/>
      <c r="BE111" s="76"/>
      <c r="BF111" s="76" t="s">
        <v>6</v>
      </c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 t="s">
        <v>6</v>
      </c>
      <c r="CD111" s="76" t="s">
        <v>6</v>
      </c>
      <c r="CE111" s="76"/>
      <c r="CF111" s="76" t="s">
        <v>6</v>
      </c>
      <c r="CG111" s="76" t="s">
        <v>6</v>
      </c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9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95"/>
      <c r="DX111" s="90"/>
      <c r="DY111" s="21"/>
      <c r="DZ111" s="21"/>
    </row>
    <row r="112" spans="1:130" hidden="1" outlineLevel="1" x14ac:dyDescent="0.3">
      <c r="A112" s="4"/>
      <c r="B112" s="4"/>
      <c r="C112" s="110" t="s">
        <v>839</v>
      </c>
      <c r="D112" s="4"/>
      <c r="E112" s="12"/>
      <c r="F112" s="34"/>
      <c r="G112" s="28"/>
      <c r="H112" s="28"/>
      <c r="I112" s="26"/>
      <c r="J112" s="24"/>
      <c r="K112" s="31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93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 t="s">
        <v>6</v>
      </c>
      <c r="CD112" s="76" t="s">
        <v>6</v>
      </c>
      <c r="CE112" s="76"/>
      <c r="CF112" s="76" t="s">
        <v>6</v>
      </c>
      <c r="CG112" s="76"/>
      <c r="CH112" s="76" t="s">
        <v>6</v>
      </c>
      <c r="CI112" s="76" t="s">
        <v>6</v>
      </c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9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95"/>
      <c r="DX112" s="90"/>
      <c r="DY112" s="21"/>
      <c r="DZ112" s="21"/>
    </row>
    <row r="113" spans="1:130" hidden="1" outlineLevel="1" x14ac:dyDescent="0.3">
      <c r="A113" s="4"/>
      <c r="B113" s="4"/>
      <c r="C113" s="110" t="s">
        <v>840</v>
      </c>
      <c r="D113" s="4"/>
      <c r="E113" s="12"/>
      <c r="F113" s="34"/>
      <c r="G113" s="28"/>
      <c r="H113" s="28"/>
      <c r="I113" s="26"/>
      <c r="J113" s="24"/>
      <c r="K113" s="31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93"/>
      <c r="AX113" s="76" t="s">
        <v>6</v>
      </c>
      <c r="AY113" s="76"/>
      <c r="AZ113" s="76"/>
      <c r="BA113" s="76"/>
      <c r="BB113" s="76"/>
      <c r="BC113" s="76"/>
      <c r="BD113" s="76"/>
      <c r="BE113" s="76" t="s">
        <v>6</v>
      </c>
      <c r="BF113" s="76" t="s">
        <v>6</v>
      </c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9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95"/>
      <c r="DX113" s="90"/>
      <c r="DY113" s="21"/>
      <c r="DZ113" s="21"/>
    </row>
    <row r="114" spans="1:130" hidden="1" outlineLevel="1" x14ac:dyDescent="0.3">
      <c r="A114" s="4"/>
      <c r="B114" s="4"/>
      <c r="C114" s="110" t="s">
        <v>841</v>
      </c>
      <c r="D114" s="4"/>
      <c r="E114" s="12"/>
      <c r="F114" s="34"/>
      <c r="G114" s="28"/>
      <c r="H114" s="28"/>
      <c r="I114" s="26"/>
      <c r="J114" s="24"/>
      <c r="K114" s="31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93"/>
      <c r="AX114" s="76" t="s">
        <v>6</v>
      </c>
      <c r="AY114" s="76"/>
      <c r="AZ114" s="76"/>
      <c r="BA114" s="76"/>
      <c r="BB114" s="76"/>
      <c r="BC114" s="76"/>
      <c r="BD114" s="76"/>
      <c r="BE114" s="76"/>
      <c r="BF114" s="76" t="s">
        <v>6</v>
      </c>
      <c r="BG114" s="76"/>
      <c r="BH114" s="76"/>
      <c r="BI114" s="76"/>
      <c r="BJ114" s="76"/>
      <c r="BK114" s="76"/>
      <c r="BL114" s="76"/>
      <c r="BM114" s="76"/>
      <c r="BN114" s="76"/>
      <c r="BO114" s="76"/>
      <c r="BP114" s="76" t="s">
        <v>6</v>
      </c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9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95"/>
      <c r="DX114" s="90"/>
      <c r="DY114" s="21"/>
      <c r="DZ114" s="21"/>
    </row>
    <row r="115" spans="1:130" hidden="1" outlineLevel="1" x14ac:dyDescent="0.3">
      <c r="A115" s="4"/>
      <c r="B115" s="4"/>
      <c r="C115" s="110" t="s">
        <v>842</v>
      </c>
      <c r="D115" s="4"/>
      <c r="E115" s="12"/>
      <c r="F115" s="34"/>
      <c r="G115" s="28"/>
      <c r="H115" s="28"/>
      <c r="I115" s="26"/>
      <c r="J115" s="24"/>
      <c r="K115" s="31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93"/>
      <c r="AX115" s="76"/>
      <c r="AY115" s="76" t="s">
        <v>6</v>
      </c>
      <c r="AZ115" s="76"/>
      <c r="BA115" s="76"/>
      <c r="BB115" s="76"/>
      <c r="BC115" s="76"/>
      <c r="BD115" s="76"/>
      <c r="BE115" s="76"/>
      <c r="BF115" s="76" t="s">
        <v>6</v>
      </c>
      <c r="BG115" s="76"/>
      <c r="BH115" s="76"/>
      <c r="BI115" s="76"/>
      <c r="BJ115" s="76"/>
      <c r="BK115" s="76"/>
      <c r="BL115" s="76"/>
      <c r="BM115" s="76"/>
      <c r="BN115" s="76"/>
      <c r="BO115" s="76"/>
      <c r="BP115" s="76" t="s">
        <v>6</v>
      </c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 t="s">
        <v>6</v>
      </c>
      <c r="CI115" s="76" t="s">
        <v>6</v>
      </c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9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95"/>
      <c r="DX115" s="90"/>
      <c r="DY115" s="21"/>
      <c r="DZ115" s="21"/>
    </row>
    <row r="116" spans="1:130" hidden="1" outlineLevel="1" x14ac:dyDescent="0.3">
      <c r="A116" s="4"/>
      <c r="B116" s="4"/>
      <c r="C116" s="110" t="s">
        <v>843</v>
      </c>
      <c r="D116" s="4"/>
      <c r="E116" s="12"/>
      <c r="F116" s="34"/>
      <c r="G116" s="28"/>
      <c r="H116" s="28"/>
      <c r="I116" s="26"/>
      <c r="J116" s="24"/>
      <c r="K116" s="31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93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 t="s">
        <v>6</v>
      </c>
      <c r="DC116" s="76"/>
      <c r="DD116" s="76"/>
      <c r="DE116" s="76"/>
      <c r="DF116" s="76"/>
      <c r="DG116" s="76"/>
      <c r="DH116" s="9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95"/>
      <c r="DX116" s="90"/>
      <c r="DY116" s="21"/>
      <c r="DZ116" s="21"/>
    </row>
    <row r="117" spans="1:130" hidden="1" outlineLevel="1" x14ac:dyDescent="0.3">
      <c r="A117" s="4"/>
      <c r="B117" s="4"/>
      <c r="C117" s="110" t="s">
        <v>844</v>
      </c>
      <c r="D117" s="4"/>
      <c r="E117" s="12"/>
      <c r="F117" s="34"/>
      <c r="G117" s="28"/>
      <c r="H117" s="28"/>
      <c r="I117" s="26"/>
      <c r="J117" s="24"/>
      <c r="K117" s="31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93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 t="s">
        <v>6</v>
      </c>
      <c r="DC117" s="76"/>
      <c r="DD117" s="76"/>
      <c r="DE117" s="76"/>
      <c r="DF117" s="76"/>
      <c r="DG117" s="76"/>
      <c r="DH117" s="9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95"/>
      <c r="DX117" s="90"/>
      <c r="DY117" s="21"/>
      <c r="DZ117" s="21"/>
    </row>
    <row r="118" spans="1:130" collapsed="1" x14ac:dyDescent="0.3">
      <c r="A118" s="4" t="s">
        <v>8</v>
      </c>
      <c r="B118" s="4" t="s">
        <v>52</v>
      </c>
      <c r="C118" s="91" t="s">
        <v>55</v>
      </c>
      <c r="D118" s="4" t="s">
        <v>54</v>
      </c>
      <c r="E118" s="12">
        <v>0</v>
      </c>
      <c r="F118" s="34">
        <f t="shared" si="0"/>
        <v>0</v>
      </c>
      <c r="G118" s="28">
        <f t="shared" si="5"/>
        <v>1</v>
      </c>
      <c r="H118" s="28">
        <f t="shared" si="1"/>
        <v>1</v>
      </c>
      <c r="I118" s="26">
        <f t="shared" si="2"/>
        <v>0</v>
      </c>
      <c r="J118" s="24">
        <f t="shared" si="3"/>
        <v>0</v>
      </c>
      <c r="K118" s="31">
        <f t="shared" si="4"/>
        <v>0</v>
      </c>
      <c r="L118" s="9">
        <v>0</v>
      </c>
      <c r="M118" s="9">
        <v>1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E118" s="6">
        <v>0</v>
      </c>
      <c r="AF118" s="6">
        <v>3210.04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93" t="s">
        <v>631</v>
      </c>
      <c r="AX118" s="76" t="s">
        <v>631</v>
      </c>
      <c r="AY118" s="76" t="s">
        <v>631</v>
      </c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 t="s">
        <v>631</v>
      </c>
      <c r="BQ118" s="76"/>
      <c r="BR118" s="76" t="s">
        <v>631</v>
      </c>
      <c r="BS118" s="76"/>
      <c r="BT118" s="76"/>
      <c r="BU118" s="76"/>
      <c r="BV118" s="76"/>
      <c r="BW118" s="76"/>
      <c r="BX118" s="76"/>
      <c r="BY118" s="76"/>
      <c r="BZ118" s="76" t="s">
        <v>631</v>
      </c>
      <c r="CA118" s="76"/>
      <c r="CB118" s="76" t="s">
        <v>631</v>
      </c>
      <c r="CC118" s="76"/>
      <c r="CD118" s="76" t="s">
        <v>631</v>
      </c>
      <c r="CE118" s="76"/>
      <c r="CF118" s="76" t="s">
        <v>631</v>
      </c>
      <c r="CG118" s="76"/>
      <c r="CH118" s="76" t="s">
        <v>631</v>
      </c>
      <c r="CI118" s="94" t="s">
        <v>631</v>
      </c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 t="s">
        <v>631</v>
      </c>
      <c r="CX118" s="76"/>
      <c r="CY118" s="76"/>
      <c r="CZ118" s="76"/>
      <c r="DA118" s="76"/>
      <c r="DB118" s="76" t="s">
        <v>631</v>
      </c>
      <c r="DC118" s="76"/>
      <c r="DD118" s="76"/>
      <c r="DE118" s="76"/>
      <c r="DF118" s="76"/>
      <c r="DG118" s="76"/>
      <c r="DH118" s="76" t="s">
        <v>631</v>
      </c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95"/>
      <c r="DX118" s="90">
        <f>COUNTIF(AW118:DW118,"x")</f>
        <v>14</v>
      </c>
      <c r="DY118" s="21"/>
      <c r="DZ118" s="21"/>
    </row>
    <row r="119" spans="1:130" hidden="1" outlineLevel="1" x14ac:dyDescent="0.3">
      <c r="A119" s="4"/>
      <c r="B119" s="4"/>
      <c r="C119" s="102" t="s">
        <v>744</v>
      </c>
      <c r="D119" s="4"/>
      <c r="E119" s="12"/>
      <c r="F119" s="34"/>
      <c r="G119" s="28"/>
      <c r="H119" s="28"/>
      <c r="I119" s="26"/>
      <c r="J119" s="24"/>
      <c r="K119" s="31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97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 t="s">
        <v>631</v>
      </c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 t="s">
        <v>6</v>
      </c>
      <c r="CE119" s="76"/>
      <c r="CF119" s="76" t="s">
        <v>6</v>
      </c>
      <c r="CG119" s="76"/>
      <c r="CH119" s="76" t="s">
        <v>6</v>
      </c>
      <c r="CI119" s="94" t="s">
        <v>6</v>
      </c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 t="s">
        <v>6</v>
      </c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95"/>
      <c r="DX119" s="90"/>
      <c r="DY119" s="21"/>
      <c r="DZ119" s="21"/>
    </row>
    <row r="120" spans="1:130" hidden="1" outlineLevel="1" x14ac:dyDescent="0.3">
      <c r="A120" s="4"/>
      <c r="B120" s="4"/>
      <c r="C120" s="102" t="s">
        <v>745</v>
      </c>
      <c r="D120" s="4"/>
      <c r="E120" s="12"/>
      <c r="F120" s="34"/>
      <c r="G120" s="28"/>
      <c r="H120" s="28"/>
      <c r="I120" s="26"/>
      <c r="J120" s="24"/>
      <c r="K120" s="31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97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 t="s">
        <v>631</v>
      </c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 t="s">
        <v>6</v>
      </c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95"/>
      <c r="DX120" s="90"/>
      <c r="DY120" s="21"/>
      <c r="DZ120" s="21"/>
    </row>
    <row r="121" spans="1:130" hidden="1" outlineLevel="1" x14ac:dyDescent="0.3">
      <c r="A121" s="4"/>
      <c r="B121" s="4"/>
      <c r="C121" s="102" t="s">
        <v>55</v>
      </c>
      <c r="D121" s="4"/>
      <c r="E121" s="12"/>
      <c r="F121" s="34"/>
      <c r="G121" s="28"/>
      <c r="H121" s="28"/>
      <c r="I121" s="26"/>
      <c r="J121" s="24"/>
      <c r="K121" s="31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97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 t="s">
        <v>631</v>
      </c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 t="s">
        <v>6</v>
      </c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95"/>
      <c r="DX121" s="90"/>
      <c r="DY121" s="21"/>
      <c r="DZ121" s="21"/>
    </row>
    <row r="122" spans="1:130" hidden="1" outlineLevel="1" x14ac:dyDescent="0.3">
      <c r="A122" s="4"/>
      <c r="B122" s="4"/>
      <c r="C122" s="104" t="s">
        <v>746</v>
      </c>
      <c r="D122" s="4"/>
      <c r="E122" s="12"/>
      <c r="F122" s="34"/>
      <c r="G122" s="28"/>
      <c r="H122" s="28"/>
      <c r="I122" s="26"/>
      <c r="J122" s="24"/>
      <c r="K122" s="31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97" t="s">
        <v>6</v>
      </c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 t="s">
        <v>631</v>
      </c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95"/>
      <c r="DX122" s="90"/>
      <c r="DY122" s="21"/>
      <c r="DZ122" s="21"/>
    </row>
    <row r="123" spans="1:130" hidden="1" outlineLevel="1" x14ac:dyDescent="0.3">
      <c r="A123" s="4"/>
      <c r="B123" s="4"/>
      <c r="C123" s="104" t="s">
        <v>747</v>
      </c>
      <c r="D123" s="4"/>
      <c r="E123" s="12"/>
      <c r="F123" s="34"/>
      <c r="G123" s="28"/>
      <c r="H123" s="28"/>
      <c r="I123" s="26"/>
      <c r="J123" s="24"/>
      <c r="K123" s="31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97" t="s">
        <v>6</v>
      </c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 t="s">
        <v>631</v>
      </c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95"/>
      <c r="DX123" s="90"/>
      <c r="DY123" s="21"/>
      <c r="DZ123" s="21"/>
    </row>
    <row r="124" spans="1:130" hidden="1" outlineLevel="1" x14ac:dyDescent="0.3">
      <c r="A124" s="4"/>
      <c r="B124" s="4"/>
      <c r="C124" s="104" t="s">
        <v>748</v>
      </c>
      <c r="D124" s="4"/>
      <c r="E124" s="12"/>
      <c r="F124" s="34"/>
      <c r="G124" s="28"/>
      <c r="H124" s="28"/>
      <c r="I124" s="26"/>
      <c r="J124" s="24"/>
      <c r="K124" s="31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97"/>
      <c r="AX124" s="76"/>
      <c r="AY124" s="76" t="s">
        <v>6</v>
      </c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 t="s">
        <v>631</v>
      </c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95"/>
      <c r="DX124" s="90"/>
      <c r="DY124" s="21"/>
      <c r="DZ124" s="21"/>
    </row>
    <row r="125" spans="1:130" hidden="1" outlineLevel="1" x14ac:dyDescent="0.3">
      <c r="A125" s="4"/>
      <c r="B125" s="4"/>
      <c r="C125" s="104" t="s">
        <v>749</v>
      </c>
      <c r="D125" s="4"/>
      <c r="E125" s="12"/>
      <c r="F125" s="34"/>
      <c r="G125" s="28"/>
      <c r="H125" s="28"/>
      <c r="I125" s="26"/>
      <c r="J125" s="24"/>
      <c r="K125" s="31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97" t="s">
        <v>6</v>
      </c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 t="s">
        <v>631</v>
      </c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 t="s">
        <v>6</v>
      </c>
      <c r="CI125" s="76" t="s">
        <v>6</v>
      </c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95"/>
      <c r="DX125" s="90"/>
      <c r="DY125" s="21"/>
      <c r="DZ125" s="21"/>
    </row>
    <row r="126" spans="1:130" hidden="1" outlineLevel="1" x14ac:dyDescent="0.3">
      <c r="A126" s="4"/>
      <c r="B126" s="4"/>
      <c r="C126" s="104" t="s">
        <v>750</v>
      </c>
      <c r="D126" s="4"/>
      <c r="E126" s="12"/>
      <c r="F126" s="34"/>
      <c r="G126" s="28"/>
      <c r="H126" s="28"/>
      <c r="I126" s="26"/>
      <c r="J126" s="24"/>
      <c r="K126" s="31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97" t="s">
        <v>6</v>
      </c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 t="s">
        <v>631</v>
      </c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 t="s">
        <v>6</v>
      </c>
      <c r="CI126" s="76" t="s">
        <v>6</v>
      </c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95"/>
      <c r="DX126" s="90"/>
      <c r="DY126" s="21"/>
      <c r="DZ126" s="21"/>
    </row>
    <row r="127" spans="1:130" hidden="1" outlineLevel="1" x14ac:dyDescent="0.3">
      <c r="A127" s="4"/>
      <c r="B127" s="4"/>
      <c r="C127" s="104" t="s">
        <v>751</v>
      </c>
      <c r="D127" s="4"/>
      <c r="E127" s="12"/>
      <c r="F127" s="34"/>
      <c r="G127" s="28"/>
      <c r="H127" s="28"/>
      <c r="I127" s="26"/>
      <c r="J127" s="24"/>
      <c r="K127" s="31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97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 t="s">
        <v>631</v>
      </c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 t="s">
        <v>6</v>
      </c>
      <c r="CC127" s="76"/>
      <c r="CD127" s="76"/>
      <c r="CE127" s="76"/>
      <c r="CF127" s="76" t="s">
        <v>6</v>
      </c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95"/>
      <c r="DX127" s="90"/>
      <c r="DY127" s="21"/>
      <c r="DZ127" s="21"/>
    </row>
    <row r="128" spans="1:130" hidden="1" outlineLevel="1" x14ac:dyDescent="0.3">
      <c r="A128" s="4"/>
      <c r="B128" s="4"/>
      <c r="C128" s="104" t="s">
        <v>752</v>
      </c>
      <c r="D128" s="4"/>
      <c r="E128" s="12"/>
      <c r="F128" s="34"/>
      <c r="G128" s="28"/>
      <c r="H128" s="28"/>
      <c r="I128" s="26"/>
      <c r="J128" s="24"/>
      <c r="K128" s="31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97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 t="s">
        <v>631</v>
      </c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 t="s">
        <v>6</v>
      </c>
      <c r="CC128" s="76"/>
      <c r="CD128" s="76"/>
      <c r="CE128" s="76"/>
      <c r="CF128" s="76" t="s">
        <v>6</v>
      </c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95"/>
      <c r="DX128" s="90"/>
      <c r="DY128" s="21"/>
      <c r="DZ128" s="21"/>
    </row>
    <row r="129" spans="1:130" hidden="1" outlineLevel="1" x14ac:dyDescent="0.3">
      <c r="A129" s="4"/>
      <c r="B129" s="4"/>
      <c r="C129" s="104" t="s">
        <v>753</v>
      </c>
      <c r="D129" s="4"/>
      <c r="E129" s="12"/>
      <c r="F129" s="34"/>
      <c r="G129" s="28"/>
      <c r="H129" s="28"/>
      <c r="I129" s="26"/>
      <c r="J129" s="24"/>
      <c r="K129" s="31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97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 t="s">
        <v>631</v>
      </c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 t="s">
        <v>6</v>
      </c>
      <c r="CC129" s="76"/>
      <c r="CD129" s="76"/>
      <c r="CE129" s="76"/>
      <c r="CF129" s="76" t="s">
        <v>6</v>
      </c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95"/>
      <c r="DX129" s="90"/>
      <c r="DY129" s="21"/>
      <c r="DZ129" s="21"/>
    </row>
    <row r="130" spans="1:130" hidden="1" outlineLevel="1" x14ac:dyDescent="0.3">
      <c r="A130" s="4"/>
      <c r="B130" s="4"/>
      <c r="C130" s="104" t="s">
        <v>754</v>
      </c>
      <c r="D130" s="4"/>
      <c r="E130" s="12"/>
      <c r="F130" s="34"/>
      <c r="G130" s="28"/>
      <c r="H130" s="28"/>
      <c r="I130" s="26"/>
      <c r="J130" s="24"/>
      <c r="K130" s="31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97"/>
      <c r="AX130" s="76"/>
      <c r="AY130" s="76" t="s">
        <v>6</v>
      </c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 t="s">
        <v>631</v>
      </c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95"/>
      <c r="DX130" s="90"/>
      <c r="DY130" s="21"/>
      <c r="DZ130" s="21"/>
    </row>
    <row r="131" spans="1:130" hidden="1" outlineLevel="1" x14ac:dyDescent="0.3">
      <c r="A131" s="4"/>
      <c r="B131" s="4"/>
      <c r="C131" s="104" t="s">
        <v>755</v>
      </c>
      <c r="D131" s="4"/>
      <c r="E131" s="12"/>
      <c r="F131" s="34"/>
      <c r="G131" s="28"/>
      <c r="H131" s="28"/>
      <c r="I131" s="26"/>
      <c r="J131" s="24"/>
      <c r="K131" s="31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97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 t="s">
        <v>631</v>
      </c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 t="s">
        <v>6</v>
      </c>
      <c r="CC131" s="76"/>
      <c r="CD131" s="76"/>
      <c r="CE131" s="76"/>
      <c r="CF131" s="76" t="s">
        <v>6</v>
      </c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95"/>
      <c r="DX131" s="90"/>
      <c r="DY131" s="21"/>
      <c r="DZ131" s="21"/>
    </row>
    <row r="132" spans="1:130" hidden="1" outlineLevel="1" x14ac:dyDescent="0.3">
      <c r="A132" s="4"/>
      <c r="B132" s="4"/>
      <c r="C132" s="104" t="s">
        <v>756</v>
      </c>
      <c r="D132" s="4"/>
      <c r="E132" s="12"/>
      <c r="F132" s="34"/>
      <c r="G132" s="28"/>
      <c r="H132" s="28"/>
      <c r="I132" s="26"/>
      <c r="J132" s="24"/>
      <c r="K132" s="31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97"/>
      <c r="AX132" s="76"/>
      <c r="AY132" s="76" t="s">
        <v>6</v>
      </c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 t="s">
        <v>631</v>
      </c>
      <c r="BQ132" s="76"/>
      <c r="BR132" s="76" t="s">
        <v>6</v>
      </c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 t="s">
        <v>6</v>
      </c>
      <c r="CE132" s="76"/>
      <c r="CF132" s="76" t="s">
        <v>6</v>
      </c>
      <c r="CG132" s="76"/>
      <c r="CH132" s="76" t="s">
        <v>6</v>
      </c>
      <c r="CI132" s="76" t="s">
        <v>6</v>
      </c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95"/>
      <c r="DX132" s="90"/>
      <c r="DY132" s="21"/>
      <c r="DZ132" s="21"/>
    </row>
    <row r="133" spans="1:130" hidden="1" outlineLevel="1" x14ac:dyDescent="0.3">
      <c r="A133" s="4"/>
      <c r="B133" s="4"/>
      <c r="C133" s="104" t="s">
        <v>757</v>
      </c>
      <c r="D133" s="4"/>
      <c r="E133" s="12"/>
      <c r="F133" s="34"/>
      <c r="G133" s="28"/>
      <c r="H133" s="28"/>
      <c r="I133" s="26"/>
      <c r="J133" s="24"/>
      <c r="K133" s="31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97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 t="s">
        <v>631</v>
      </c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 t="s">
        <v>6</v>
      </c>
      <c r="CC133" s="76"/>
      <c r="CD133" s="76"/>
      <c r="CE133" s="76"/>
      <c r="CF133" s="76" t="s">
        <v>6</v>
      </c>
      <c r="CG133" s="76"/>
      <c r="CH133" s="76" t="s">
        <v>6</v>
      </c>
      <c r="CI133" s="94" t="s">
        <v>6</v>
      </c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 t="s">
        <v>6</v>
      </c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95"/>
      <c r="DX133" s="90"/>
      <c r="DY133" s="21"/>
      <c r="DZ133" s="21"/>
    </row>
    <row r="134" spans="1:130" hidden="1" outlineLevel="1" x14ac:dyDescent="0.3">
      <c r="A134" s="4"/>
      <c r="B134" s="4"/>
      <c r="C134" s="104" t="s">
        <v>758</v>
      </c>
      <c r="D134" s="4"/>
      <c r="E134" s="12"/>
      <c r="F134" s="34"/>
      <c r="G134" s="28"/>
      <c r="H134" s="28"/>
      <c r="I134" s="26"/>
      <c r="J134" s="24"/>
      <c r="K134" s="31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97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 t="s">
        <v>631</v>
      </c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 t="s">
        <v>6</v>
      </c>
      <c r="CC134" s="76"/>
      <c r="CD134" s="76"/>
      <c r="CE134" s="76"/>
      <c r="CF134" s="76" t="s">
        <v>6</v>
      </c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95"/>
      <c r="DX134" s="90"/>
      <c r="DY134" s="21"/>
      <c r="DZ134" s="21"/>
    </row>
    <row r="135" spans="1:130" hidden="1" outlineLevel="1" x14ac:dyDescent="0.3">
      <c r="A135" s="4"/>
      <c r="B135" s="4"/>
      <c r="C135" s="108" t="s">
        <v>845</v>
      </c>
      <c r="D135" s="4"/>
      <c r="E135" s="12"/>
      <c r="F135" s="34"/>
      <c r="G135" s="28"/>
      <c r="H135" s="28"/>
      <c r="I135" s="26"/>
      <c r="J135" s="24"/>
      <c r="K135" s="31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97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 t="s">
        <v>631</v>
      </c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 t="s">
        <v>6</v>
      </c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95"/>
      <c r="DX135" s="90"/>
      <c r="DY135" s="21"/>
      <c r="DZ135" s="21"/>
    </row>
    <row r="136" spans="1:130" hidden="1" outlineLevel="1" x14ac:dyDescent="0.3">
      <c r="A136" s="4"/>
      <c r="B136" s="4"/>
      <c r="C136" s="108" t="s">
        <v>846</v>
      </c>
      <c r="D136" s="4"/>
      <c r="E136" s="12"/>
      <c r="F136" s="34"/>
      <c r="G136" s="28"/>
      <c r="H136" s="28"/>
      <c r="I136" s="26"/>
      <c r="J136" s="24"/>
      <c r="K136" s="31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97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 t="s">
        <v>631</v>
      </c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 t="s">
        <v>6</v>
      </c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95"/>
      <c r="DX136" s="90"/>
      <c r="DY136" s="21"/>
      <c r="DZ136" s="21"/>
    </row>
    <row r="137" spans="1:130" hidden="1" outlineLevel="1" x14ac:dyDescent="0.3">
      <c r="A137" s="4"/>
      <c r="B137" s="4"/>
      <c r="C137" s="104" t="s">
        <v>759</v>
      </c>
      <c r="D137" s="4"/>
      <c r="E137" s="12"/>
      <c r="F137" s="34"/>
      <c r="G137" s="28"/>
      <c r="H137" s="28"/>
      <c r="I137" s="26"/>
      <c r="J137" s="24"/>
      <c r="K137" s="31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97"/>
      <c r="AX137" s="76" t="s">
        <v>6</v>
      </c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 t="s">
        <v>631</v>
      </c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95"/>
      <c r="DX137" s="90"/>
      <c r="DY137" s="21"/>
      <c r="DZ137" s="21"/>
    </row>
    <row r="138" spans="1:130" hidden="1" outlineLevel="1" x14ac:dyDescent="0.3">
      <c r="A138" s="4"/>
      <c r="B138" s="4"/>
      <c r="C138" s="104" t="s">
        <v>760</v>
      </c>
      <c r="D138" s="4"/>
      <c r="E138" s="12"/>
      <c r="F138" s="34"/>
      <c r="G138" s="28"/>
      <c r="H138" s="28"/>
      <c r="I138" s="26"/>
      <c r="J138" s="24"/>
      <c r="K138" s="31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97"/>
      <c r="AX138" s="76" t="s">
        <v>6</v>
      </c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 t="s">
        <v>631</v>
      </c>
      <c r="BQ138" s="76"/>
      <c r="BR138" s="76" t="s">
        <v>6</v>
      </c>
      <c r="BS138" s="76"/>
      <c r="BT138" s="76"/>
      <c r="BU138" s="76"/>
      <c r="BV138" s="76"/>
      <c r="BW138" s="76"/>
      <c r="BX138" s="76"/>
      <c r="BY138" s="76"/>
      <c r="BZ138" s="76" t="s">
        <v>6</v>
      </c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95"/>
      <c r="DX138" s="90"/>
      <c r="DY138" s="21"/>
      <c r="DZ138" s="21"/>
    </row>
    <row r="139" spans="1:130" hidden="1" outlineLevel="1" x14ac:dyDescent="0.3">
      <c r="A139" s="4"/>
      <c r="B139" s="4"/>
      <c r="C139" s="104" t="s">
        <v>761</v>
      </c>
      <c r="D139" s="4"/>
      <c r="E139" s="12"/>
      <c r="F139" s="34"/>
      <c r="G139" s="28"/>
      <c r="H139" s="28"/>
      <c r="I139" s="26"/>
      <c r="J139" s="24"/>
      <c r="K139" s="31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97"/>
      <c r="AX139" s="76" t="s">
        <v>6</v>
      </c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 t="s">
        <v>631</v>
      </c>
      <c r="BQ139" s="76"/>
      <c r="BR139" s="76" t="s">
        <v>6</v>
      </c>
      <c r="BS139" s="76"/>
      <c r="BT139" s="76"/>
      <c r="BU139" s="76"/>
      <c r="BV139" s="76"/>
      <c r="BW139" s="76"/>
      <c r="BX139" s="76"/>
      <c r="BY139" s="76"/>
      <c r="BZ139" s="76" t="s">
        <v>6</v>
      </c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95"/>
      <c r="DX139" s="90"/>
      <c r="DY139" s="21"/>
      <c r="DZ139" s="21"/>
    </row>
    <row r="140" spans="1:130" hidden="1" outlineLevel="1" x14ac:dyDescent="0.3">
      <c r="A140" s="4"/>
      <c r="B140" s="4"/>
      <c r="C140" s="104" t="s">
        <v>762</v>
      </c>
      <c r="D140" s="4"/>
      <c r="E140" s="12"/>
      <c r="F140" s="34"/>
      <c r="G140" s="28"/>
      <c r="H140" s="28"/>
      <c r="I140" s="26"/>
      <c r="J140" s="24"/>
      <c r="K140" s="31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97" t="s">
        <v>6</v>
      </c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 t="s">
        <v>631</v>
      </c>
      <c r="BQ140" s="76"/>
      <c r="BR140" s="76" t="s">
        <v>6</v>
      </c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 t="s">
        <v>6</v>
      </c>
      <c r="CI140" s="94" t="s">
        <v>6</v>
      </c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95"/>
      <c r="DX140" s="90"/>
      <c r="DY140" s="21"/>
      <c r="DZ140" s="21"/>
    </row>
    <row r="141" spans="1:130" hidden="1" outlineLevel="1" x14ac:dyDescent="0.3">
      <c r="A141" s="4"/>
      <c r="B141" s="4"/>
      <c r="C141" s="104" t="s">
        <v>763</v>
      </c>
      <c r="D141" s="4"/>
      <c r="E141" s="12"/>
      <c r="F141" s="34"/>
      <c r="G141" s="28"/>
      <c r="H141" s="28"/>
      <c r="I141" s="26"/>
      <c r="J141" s="24"/>
      <c r="K141" s="31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97"/>
      <c r="AX141" s="76"/>
      <c r="AY141" s="76" t="s">
        <v>6</v>
      </c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 t="s">
        <v>631</v>
      </c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95"/>
      <c r="DX141" s="90"/>
      <c r="DY141" s="21"/>
      <c r="DZ141" s="21"/>
    </row>
    <row r="142" spans="1:130" hidden="1" outlineLevel="1" x14ac:dyDescent="0.3">
      <c r="A142" s="4"/>
      <c r="B142" s="4"/>
      <c r="C142" s="104" t="s">
        <v>764</v>
      </c>
      <c r="D142" s="4"/>
      <c r="E142" s="12"/>
      <c r="F142" s="34"/>
      <c r="G142" s="28"/>
      <c r="H142" s="28"/>
      <c r="I142" s="26"/>
      <c r="J142" s="24"/>
      <c r="K142" s="31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97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 t="s">
        <v>631</v>
      </c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 t="s">
        <v>6</v>
      </c>
      <c r="CC142" s="76"/>
      <c r="CD142" s="76"/>
      <c r="CE142" s="76"/>
      <c r="CF142" s="76" t="s">
        <v>6</v>
      </c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95"/>
      <c r="DX142" s="90"/>
      <c r="DY142" s="21"/>
      <c r="DZ142" s="21"/>
    </row>
    <row r="143" spans="1:130" collapsed="1" x14ac:dyDescent="0.3">
      <c r="A143" s="4" t="s">
        <v>70</v>
      </c>
      <c r="B143" s="4" t="s">
        <v>70</v>
      </c>
      <c r="C143" s="91" t="s">
        <v>72</v>
      </c>
      <c r="D143" s="4" t="s">
        <v>73</v>
      </c>
      <c r="E143" s="12">
        <v>5.38</v>
      </c>
      <c r="F143" s="34">
        <f t="shared" si="0"/>
        <v>1059.8599999999999</v>
      </c>
      <c r="G143" s="28">
        <f t="shared" si="5"/>
        <v>197</v>
      </c>
      <c r="H143" s="28">
        <f t="shared" si="1"/>
        <v>17</v>
      </c>
      <c r="I143" s="26">
        <f t="shared" si="2"/>
        <v>0</v>
      </c>
      <c r="J143" s="24">
        <f t="shared" si="3"/>
        <v>0</v>
      </c>
      <c r="K143" s="31">
        <f t="shared" si="4"/>
        <v>0</v>
      </c>
      <c r="L143" s="9">
        <v>3</v>
      </c>
      <c r="M143" s="9">
        <v>197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E143" s="6">
        <v>16.14</v>
      </c>
      <c r="AF143" s="6">
        <v>1059.8599999999999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97"/>
      <c r="AX143" s="76"/>
      <c r="AY143" s="76" t="s">
        <v>631</v>
      </c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 t="s">
        <v>631</v>
      </c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 t="s">
        <v>631</v>
      </c>
      <c r="CI143" s="94" t="s">
        <v>631</v>
      </c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 t="s">
        <v>631</v>
      </c>
      <c r="DH143" s="96" t="s">
        <v>631</v>
      </c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95"/>
      <c r="DX143" s="90">
        <f>COUNTIF(AW143:DW143,"x")</f>
        <v>6</v>
      </c>
      <c r="DY143" s="21"/>
      <c r="DZ143" s="21"/>
    </row>
    <row r="144" spans="1:130" collapsed="1" x14ac:dyDescent="0.3">
      <c r="A144" s="4" t="s">
        <v>70</v>
      </c>
      <c r="B144" s="4" t="s">
        <v>70</v>
      </c>
      <c r="C144" s="91" t="s">
        <v>74</v>
      </c>
      <c r="D144" s="4" t="s">
        <v>75</v>
      </c>
      <c r="E144" s="12">
        <v>721.83</v>
      </c>
      <c r="F144" s="34">
        <f t="shared" si="0"/>
        <v>2165.4900000000002</v>
      </c>
      <c r="G144" s="28">
        <f t="shared" si="5"/>
        <v>3</v>
      </c>
      <c r="H144" s="28">
        <f t="shared" si="1"/>
        <v>1</v>
      </c>
      <c r="I144" s="26">
        <f t="shared" si="2"/>
        <v>0</v>
      </c>
      <c r="J144" s="24">
        <f t="shared" si="3"/>
        <v>0</v>
      </c>
      <c r="K144" s="31">
        <f t="shared" si="4"/>
        <v>0</v>
      </c>
      <c r="L144" s="9">
        <v>0</v>
      </c>
      <c r="M144" s="9">
        <v>3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E144" s="6">
        <v>0</v>
      </c>
      <c r="AF144" s="6">
        <v>2165.4900000000002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93"/>
      <c r="AX144" s="76"/>
      <c r="AY144" s="76" t="s">
        <v>631</v>
      </c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 t="s">
        <v>631</v>
      </c>
      <c r="BQ144" s="76"/>
      <c r="BR144" s="76"/>
      <c r="BS144" s="76"/>
      <c r="BT144" s="76"/>
      <c r="BU144" s="76"/>
      <c r="BV144" s="76"/>
      <c r="BW144" s="76"/>
      <c r="BX144" s="76"/>
      <c r="BY144" s="76"/>
      <c r="BZ144" s="76" t="s">
        <v>631</v>
      </c>
      <c r="CA144" s="76"/>
      <c r="CB144" s="76"/>
      <c r="CC144" s="76" t="s">
        <v>631</v>
      </c>
      <c r="CD144" s="76" t="s">
        <v>631</v>
      </c>
      <c r="CE144" s="76"/>
      <c r="CF144" s="76" t="s">
        <v>631</v>
      </c>
      <c r="CG144" s="76"/>
      <c r="CH144" s="76" t="s">
        <v>631</v>
      </c>
      <c r="CI144" s="94" t="s">
        <v>631</v>
      </c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 t="s">
        <v>631</v>
      </c>
      <c r="DH144" s="96" t="s">
        <v>631</v>
      </c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95"/>
      <c r="DX144" s="90">
        <f>COUNTIF(AW144:DW144,"x")</f>
        <v>10</v>
      </c>
      <c r="DY144" s="21"/>
      <c r="DZ144" s="21"/>
    </row>
    <row r="145" spans="1:130" hidden="1" outlineLevel="1" x14ac:dyDescent="0.3">
      <c r="A145" s="4"/>
      <c r="B145" s="4"/>
      <c r="C145" s="102" t="s">
        <v>74</v>
      </c>
      <c r="D145" s="4"/>
      <c r="E145" s="12"/>
      <c r="F145" s="34"/>
      <c r="G145" s="28"/>
      <c r="H145" s="28"/>
      <c r="I145" s="26"/>
      <c r="J145" s="24"/>
      <c r="K145" s="31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93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94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 t="s">
        <v>6</v>
      </c>
      <c r="DH145" s="9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95"/>
      <c r="DX145" s="90"/>
      <c r="DY145" s="21"/>
      <c r="DZ145" s="21"/>
    </row>
    <row r="146" spans="1:130" hidden="1" outlineLevel="1" x14ac:dyDescent="0.3">
      <c r="A146" s="4"/>
      <c r="B146" s="4"/>
      <c r="C146" s="104" t="s">
        <v>765</v>
      </c>
      <c r="D146" s="4"/>
      <c r="E146" s="12"/>
      <c r="F146" s="34"/>
      <c r="G146" s="28"/>
      <c r="H146" s="28"/>
      <c r="I146" s="26"/>
      <c r="J146" s="24"/>
      <c r="K146" s="31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93"/>
      <c r="AX146" s="76"/>
      <c r="AY146" s="76" t="s">
        <v>6</v>
      </c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 t="s">
        <v>6</v>
      </c>
      <c r="BQ146" s="76"/>
      <c r="BR146" s="76"/>
      <c r="BS146" s="76"/>
      <c r="BT146" s="76"/>
      <c r="BU146" s="76"/>
      <c r="BV146" s="76"/>
      <c r="BW146" s="76"/>
      <c r="BX146" s="76"/>
      <c r="BY146" s="76"/>
      <c r="BZ146" s="76" t="s">
        <v>6</v>
      </c>
      <c r="CA146" s="76"/>
      <c r="CB146" s="76"/>
      <c r="CC146" s="76"/>
      <c r="CD146" s="76" t="s">
        <v>6</v>
      </c>
      <c r="CE146" s="76"/>
      <c r="CF146" s="76" t="s">
        <v>6</v>
      </c>
      <c r="CG146" s="76"/>
      <c r="CH146" s="76"/>
      <c r="CI146" s="94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9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95"/>
      <c r="DX146" s="90"/>
      <c r="DY146" s="21"/>
      <c r="DZ146" s="21"/>
    </row>
    <row r="147" spans="1:130" hidden="1" outlineLevel="1" x14ac:dyDescent="0.3">
      <c r="A147" s="4"/>
      <c r="B147" s="4"/>
      <c r="C147" s="104" t="s">
        <v>766</v>
      </c>
      <c r="D147" s="4"/>
      <c r="E147" s="12"/>
      <c r="F147" s="34"/>
      <c r="G147" s="28"/>
      <c r="H147" s="28"/>
      <c r="I147" s="26"/>
      <c r="J147" s="24"/>
      <c r="K147" s="31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93"/>
      <c r="AX147" s="76"/>
      <c r="AY147" s="76" t="s">
        <v>6</v>
      </c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 t="s">
        <v>6</v>
      </c>
      <c r="BQ147" s="76"/>
      <c r="BR147" s="76"/>
      <c r="BS147" s="76"/>
      <c r="BT147" s="76"/>
      <c r="BU147" s="76"/>
      <c r="BV147" s="76"/>
      <c r="BW147" s="76"/>
      <c r="BX147" s="76"/>
      <c r="BY147" s="76"/>
      <c r="BZ147" s="76" t="s">
        <v>6</v>
      </c>
      <c r="CA147" s="76"/>
      <c r="CB147" s="76"/>
      <c r="CC147" s="76"/>
      <c r="CD147" s="76" t="s">
        <v>6</v>
      </c>
      <c r="CE147" s="76"/>
      <c r="CF147" s="76" t="s">
        <v>6</v>
      </c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9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95"/>
      <c r="DX147" s="90"/>
      <c r="DY147" s="21"/>
      <c r="DZ147" s="21"/>
    </row>
    <row r="148" spans="1:130" hidden="1" outlineLevel="1" x14ac:dyDescent="0.3">
      <c r="A148" s="4"/>
      <c r="B148" s="4"/>
      <c r="C148" s="104" t="s">
        <v>767</v>
      </c>
      <c r="D148" s="4"/>
      <c r="E148" s="12"/>
      <c r="F148" s="34"/>
      <c r="G148" s="28"/>
      <c r="H148" s="28"/>
      <c r="I148" s="26"/>
      <c r="J148" s="24"/>
      <c r="K148" s="31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93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 t="s">
        <v>6</v>
      </c>
      <c r="CE148" s="76"/>
      <c r="CF148" s="76"/>
      <c r="CG148" s="76"/>
      <c r="CH148" s="76" t="s">
        <v>6</v>
      </c>
      <c r="CI148" s="76" t="s">
        <v>6</v>
      </c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9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95"/>
      <c r="DX148" s="90"/>
      <c r="DY148" s="21"/>
      <c r="DZ148" s="21"/>
    </row>
    <row r="149" spans="1:130" hidden="1" outlineLevel="1" x14ac:dyDescent="0.3">
      <c r="A149" s="4"/>
      <c r="B149" s="4"/>
      <c r="C149" s="104" t="s">
        <v>768</v>
      </c>
      <c r="D149" s="4"/>
      <c r="E149" s="12"/>
      <c r="F149" s="34"/>
      <c r="G149" s="28"/>
      <c r="H149" s="28"/>
      <c r="I149" s="26"/>
      <c r="J149" s="24"/>
      <c r="K149" s="31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93"/>
      <c r="AX149" s="76"/>
      <c r="AY149" s="76" t="s">
        <v>6</v>
      </c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 t="s">
        <v>6</v>
      </c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9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95"/>
      <c r="DX149" s="90"/>
      <c r="DY149" s="21"/>
      <c r="DZ149" s="21"/>
    </row>
    <row r="150" spans="1:130" hidden="1" outlineLevel="1" x14ac:dyDescent="0.3">
      <c r="A150" s="4"/>
      <c r="B150" s="4"/>
      <c r="C150" s="104" t="s">
        <v>769</v>
      </c>
      <c r="D150" s="4"/>
      <c r="E150" s="12"/>
      <c r="F150" s="34"/>
      <c r="G150" s="28"/>
      <c r="H150" s="28"/>
      <c r="I150" s="26"/>
      <c r="J150" s="24"/>
      <c r="K150" s="31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93"/>
      <c r="AX150" s="76"/>
      <c r="AY150" s="76" t="s">
        <v>6</v>
      </c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 t="s">
        <v>6</v>
      </c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9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95"/>
      <c r="DX150" s="90"/>
      <c r="DY150" s="21"/>
      <c r="DZ150" s="21"/>
    </row>
    <row r="151" spans="1:130" hidden="1" outlineLevel="1" x14ac:dyDescent="0.3">
      <c r="A151" s="4"/>
      <c r="B151" s="4"/>
      <c r="C151" s="104" t="s">
        <v>770</v>
      </c>
      <c r="D151" s="4"/>
      <c r="E151" s="12"/>
      <c r="F151" s="34"/>
      <c r="G151" s="28"/>
      <c r="H151" s="28"/>
      <c r="I151" s="26"/>
      <c r="J151" s="24"/>
      <c r="K151" s="31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93"/>
      <c r="AX151" s="76"/>
      <c r="AY151" s="76" t="s">
        <v>6</v>
      </c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9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95"/>
      <c r="DX151" s="90"/>
      <c r="DY151" s="21"/>
      <c r="DZ151" s="21"/>
    </row>
    <row r="152" spans="1:130" hidden="1" outlineLevel="1" x14ac:dyDescent="0.3">
      <c r="A152" s="4"/>
      <c r="B152" s="4"/>
      <c r="C152" s="104" t="s">
        <v>771</v>
      </c>
      <c r="D152" s="4"/>
      <c r="E152" s="12"/>
      <c r="F152" s="34"/>
      <c r="G152" s="28"/>
      <c r="H152" s="28"/>
      <c r="I152" s="26"/>
      <c r="J152" s="24"/>
      <c r="K152" s="31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93"/>
      <c r="AX152" s="76"/>
      <c r="AY152" s="76" t="s">
        <v>6</v>
      </c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 t="s">
        <v>6</v>
      </c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9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95"/>
      <c r="DX152" s="90"/>
      <c r="DY152" s="21"/>
      <c r="DZ152" s="21"/>
    </row>
    <row r="153" spans="1:130" hidden="1" outlineLevel="1" x14ac:dyDescent="0.3">
      <c r="A153" s="4"/>
      <c r="B153" s="4"/>
      <c r="C153" s="104" t="s">
        <v>772</v>
      </c>
      <c r="D153" s="4"/>
      <c r="E153" s="12"/>
      <c r="F153" s="34"/>
      <c r="G153" s="28"/>
      <c r="H153" s="28"/>
      <c r="I153" s="26"/>
      <c r="J153" s="24"/>
      <c r="K153" s="31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93"/>
      <c r="AX153" s="76"/>
      <c r="AY153" s="76" t="s">
        <v>6</v>
      </c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9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95"/>
      <c r="DX153" s="90"/>
      <c r="DY153" s="21"/>
      <c r="DZ153" s="21"/>
    </row>
    <row r="154" spans="1:130" hidden="1" outlineLevel="1" x14ac:dyDescent="0.3">
      <c r="A154" s="4"/>
      <c r="B154" s="4"/>
      <c r="C154" s="104" t="s">
        <v>773</v>
      </c>
      <c r="D154" s="4"/>
      <c r="E154" s="12"/>
      <c r="F154" s="34"/>
      <c r="G154" s="28"/>
      <c r="H154" s="28"/>
      <c r="I154" s="26"/>
      <c r="J154" s="24"/>
      <c r="K154" s="31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93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 t="s">
        <v>6</v>
      </c>
      <c r="CD154" s="76" t="s">
        <v>6</v>
      </c>
      <c r="CE154" s="76"/>
      <c r="CF154" s="76"/>
      <c r="CG154" s="76"/>
      <c r="CH154" s="76" t="s">
        <v>6</v>
      </c>
      <c r="CI154" s="76" t="s">
        <v>6</v>
      </c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9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95"/>
      <c r="DX154" s="90"/>
      <c r="DY154" s="21"/>
      <c r="DZ154" s="21"/>
    </row>
    <row r="155" spans="1:130" collapsed="1" x14ac:dyDescent="0.3">
      <c r="A155" s="4" t="s">
        <v>70</v>
      </c>
      <c r="B155" s="4" t="s">
        <v>70</v>
      </c>
      <c r="C155" s="91" t="s">
        <v>82</v>
      </c>
      <c r="D155" s="4" t="s">
        <v>83</v>
      </c>
      <c r="E155" s="12">
        <v>120.2</v>
      </c>
      <c r="F155" s="34">
        <f t="shared" si="0"/>
        <v>360.6</v>
      </c>
      <c r="G155" s="28">
        <f t="shared" si="5"/>
        <v>3</v>
      </c>
      <c r="H155" s="28">
        <f t="shared" si="1"/>
        <v>1</v>
      </c>
      <c r="I155" s="26">
        <f t="shared" si="2"/>
        <v>0</v>
      </c>
      <c r="J155" s="24">
        <f t="shared" si="3"/>
        <v>0</v>
      </c>
      <c r="K155" s="31">
        <f t="shared" si="4"/>
        <v>0</v>
      </c>
      <c r="L155" s="9">
        <v>0</v>
      </c>
      <c r="M155" s="9">
        <v>3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E155" s="6">
        <v>0</v>
      </c>
      <c r="AF155" s="6">
        <v>360.6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93"/>
      <c r="AX155" s="76"/>
      <c r="AY155" s="76" t="s">
        <v>631</v>
      </c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 t="s">
        <v>631</v>
      </c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 t="s">
        <v>631</v>
      </c>
      <c r="CE155" s="76"/>
      <c r="CF155" s="76" t="s">
        <v>6</v>
      </c>
      <c r="CG155" s="76"/>
      <c r="CH155" s="76" t="s">
        <v>631</v>
      </c>
      <c r="CI155" s="94" t="s">
        <v>631</v>
      </c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 t="s">
        <v>631</v>
      </c>
      <c r="DH155" s="96" t="s">
        <v>631</v>
      </c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95"/>
      <c r="DX155" s="90">
        <f>COUNTIF(AW155:DW155,"x")</f>
        <v>8</v>
      </c>
      <c r="DY155" s="21"/>
      <c r="DZ155" s="21"/>
    </row>
    <row r="156" spans="1:130" x14ac:dyDescent="0.3">
      <c r="A156" s="4" t="s">
        <v>70</v>
      </c>
      <c r="B156" s="4" t="s">
        <v>70</v>
      </c>
      <c r="C156" s="91" t="s">
        <v>86</v>
      </c>
      <c r="D156" s="4" t="s">
        <v>87</v>
      </c>
      <c r="E156" s="112">
        <v>511.04</v>
      </c>
      <c r="F156" s="113">
        <f t="shared" si="0"/>
        <v>1533.1200000000001</v>
      </c>
      <c r="G156" s="114">
        <f>SUM(M156:X156)</f>
        <v>3</v>
      </c>
      <c r="H156" s="114">
        <f t="shared" si="1"/>
        <v>1</v>
      </c>
      <c r="I156" s="115">
        <f t="shared" si="2"/>
        <v>0</v>
      </c>
      <c r="J156" s="116">
        <f t="shared" si="3"/>
        <v>0</v>
      </c>
      <c r="K156" s="114">
        <f t="shared" si="4"/>
        <v>0</v>
      </c>
      <c r="L156" s="9">
        <v>0</v>
      </c>
      <c r="M156" s="9">
        <v>3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E156" s="6">
        <v>0</v>
      </c>
      <c r="AF156" s="6">
        <v>1533.1200000000001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93"/>
      <c r="AX156" s="76"/>
      <c r="AY156" s="76" t="s">
        <v>631</v>
      </c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 t="s">
        <v>631</v>
      </c>
      <c r="BP156" s="76" t="s">
        <v>631</v>
      </c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 t="s">
        <v>631</v>
      </c>
      <c r="CC156" s="76"/>
      <c r="CD156" s="76" t="s">
        <v>631</v>
      </c>
      <c r="CE156" s="76"/>
      <c r="CF156" s="76" t="s">
        <v>6</v>
      </c>
      <c r="CG156" s="76"/>
      <c r="CH156" s="76" t="s">
        <v>631</v>
      </c>
      <c r="CI156" s="76" t="s">
        <v>631</v>
      </c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 t="s">
        <v>631</v>
      </c>
      <c r="DH156" s="76" t="s">
        <v>631</v>
      </c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95"/>
      <c r="DX156" s="90">
        <f>COUNTIF(AW156:DW156,"x")</f>
        <v>10</v>
      </c>
      <c r="DY156" s="21"/>
      <c r="DZ156" s="21"/>
    </row>
    <row r="157" spans="1:130" collapsed="1" x14ac:dyDescent="0.3">
      <c r="A157" s="4" t="s">
        <v>70</v>
      </c>
      <c r="B157" s="4" t="s">
        <v>70</v>
      </c>
      <c r="C157" s="91" t="s">
        <v>92</v>
      </c>
      <c r="D157" s="4" t="s">
        <v>93</v>
      </c>
      <c r="E157" s="12">
        <v>762.75</v>
      </c>
      <c r="F157" s="34">
        <f t="shared" si="0"/>
        <v>2288.25</v>
      </c>
      <c r="G157" s="28">
        <f>SUM(M157:X157)</f>
        <v>3</v>
      </c>
      <c r="H157" s="28">
        <f t="shared" si="1"/>
        <v>1</v>
      </c>
      <c r="I157" s="26">
        <f t="shared" si="2"/>
        <v>0</v>
      </c>
      <c r="J157" s="24">
        <f t="shared" si="3"/>
        <v>0</v>
      </c>
      <c r="K157" s="31">
        <f t="shared" si="4"/>
        <v>0</v>
      </c>
      <c r="L157" s="9">
        <v>0</v>
      </c>
      <c r="M157" s="9">
        <v>3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E157" s="6">
        <v>0</v>
      </c>
      <c r="AF157" s="6">
        <v>2288.25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93"/>
      <c r="AX157" s="76"/>
      <c r="AY157" s="76" t="s">
        <v>631</v>
      </c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 t="s">
        <v>631</v>
      </c>
      <c r="BP157" s="76" t="s">
        <v>631</v>
      </c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 t="s">
        <v>631</v>
      </c>
      <c r="CE157" s="76"/>
      <c r="CF157" s="76"/>
      <c r="CG157" s="76"/>
      <c r="CH157" s="76" t="s">
        <v>631</v>
      </c>
      <c r="CI157" s="76" t="s">
        <v>631</v>
      </c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 t="s">
        <v>631</v>
      </c>
      <c r="CX157" s="76"/>
      <c r="CY157" s="76"/>
      <c r="CZ157" s="76"/>
      <c r="DA157" s="76"/>
      <c r="DB157" s="76"/>
      <c r="DC157" s="76"/>
      <c r="DD157" s="76"/>
      <c r="DE157" s="76"/>
      <c r="DF157" s="76"/>
      <c r="DG157" s="76" t="s">
        <v>631</v>
      </c>
      <c r="DH157" s="96" t="s">
        <v>631</v>
      </c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95"/>
      <c r="DX157" s="90">
        <f>COUNTIF(AW157:DW157,"x")</f>
        <v>9</v>
      </c>
      <c r="DY157" s="21"/>
      <c r="DZ157" s="21"/>
    </row>
    <row r="158" spans="1:130" hidden="1" outlineLevel="1" x14ac:dyDescent="0.3">
      <c r="A158" s="4"/>
      <c r="B158" s="4"/>
      <c r="C158" s="102" t="s">
        <v>774</v>
      </c>
      <c r="D158" s="4"/>
      <c r="E158" s="12"/>
      <c r="F158" s="34"/>
      <c r="G158" s="28"/>
      <c r="H158" s="28"/>
      <c r="I158" s="26"/>
      <c r="J158" s="24"/>
      <c r="K158" s="31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93"/>
      <c r="AX158" s="76"/>
      <c r="AY158" s="76" t="s">
        <v>631</v>
      </c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 t="s">
        <v>631</v>
      </c>
      <c r="BQ158" s="76"/>
      <c r="BR158" s="76"/>
      <c r="BS158" s="76"/>
      <c r="BT158" s="76"/>
      <c r="BU158" s="76"/>
      <c r="BV158" s="76"/>
      <c r="BW158" s="76"/>
      <c r="BX158" s="76"/>
      <c r="BY158" s="76"/>
      <c r="BZ158" s="76" t="s">
        <v>631</v>
      </c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9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95"/>
      <c r="DX158" s="90"/>
      <c r="DY158" s="21"/>
      <c r="DZ158" s="21"/>
    </row>
    <row r="159" spans="1:130" hidden="1" outlineLevel="1" x14ac:dyDescent="0.3">
      <c r="A159" s="4"/>
      <c r="B159" s="4"/>
      <c r="C159" s="102" t="s">
        <v>775</v>
      </c>
      <c r="D159" s="4"/>
      <c r="E159" s="12"/>
      <c r="F159" s="34"/>
      <c r="G159" s="28"/>
      <c r="H159" s="28"/>
      <c r="I159" s="26"/>
      <c r="J159" s="24"/>
      <c r="K159" s="31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93"/>
      <c r="AX159" s="76"/>
      <c r="AY159" s="76" t="s">
        <v>631</v>
      </c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 t="s">
        <v>631</v>
      </c>
      <c r="BQ159" s="76"/>
      <c r="BR159" s="76"/>
      <c r="BS159" s="76"/>
      <c r="BT159" s="76"/>
      <c r="BU159" s="76"/>
      <c r="BV159" s="76"/>
      <c r="BW159" s="76"/>
      <c r="BX159" s="76"/>
      <c r="BY159" s="76"/>
      <c r="BZ159" s="76" t="s">
        <v>631</v>
      </c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9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95"/>
      <c r="DX159" s="90"/>
      <c r="DY159" s="21"/>
      <c r="DZ159" s="21"/>
    </row>
    <row r="160" spans="1:130" collapsed="1" x14ac:dyDescent="0.3">
      <c r="A160" s="4" t="s">
        <v>70</v>
      </c>
      <c r="B160" s="4" t="s">
        <v>70</v>
      </c>
      <c r="C160" s="91" t="s">
        <v>98</v>
      </c>
      <c r="D160" s="4" t="s">
        <v>99</v>
      </c>
      <c r="E160" s="12">
        <v>10</v>
      </c>
      <c r="F160" s="34">
        <f t="shared" si="0"/>
        <v>1940</v>
      </c>
      <c r="G160" s="28">
        <f>SUM(M160:X160)</f>
        <v>194</v>
      </c>
      <c r="H160" s="28">
        <f t="shared" si="1"/>
        <v>17</v>
      </c>
      <c r="I160" s="26">
        <f t="shared" si="2"/>
        <v>0</v>
      </c>
      <c r="J160" s="24">
        <f t="shared" si="3"/>
        <v>0</v>
      </c>
      <c r="K160" s="31">
        <f t="shared" si="4"/>
        <v>0</v>
      </c>
      <c r="L160" s="9">
        <v>3</v>
      </c>
      <c r="M160" s="9">
        <v>97</v>
      </c>
      <c r="N160" s="9">
        <v>0</v>
      </c>
      <c r="O160" s="9">
        <v>97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E160" s="6">
        <v>30</v>
      </c>
      <c r="AF160" s="6">
        <v>970</v>
      </c>
      <c r="AG160" s="6">
        <v>0</v>
      </c>
      <c r="AH160" s="6">
        <v>970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93"/>
      <c r="AX160" s="76"/>
      <c r="AY160" s="76" t="s">
        <v>631</v>
      </c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 t="s">
        <v>631</v>
      </c>
      <c r="BP160" s="76" t="s">
        <v>631</v>
      </c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 t="s">
        <v>631</v>
      </c>
      <c r="CI160" s="94" t="s">
        <v>631</v>
      </c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 t="s">
        <v>631</v>
      </c>
      <c r="DH160" s="96" t="s">
        <v>631</v>
      </c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95"/>
      <c r="DX160" s="90">
        <f>COUNTIF(AW160:DW160,"x")</f>
        <v>7</v>
      </c>
      <c r="DY160" s="21"/>
      <c r="DZ160" s="21"/>
    </row>
    <row r="161" spans="1:130" x14ac:dyDescent="0.3">
      <c r="A161" s="4" t="s">
        <v>70</v>
      </c>
      <c r="B161" s="4" t="s">
        <v>70</v>
      </c>
      <c r="C161" s="91" t="s">
        <v>100</v>
      </c>
      <c r="D161" s="4" t="s">
        <v>99</v>
      </c>
      <c r="E161" s="12">
        <v>10</v>
      </c>
      <c r="F161" s="34">
        <f t="shared" si="0"/>
        <v>970</v>
      </c>
      <c r="G161" s="28">
        <f t="shared" ref="G161:G214" si="6">SUM(M161:X161)</f>
        <v>97</v>
      </c>
      <c r="H161" s="28">
        <f t="shared" si="1"/>
        <v>9</v>
      </c>
      <c r="I161" s="26">
        <f t="shared" si="2"/>
        <v>0</v>
      </c>
      <c r="J161" s="24">
        <f t="shared" si="3"/>
        <v>0</v>
      </c>
      <c r="K161" s="31">
        <f t="shared" si="4"/>
        <v>0</v>
      </c>
      <c r="L161" s="9">
        <v>3</v>
      </c>
      <c r="M161" s="9">
        <v>97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E161" s="6">
        <v>30</v>
      </c>
      <c r="AF161" s="6">
        <v>970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57"/>
      <c r="AX161" s="76"/>
      <c r="AY161" s="76" t="s">
        <v>631</v>
      </c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 t="s">
        <v>631</v>
      </c>
      <c r="BP161" s="76" t="s">
        <v>631</v>
      </c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 t="s">
        <v>631</v>
      </c>
      <c r="CI161" s="94" t="s">
        <v>631</v>
      </c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 t="s">
        <v>631</v>
      </c>
      <c r="DH161" s="96" t="s">
        <v>631</v>
      </c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95"/>
      <c r="DX161" s="90">
        <f>COUNTIF(AW161:DW161,"x")</f>
        <v>7</v>
      </c>
      <c r="DY161" s="21"/>
      <c r="DZ161" s="21"/>
    </row>
    <row r="162" spans="1:130" x14ac:dyDescent="0.3">
      <c r="A162" s="4" t="s">
        <v>70</v>
      </c>
      <c r="B162" s="4" t="s">
        <v>70</v>
      </c>
      <c r="C162" s="91" t="s">
        <v>101</v>
      </c>
      <c r="D162" s="4" t="s">
        <v>102</v>
      </c>
      <c r="E162" s="12">
        <v>40.409999999999997</v>
      </c>
      <c r="F162" s="34">
        <f t="shared" si="0"/>
        <v>808.19999999999993</v>
      </c>
      <c r="G162" s="28">
        <f t="shared" si="6"/>
        <v>20</v>
      </c>
      <c r="H162" s="28">
        <f t="shared" si="1"/>
        <v>2</v>
      </c>
      <c r="I162" s="26">
        <f t="shared" si="2"/>
        <v>0</v>
      </c>
      <c r="J162" s="24">
        <f t="shared" si="3"/>
        <v>0</v>
      </c>
      <c r="K162" s="31">
        <f t="shared" si="4"/>
        <v>0</v>
      </c>
      <c r="L162" s="9">
        <v>0</v>
      </c>
      <c r="M162" s="9">
        <v>20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E162" s="6">
        <v>0</v>
      </c>
      <c r="AF162" s="6">
        <v>808.19999999999993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93"/>
      <c r="AX162" s="76"/>
      <c r="AY162" s="76" t="s">
        <v>631</v>
      </c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 t="s">
        <v>631</v>
      </c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 t="s">
        <v>631</v>
      </c>
      <c r="CI162" s="76" t="s">
        <v>631</v>
      </c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 t="s">
        <v>631</v>
      </c>
      <c r="DH162" s="96" t="s">
        <v>631</v>
      </c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95"/>
      <c r="DX162" s="90">
        <f>COUNTIF(AW162:DW162,"x")</f>
        <v>6</v>
      </c>
      <c r="DY162" s="21"/>
      <c r="DZ162" s="21"/>
    </row>
    <row r="163" spans="1:130" collapsed="1" x14ac:dyDescent="0.3">
      <c r="A163" s="4" t="s">
        <v>70</v>
      </c>
      <c r="B163" s="4" t="s">
        <v>70</v>
      </c>
      <c r="C163" s="91" t="s">
        <v>103</v>
      </c>
      <c r="D163" s="4" t="s">
        <v>104</v>
      </c>
      <c r="E163" s="12">
        <v>59.58</v>
      </c>
      <c r="F163" s="34">
        <f t="shared" si="0"/>
        <v>2800.2599999999998</v>
      </c>
      <c r="G163" s="28">
        <f t="shared" si="6"/>
        <v>47</v>
      </c>
      <c r="H163" s="28">
        <f t="shared" si="1"/>
        <v>4</v>
      </c>
      <c r="I163" s="26">
        <f t="shared" si="2"/>
        <v>0</v>
      </c>
      <c r="J163" s="24">
        <f t="shared" si="3"/>
        <v>0</v>
      </c>
      <c r="K163" s="31">
        <f t="shared" si="4"/>
        <v>0</v>
      </c>
      <c r="L163" s="9">
        <v>0</v>
      </c>
      <c r="M163" s="9">
        <v>3</v>
      </c>
      <c r="N163" s="9">
        <v>22</v>
      </c>
      <c r="O163" s="9">
        <v>22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E163" s="6">
        <v>0</v>
      </c>
      <c r="AF163" s="6">
        <v>178.74</v>
      </c>
      <c r="AG163" s="6">
        <v>1310.76</v>
      </c>
      <c r="AH163" s="6">
        <v>1310.76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93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 t="s">
        <v>631</v>
      </c>
      <c r="CE163" s="76"/>
      <c r="CF163" s="76"/>
      <c r="CG163" s="76"/>
      <c r="CH163" s="76" t="s">
        <v>631</v>
      </c>
      <c r="CI163" s="76" t="s">
        <v>631</v>
      </c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 t="s">
        <v>631</v>
      </c>
      <c r="DH163" s="96" t="s">
        <v>631</v>
      </c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95"/>
      <c r="DX163" s="90">
        <f>COUNTIF(AW163:DW163,"x")</f>
        <v>5</v>
      </c>
      <c r="DY163" s="21"/>
      <c r="DZ163" s="21"/>
    </row>
    <row r="164" spans="1:130" hidden="1" outlineLevel="1" x14ac:dyDescent="0.3">
      <c r="A164" s="4"/>
      <c r="B164" s="4"/>
      <c r="C164" s="102" t="s">
        <v>776</v>
      </c>
      <c r="D164" s="4"/>
      <c r="E164" s="12"/>
      <c r="F164" s="34"/>
      <c r="G164" s="28"/>
      <c r="H164" s="28"/>
      <c r="I164" s="26"/>
      <c r="J164" s="24"/>
      <c r="K164" s="31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93"/>
      <c r="AX164" s="76"/>
      <c r="AY164" s="76" t="s">
        <v>631</v>
      </c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 t="s">
        <v>631</v>
      </c>
      <c r="BQ164" s="76"/>
      <c r="BR164" s="76"/>
      <c r="BS164" s="76"/>
      <c r="BT164" s="76"/>
      <c r="BU164" s="76"/>
      <c r="BV164" s="76"/>
      <c r="BW164" s="76"/>
      <c r="BX164" s="76"/>
      <c r="BY164" s="76"/>
      <c r="BZ164" s="76" t="s">
        <v>631</v>
      </c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9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95"/>
      <c r="DX164" s="90"/>
      <c r="DY164" s="21"/>
      <c r="DZ164" s="21"/>
    </row>
    <row r="165" spans="1:130" hidden="1" outlineLevel="1" x14ac:dyDescent="0.3">
      <c r="A165" s="4"/>
      <c r="B165" s="4"/>
      <c r="C165" s="102" t="s">
        <v>777</v>
      </c>
      <c r="D165" s="4"/>
      <c r="E165" s="12"/>
      <c r="F165" s="34"/>
      <c r="G165" s="28"/>
      <c r="H165" s="28"/>
      <c r="I165" s="26"/>
      <c r="J165" s="24"/>
      <c r="K165" s="31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93"/>
      <c r="AX165" s="76"/>
      <c r="AY165" s="76" t="s">
        <v>631</v>
      </c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 t="s">
        <v>631</v>
      </c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9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95"/>
      <c r="DX165" s="90"/>
      <c r="DY165" s="21"/>
      <c r="DZ165" s="21"/>
    </row>
    <row r="166" spans="1:130" hidden="1" outlineLevel="1" x14ac:dyDescent="0.3">
      <c r="A166" s="4"/>
      <c r="B166" s="4"/>
      <c r="C166" s="102" t="s">
        <v>103</v>
      </c>
      <c r="D166" s="4"/>
      <c r="E166" s="12"/>
      <c r="F166" s="34"/>
      <c r="G166" s="28"/>
      <c r="H166" s="28"/>
      <c r="I166" s="26"/>
      <c r="J166" s="24"/>
      <c r="K166" s="31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93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 t="s">
        <v>631</v>
      </c>
      <c r="CE166" s="76"/>
      <c r="CF166" s="76"/>
      <c r="CG166" s="76"/>
      <c r="CH166" s="76" t="s">
        <v>631</v>
      </c>
      <c r="CI166" s="76" t="s">
        <v>631</v>
      </c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9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95"/>
      <c r="DX166" s="90"/>
      <c r="DY166" s="21"/>
      <c r="DZ166" s="21"/>
    </row>
    <row r="167" spans="1:130" collapsed="1" x14ac:dyDescent="0.3">
      <c r="A167" s="4" t="s">
        <v>70</v>
      </c>
      <c r="B167" s="4" t="s">
        <v>70</v>
      </c>
      <c r="C167" s="91" t="s">
        <v>105</v>
      </c>
      <c r="D167" s="4" t="s">
        <v>106</v>
      </c>
      <c r="E167" s="12">
        <v>44.23</v>
      </c>
      <c r="F167" s="34">
        <f t="shared" si="0"/>
        <v>1105.75</v>
      </c>
      <c r="G167" s="28">
        <f t="shared" si="6"/>
        <v>25</v>
      </c>
      <c r="H167" s="28">
        <f t="shared" si="1"/>
        <v>3</v>
      </c>
      <c r="I167" s="26">
        <f t="shared" si="2"/>
        <v>2211.5</v>
      </c>
      <c r="J167" s="24">
        <f t="shared" si="3"/>
        <v>50</v>
      </c>
      <c r="K167" s="31">
        <f t="shared" si="4"/>
        <v>10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25</v>
      </c>
      <c r="Y167" s="9">
        <v>25</v>
      </c>
      <c r="Z167" s="9">
        <v>25</v>
      </c>
      <c r="AA167" s="9">
        <v>0</v>
      </c>
      <c r="AB167" s="9">
        <v>0</v>
      </c>
      <c r="AC167" s="9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1105.75</v>
      </c>
      <c r="AR167" s="6">
        <v>1105.75</v>
      </c>
      <c r="AS167" s="6">
        <v>1105.75</v>
      </c>
      <c r="AT167" s="6">
        <v>0</v>
      </c>
      <c r="AU167" s="6">
        <v>0</v>
      </c>
      <c r="AV167" s="6">
        <v>0</v>
      </c>
      <c r="AW167" s="93"/>
      <c r="AX167" s="76"/>
      <c r="AY167" s="76" t="s">
        <v>631</v>
      </c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 t="s">
        <v>631</v>
      </c>
      <c r="BP167" s="76" t="s">
        <v>631</v>
      </c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 t="s">
        <v>631</v>
      </c>
      <c r="CI167" s="76" t="s">
        <v>631</v>
      </c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 t="s">
        <v>631</v>
      </c>
      <c r="DH167" s="96" t="s">
        <v>631</v>
      </c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95"/>
      <c r="DX167" s="90">
        <f>COUNTIF(AW167:DW167,"x")</f>
        <v>7</v>
      </c>
      <c r="DY167" s="21"/>
      <c r="DZ167" s="21"/>
    </row>
    <row r="168" spans="1:130" collapsed="1" x14ac:dyDescent="0.3">
      <c r="A168" s="4" t="s">
        <v>70</v>
      </c>
      <c r="B168" s="4" t="s">
        <v>70</v>
      </c>
      <c r="C168" s="91" t="s">
        <v>109</v>
      </c>
      <c r="D168" s="4" t="s">
        <v>110</v>
      </c>
      <c r="E168" s="12">
        <v>420.07</v>
      </c>
      <c r="F168" s="34">
        <f t="shared" si="0"/>
        <v>42007</v>
      </c>
      <c r="G168" s="28">
        <f t="shared" si="6"/>
        <v>100</v>
      </c>
      <c r="H168" s="28">
        <f t="shared" si="1"/>
        <v>9</v>
      </c>
      <c r="I168" s="26">
        <f t="shared" si="2"/>
        <v>0</v>
      </c>
      <c r="J168" s="24">
        <f t="shared" si="3"/>
        <v>0</v>
      </c>
      <c r="K168" s="31">
        <f t="shared" si="4"/>
        <v>0</v>
      </c>
      <c r="L168" s="9">
        <v>0</v>
      </c>
      <c r="M168" s="9">
        <v>0</v>
      </c>
      <c r="N168" s="9">
        <v>0</v>
      </c>
      <c r="O168" s="9">
        <v>0</v>
      </c>
      <c r="P168" s="9">
        <v>50</v>
      </c>
      <c r="Q168" s="9">
        <v>50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21003.5</v>
      </c>
      <c r="AJ168" s="6">
        <v>21003.5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93"/>
      <c r="AX168" s="76" t="s">
        <v>631</v>
      </c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 t="s">
        <v>631</v>
      </c>
      <c r="BK168" s="76"/>
      <c r="BL168" s="76"/>
      <c r="BM168" s="76"/>
      <c r="BN168" s="76"/>
      <c r="BO168" s="76" t="s">
        <v>631</v>
      </c>
      <c r="BP168" s="76" t="s">
        <v>631</v>
      </c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 t="s">
        <v>631</v>
      </c>
      <c r="CI168" s="76" t="s">
        <v>631</v>
      </c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 t="s">
        <v>631</v>
      </c>
      <c r="CX168" s="76"/>
      <c r="CY168" s="76"/>
      <c r="CZ168" s="76"/>
      <c r="DA168" s="76"/>
      <c r="DB168" s="76"/>
      <c r="DC168" s="76"/>
      <c r="DD168" s="76"/>
      <c r="DE168" s="76"/>
      <c r="DF168" s="76"/>
      <c r="DG168" s="76" t="s">
        <v>631</v>
      </c>
      <c r="DH168" s="96" t="s">
        <v>631</v>
      </c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95"/>
      <c r="DX168" s="90">
        <f>COUNTIF(AW168:DW168,"x")</f>
        <v>9</v>
      </c>
      <c r="DY168" s="21"/>
      <c r="DZ168" s="21"/>
    </row>
    <row r="169" spans="1:130" hidden="1" outlineLevel="1" x14ac:dyDescent="0.3">
      <c r="A169" s="4"/>
      <c r="B169" s="4"/>
      <c r="C169" s="102" t="s">
        <v>778</v>
      </c>
      <c r="D169" s="4"/>
      <c r="E169" s="12"/>
      <c r="F169" s="34"/>
      <c r="G169" s="28"/>
      <c r="H169" s="28"/>
      <c r="I169" s="26"/>
      <c r="J169" s="24"/>
      <c r="K169" s="31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93"/>
      <c r="AX169" s="76" t="s">
        <v>631</v>
      </c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 t="s">
        <v>631</v>
      </c>
      <c r="BQ169" s="76"/>
      <c r="BR169" s="76"/>
      <c r="BS169" s="76"/>
      <c r="BT169" s="76"/>
      <c r="BU169" s="76"/>
      <c r="BV169" s="76"/>
      <c r="BW169" s="76"/>
      <c r="BX169" s="76"/>
      <c r="BY169" s="76"/>
      <c r="BZ169" s="76" t="s">
        <v>631</v>
      </c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9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95"/>
      <c r="DX169" s="90"/>
      <c r="DY169" s="21"/>
      <c r="DZ169" s="21"/>
    </row>
    <row r="170" spans="1:130" hidden="1" outlineLevel="1" x14ac:dyDescent="0.3">
      <c r="A170" s="4"/>
      <c r="B170" s="4"/>
      <c r="C170" s="102" t="s">
        <v>779</v>
      </c>
      <c r="D170" s="4"/>
      <c r="E170" s="12"/>
      <c r="F170" s="34"/>
      <c r="G170" s="28"/>
      <c r="H170" s="28"/>
      <c r="I170" s="26"/>
      <c r="J170" s="24"/>
      <c r="K170" s="31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93"/>
      <c r="AX170" s="76" t="s">
        <v>631</v>
      </c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 t="s">
        <v>631</v>
      </c>
      <c r="BQ170" s="76"/>
      <c r="BR170" s="76"/>
      <c r="BS170" s="76"/>
      <c r="BT170" s="76"/>
      <c r="BU170" s="76"/>
      <c r="BV170" s="76"/>
      <c r="BW170" s="76"/>
      <c r="BX170" s="76"/>
      <c r="BY170" s="76"/>
      <c r="BZ170" s="76" t="s">
        <v>631</v>
      </c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9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95"/>
      <c r="DX170" s="90"/>
      <c r="DY170" s="21"/>
      <c r="DZ170" s="21"/>
    </row>
    <row r="171" spans="1:130" hidden="1" outlineLevel="1" x14ac:dyDescent="0.3">
      <c r="A171" s="4"/>
      <c r="B171" s="4"/>
      <c r="C171" s="102" t="s">
        <v>780</v>
      </c>
      <c r="D171" s="4"/>
      <c r="E171" s="12"/>
      <c r="F171" s="34"/>
      <c r="G171" s="28"/>
      <c r="H171" s="28"/>
      <c r="I171" s="26"/>
      <c r="J171" s="24"/>
      <c r="K171" s="31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93"/>
      <c r="AX171" s="76" t="s">
        <v>631</v>
      </c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 t="s">
        <v>631</v>
      </c>
      <c r="BQ171" s="76"/>
      <c r="BR171" s="76"/>
      <c r="BS171" s="76"/>
      <c r="BT171" s="76"/>
      <c r="BU171" s="76"/>
      <c r="BV171" s="76"/>
      <c r="BW171" s="76"/>
      <c r="BX171" s="76"/>
      <c r="BY171" s="76"/>
      <c r="BZ171" s="76" t="s">
        <v>631</v>
      </c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9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95"/>
      <c r="DX171" s="90"/>
      <c r="DY171" s="21"/>
      <c r="DZ171" s="21"/>
    </row>
    <row r="172" spans="1:130" hidden="1" outlineLevel="1" x14ac:dyDescent="0.3">
      <c r="A172" s="4"/>
      <c r="B172" s="4"/>
      <c r="C172" s="102" t="s">
        <v>781</v>
      </c>
      <c r="D172" s="4"/>
      <c r="E172" s="12"/>
      <c r="F172" s="34"/>
      <c r="G172" s="28"/>
      <c r="H172" s="28"/>
      <c r="I172" s="26"/>
      <c r="J172" s="24"/>
      <c r="K172" s="31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93"/>
      <c r="AX172" s="76" t="s">
        <v>631</v>
      </c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 t="s">
        <v>631</v>
      </c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9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95"/>
      <c r="DX172" s="90"/>
      <c r="DY172" s="21"/>
      <c r="DZ172" s="21"/>
    </row>
    <row r="173" spans="1:130" collapsed="1" x14ac:dyDescent="0.3">
      <c r="A173" s="4" t="s">
        <v>70</v>
      </c>
      <c r="B173" s="4" t="s">
        <v>70</v>
      </c>
      <c r="C173" s="91" t="s">
        <v>115</v>
      </c>
      <c r="D173" s="4" t="s">
        <v>116</v>
      </c>
      <c r="E173" s="12">
        <v>744.82</v>
      </c>
      <c r="F173" s="34">
        <f t="shared" si="0"/>
        <v>2234.46</v>
      </c>
      <c r="G173" s="28">
        <f t="shared" si="6"/>
        <v>3</v>
      </c>
      <c r="H173" s="28">
        <f t="shared" si="1"/>
        <v>1</v>
      </c>
      <c r="I173" s="26">
        <f t="shared" si="2"/>
        <v>0</v>
      </c>
      <c r="J173" s="24">
        <f t="shared" si="3"/>
        <v>0</v>
      </c>
      <c r="K173" s="31">
        <f t="shared" si="4"/>
        <v>0</v>
      </c>
      <c r="L173" s="9">
        <v>0</v>
      </c>
      <c r="M173" s="9">
        <v>3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E173" s="6">
        <v>0</v>
      </c>
      <c r="AF173" s="6">
        <v>2234.46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93"/>
      <c r="AX173" s="76"/>
      <c r="AY173" s="76" t="s">
        <v>631</v>
      </c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 t="s">
        <v>631</v>
      </c>
      <c r="BK173" s="76"/>
      <c r="BL173" s="76"/>
      <c r="BM173" s="76"/>
      <c r="BN173" s="76"/>
      <c r="BO173" s="76"/>
      <c r="BP173" s="76" t="s">
        <v>631</v>
      </c>
      <c r="BQ173" s="76"/>
      <c r="BR173" s="76"/>
      <c r="BS173" s="76"/>
      <c r="BT173" s="76"/>
      <c r="BU173" s="76"/>
      <c r="BV173" s="76"/>
      <c r="BW173" s="76"/>
      <c r="BX173" s="76"/>
      <c r="BY173" s="76"/>
      <c r="BZ173" s="76" t="s">
        <v>631</v>
      </c>
      <c r="CA173" s="76"/>
      <c r="CB173" s="76"/>
      <c r="CC173" s="76"/>
      <c r="CD173" s="76" t="s">
        <v>631</v>
      </c>
      <c r="CE173" s="76"/>
      <c r="CF173" s="76"/>
      <c r="CG173" s="76"/>
      <c r="CH173" s="76" t="s">
        <v>631</v>
      </c>
      <c r="CI173" s="76" t="s">
        <v>631</v>
      </c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 t="s">
        <v>631</v>
      </c>
      <c r="DH173" s="96" t="s">
        <v>631</v>
      </c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95"/>
      <c r="DX173" s="90">
        <f>COUNTIF(AW173:DW173,"x")</f>
        <v>9</v>
      </c>
      <c r="DY173" s="21"/>
      <c r="DZ173" s="21"/>
    </row>
    <row r="174" spans="1:130" hidden="1" outlineLevel="1" x14ac:dyDescent="0.3">
      <c r="A174" s="4"/>
      <c r="B174" s="4"/>
      <c r="C174" s="102" t="s">
        <v>782</v>
      </c>
      <c r="D174" s="4"/>
      <c r="E174" s="12"/>
      <c r="F174" s="34"/>
      <c r="G174" s="28"/>
      <c r="H174" s="28"/>
      <c r="I174" s="26"/>
      <c r="J174" s="24"/>
      <c r="K174" s="31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93"/>
      <c r="AX174" s="76"/>
      <c r="AY174" s="76" t="s">
        <v>631</v>
      </c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 t="s">
        <v>631</v>
      </c>
      <c r="BQ174" s="76"/>
      <c r="BR174" s="76"/>
      <c r="BS174" s="76"/>
      <c r="BT174" s="76"/>
      <c r="BU174" s="76"/>
      <c r="BV174" s="76"/>
      <c r="BW174" s="76"/>
      <c r="BX174" s="76"/>
      <c r="BY174" s="76"/>
      <c r="BZ174" s="76" t="s">
        <v>631</v>
      </c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9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95"/>
      <c r="DX174" s="90"/>
      <c r="DY174" s="21"/>
      <c r="DZ174" s="21"/>
    </row>
    <row r="175" spans="1:130" hidden="1" outlineLevel="1" x14ac:dyDescent="0.3">
      <c r="A175" s="4"/>
      <c r="B175" s="4"/>
      <c r="C175" s="102" t="s">
        <v>783</v>
      </c>
      <c r="D175" s="4"/>
      <c r="E175" s="12"/>
      <c r="F175" s="34"/>
      <c r="G175" s="28"/>
      <c r="H175" s="28"/>
      <c r="I175" s="26"/>
      <c r="J175" s="24"/>
      <c r="K175" s="31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93"/>
      <c r="AX175" s="76"/>
      <c r="AY175" s="76" t="s">
        <v>631</v>
      </c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 t="s">
        <v>631</v>
      </c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9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95"/>
      <c r="DX175" s="90"/>
      <c r="DY175" s="21"/>
      <c r="DZ175" s="21"/>
    </row>
    <row r="176" spans="1:130" hidden="1" outlineLevel="1" x14ac:dyDescent="0.3">
      <c r="A176" s="4"/>
      <c r="B176" s="4"/>
      <c r="C176" s="102" t="s">
        <v>784</v>
      </c>
      <c r="D176" s="4"/>
      <c r="E176" s="12"/>
      <c r="F176" s="34"/>
      <c r="G176" s="28"/>
      <c r="H176" s="28"/>
      <c r="I176" s="26"/>
      <c r="J176" s="24"/>
      <c r="K176" s="31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93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 t="s">
        <v>631</v>
      </c>
      <c r="BK176" s="76" t="s">
        <v>631</v>
      </c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9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95"/>
      <c r="DX176" s="90"/>
      <c r="DY176" s="21"/>
      <c r="DZ176" s="21"/>
    </row>
    <row r="177" spans="1:130" hidden="1" outlineLevel="1" x14ac:dyDescent="0.3">
      <c r="A177" s="4"/>
      <c r="B177" s="4"/>
      <c r="C177" s="102" t="s">
        <v>785</v>
      </c>
      <c r="D177" s="4"/>
      <c r="E177" s="12"/>
      <c r="F177" s="34"/>
      <c r="G177" s="28"/>
      <c r="H177" s="28"/>
      <c r="I177" s="26"/>
      <c r="J177" s="24"/>
      <c r="K177" s="31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93"/>
      <c r="AX177" s="76"/>
      <c r="AY177" s="76" t="s">
        <v>631</v>
      </c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9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95"/>
      <c r="DX177" s="90"/>
      <c r="DY177" s="21"/>
      <c r="DZ177" s="21"/>
    </row>
    <row r="178" spans="1:130" collapsed="1" x14ac:dyDescent="0.3">
      <c r="A178" s="4" t="s">
        <v>70</v>
      </c>
      <c r="B178" s="4" t="s">
        <v>70</v>
      </c>
      <c r="C178" s="91" t="s">
        <v>117</v>
      </c>
      <c r="D178" s="4" t="s">
        <v>116</v>
      </c>
      <c r="E178" s="12">
        <v>753.18</v>
      </c>
      <c r="F178" s="34">
        <f t="shared" si="0"/>
        <v>2259.54</v>
      </c>
      <c r="G178" s="28">
        <f t="shared" si="6"/>
        <v>3</v>
      </c>
      <c r="H178" s="28">
        <f t="shared" si="1"/>
        <v>1</v>
      </c>
      <c r="I178" s="26">
        <f t="shared" si="2"/>
        <v>0</v>
      </c>
      <c r="J178" s="24">
        <f t="shared" si="3"/>
        <v>0</v>
      </c>
      <c r="K178" s="31">
        <f t="shared" si="4"/>
        <v>0</v>
      </c>
      <c r="L178" s="9">
        <v>0</v>
      </c>
      <c r="M178" s="9">
        <v>3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E178" s="6">
        <v>0</v>
      </c>
      <c r="AF178" s="6">
        <v>2259.54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93"/>
      <c r="AX178" s="76"/>
      <c r="AY178" s="76" t="s">
        <v>631</v>
      </c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 t="s">
        <v>631</v>
      </c>
      <c r="BP178" s="76" t="s">
        <v>631</v>
      </c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 t="s">
        <v>631</v>
      </c>
      <c r="CE178" s="76"/>
      <c r="CF178" s="76"/>
      <c r="CG178" s="76"/>
      <c r="CH178" s="76" t="s">
        <v>631</v>
      </c>
      <c r="CI178" s="76" t="s">
        <v>631</v>
      </c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 t="s">
        <v>631</v>
      </c>
      <c r="DH178" s="96" t="s">
        <v>631</v>
      </c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95"/>
      <c r="DX178" s="90">
        <f>COUNTIF(AW178:DW178,"x")</f>
        <v>8</v>
      </c>
      <c r="DY178" s="21"/>
      <c r="DZ178" s="21"/>
    </row>
    <row r="179" spans="1:130" hidden="1" outlineLevel="1" x14ac:dyDescent="0.3">
      <c r="A179" s="4"/>
      <c r="B179" s="4"/>
      <c r="C179" s="102" t="s">
        <v>786</v>
      </c>
      <c r="D179" s="4"/>
      <c r="E179" s="12"/>
      <c r="F179" s="34"/>
      <c r="G179" s="28"/>
      <c r="H179" s="28"/>
      <c r="I179" s="26"/>
      <c r="J179" s="24"/>
      <c r="K179" s="31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93"/>
      <c r="AX179" s="76"/>
      <c r="AY179" s="76" t="s">
        <v>631</v>
      </c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 t="s">
        <v>631</v>
      </c>
      <c r="BQ179" s="76"/>
      <c r="BR179" s="76"/>
      <c r="BS179" s="76"/>
      <c r="BT179" s="76"/>
      <c r="BU179" s="76"/>
      <c r="BV179" s="76"/>
      <c r="BW179" s="76"/>
      <c r="BX179" s="76"/>
      <c r="BY179" s="76"/>
      <c r="BZ179" s="76" t="s">
        <v>631</v>
      </c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9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95"/>
      <c r="DX179" s="90"/>
      <c r="DY179" s="21"/>
      <c r="DZ179" s="21"/>
    </row>
    <row r="180" spans="1:130" hidden="1" outlineLevel="1" x14ac:dyDescent="0.3">
      <c r="A180" s="4"/>
      <c r="B180" s="4"/>
      <c r="C180" s="102" t="s">
        <v>787</v>
      </c>
      <c r="D180" s="4"/>
      <c r="E180" s="12"/>
      <c r="F180" s="34"/>
      <c r="G180" s="28"/>
      <c r="H180" s="28"/>
      <c r="I180" s="26"/>
      <c r="J180" s="24"/>
      <c r="K180" s="31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93"/>
      <c r="AX180" s="76"/>
      <c r="AY180" s="76" t="s">
        <v>631</v>
      </c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 t="s">
        <v>631</v>
      </c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9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95"/>
      <c r="DX180" s="90"/>
      <c r="DY180" s="21"/>
      <c r="DZ180" s="21"/>
    </row>
    <row r="181" spans="1:130" collapsed="1" x14ac:dyDescent="0.3">
      <c r="A181" s="4" t="s">
        <v>70</v>
      </c>
      <c r="B181" s="4" t="s">
        <v>118</v>
      </c>
      <c r="C181" s="91" t="s">
        <v>119</v>
      </c>
      <c r="D181" s="4" t="s">
        <v>102</v>
      </c>
      <c r="E181" s="12">
        <v>4.07</v>
      </c>
      <c r="F181" s="34">
        <f t="shared" si="0"/>
        <v>1005.2900000000001</v>
      </c>
      <c r="G181" s="28">
        <f t="shared" si="6"/>
        <v>247</v>
      </c>
      <c r="H181" s="28">
        <f t="shared" si="1"/>
        <v>21</v>
      </c>
      <c r="I181" s="26">
        <f t="shared" si="2"/>
        <v>0</v>
      </c>
      <c r="J181" s="24">
        <f t="shared" si="3"/>
        <v>0</v>
      </c>
      <c r="K181" s="31">
        <f t="shared" si="4"/>
        <v>0</v>
      </c>
      <c r="L181" s="9">
        <v>3</v>
      </c>
      <c r="M181" s="9">
        <v>247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E181" s="6">
        <v>12.21</v>
      </c>
      <c r="AF181" s="6">
        <v>1005.2900000000001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93"/>
      <c r="AX181" s="76"/>
      <c r="AY181" s="76" t="s">
        <v>631</v>
      </c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 t="s">
        <v>631</v>
      </c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 t="s">
        <v>631</v>
      </c>
      <c r="CI181" s="76" t="s">
        <v>631</v>
      </c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 t="s">
        <v>631</v>
      </c>
      <c r="DH181" s="96" t="s">
        <v>631</v>
      </c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95"/>
      <c r="DX181" s="90">
        <f>COUNTIF(AW181:DW181,"x")</f>
        <v>6</v>
      </c>
      <c r="DY181" s="21"/>
      <c r="DZ181" s="21"/>
    </row>
    <row r="182" spans="1:130" collapsed="1" x14ac:dyDescent="0.3">
      <c r="A182" s="4" t="s">
        <v>126</v>
      </c>
      <c r="B182" s="4" t="s">
        <v>127</v>
      </c>
      <c r="C182" s="91" t="s">
        <v>128</v>
      </c>
      <c r="D182" s="4" t="s">
        <v>129</v>
      </c>
      <c r="E182" s="12">
        <v>69.56</v>
      </c>
      <c r="F182" s="34">
        <f t="shared" si="0"/>
        <v>66012.44</v>
      </c>
      <c r="G182" s="28">
        <f t="shared" si="6"/>
        <v>949</v>
      </c>
      <c r="H182" s="28">
        <f t="shared" si="1"/>
        <v>80</v>
      </c>
      <c r="I182" s="26">
        <f t="shared" si="2"/>
        <v>0</v>
      </c>
      <c r="J182" s="24">
        <f t="shared" si="3"/>
        <v>0</v>
      </c>
      <c r="K182" s="31">
        <f t="shared" si="4"/>
        <v>0</v>
      </c>
      <c r="L182" s="9">
        <v>0</v>
      </c>
      <c r="M182" s="9">
        <v>476</v>
      </c>
      <c r="N182" s="9">
        <v>473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E182" s="6">
        <v>0</v>
      </c>
      <c r="AF182" s="6">
        <v>24856.720000000001</v>
      </c>
      <c r="AG182" s="6">
        <v>24700.059999999998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93" t="s">
        <v>631</v>
      </c>
      <c r="AX182" s="76" t="s">
        <v>631</v>
      </c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 t="s">
        <v>631</v>
      </c>
      <c r="BP182" s="76" t="s">
        <v>631</v>
      </c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 t="s">
        <v>631</v>
      </c>
      <c r="DA182" s="76"/>
      <c r="DB182" s="76"/>
      <c r="DC182" s="76"/>
      <c r="DD182" s="76"/>
      <c r="DE182" s="76"/>
      <c r="DF182" s="76"/>
      <c r="DG182" s="76"/>
      <c r="DH182" s="96" t="s">
        <v>631</v>
      </c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95"/>
      <c r="DX182" s="90">
        <f>COUNTIF(AW182:DW182,"x")</f>
        <v>6</v>
      </c>
      <c r="DY182" s="21"/>
      <c r="DZ182" s="21"/>
    </row>
    <row r="183" spans="1:130" hidden="1" outlineLevel="1" x14ac:dyDescent="0.3">
      <c r="A183" s="4"/>
      <c r="B183" s="4"/>
      <c r="C183" s="102" t="s">
        <v>788</v>
      </c>
      <c r="D183" s="4"/>
      <c r="E183" s="12"/>
      <c r="F183" s="34"/>
      <c r="G183" s="28"/>
      <c r="H183" s="28"/>
      <c r="I183" s="26"/>
      <c r="J183" s="24"/>
      <c r="K183" s="31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93"/>
      <c r="AX183" s="76" t="s">
        <v>631</v>
      </c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 t="s">
        <v>631</v>
      </c>
      <c r="BQ183" s="76"/>
      <c r="BR183" s="76"/>
      <c r="BS183" s="76"/>
      <c r="BT183" s="76"/>
      <c r="BU183" s="76"/>
      <c r="BV183" s="76"/>
      <c r="BW183" s="76"/>
      <c r="BX183" s="76"/>
      <c r="BY183" s="76"/>
      <c r="BZ183" s="76" t="s">
        <v>631</v>
      </c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9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95"/>
      <c r="DX183" s="90"/>
      <c r="DY183" s="21"/>
      <c r="DZ183" s="21"/>
    </row>
    <row r="184" spans="1:130" hidden="1" outlineLevel="1" x14ac:dyDescent="0.3">
      <c r="A184" s="4"/>
      <c r="B184" s="4"/>
      <c r="C184" s="102" t="s">
        <v>789</v>
      </c>
      <c r="D184" s="4"/>
      <c r="E184" s="12"/>
      <c r="F184" s="34"/>
      <c r="G184" s="28"/>
      <c r="H184" s="28"/>
      <c r="I184" s="26"/>
      <c r="J184" s="24"/>
      <c r="K184" s="31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93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 t="s">
        <v>631</v>
      </c>
      <c r="BP184" s="76" t="s">
        <v>631</v>
      </c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9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95"/>
      <c r="DX184" s="90"/>
      <c r="DY184" s="21"/>
      <c r="DZ184" s="21"/>
    </row>
    <row r="185" spans="1:130" hidden="1" outlineLevel="1" x14ac:dyDescent="0.3">
      <c r="A185" s="4"/>
      <c r="B185" s="4"/>
      <c r="C185" s="102" t="s">
        <v>128</v>
      </c>
      <c r="D185" s="4"/>
      <c r="E185" s="12"/>
      <c r="F185" s="34"/>
      <c r="G185" s="28"/>
      <c r="H185" s="28"/>
      <c r="I185" s="26"/>
      <c r="J185" s="24"/>
      <c r="K185" s="31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93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 t="s">
        <v>631</v>
      </c>
      <c r="DH185" s="9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95"/>
      <c r="DX185" s="90"/>
      <c r="DY185" s="21"/>
      <c r="DZ185" s="21"/>
    </row>
    <row r="186" spans="1:130" hidden="1" outlineLevel="1" x14ac:dyDescent="0.3">
      <c r="A186" s="4"/>
      <c r="B186" s="4"/>
      <c r="C186" s="102" t="s">
        <v>790</v>
      </c>
      <c r="D186" s="4"/>
      <c r="E186" s="12"/>
      <c r="F186" s="34"/>
      <c r="G186" s="28"/>
      <c r="H186" s="28"/>
      <c r="I186" s="26"/>
      <c r="J186" s="24"/>
      <c r="K186" s="31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93"/>
      <c r="AX186" s="76" t="s">
        <v>631</v>
      </c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 t="s">
        <v>631</v>
      </c>
      <c r="BQ186" s="76"/>
      <c r="BR186" s="76"/>
      <c r="BS186" s="76"/>
      <c r="BT186" s="76" t="s">
        <v>631</v>
      </c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9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95"/>
      <c r="DX186" s="90"/>
      <c r="DY186" s="21"/>
      <c r="DZ186" s="21"/>
    </row>
    <row r="187" spans="1:130" hidden="1" outlineLevel="1" x14ac:dyDescent="0.3">
      <c r="A187" s="4"/>
      <c r="B187" s="4"/>
      <c r="C187" s="102" t="s">
        <v>791</v>
      </c>
      <c r="D187" s="4"/>
      <c r="E187" s="12"/>
      <c r="F187" s="34"/>
      <c r="G187" s="28"/>
      <c r="H187" s="28"/>
      <c r="I187" s="26"/>
      <c r="J187" s="24"/>
      <c r="K187" s="31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93" t="s">
        <v>631</v>
      </c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 t="s">
        <v>631</v>
      </c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9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95"/>
      <c r="DX187" s="90"/>
      <c r="DY187" s="21"/>
      <c r="DZ187" s="21"/>
    </row>
    <row r="188" spans="1:130" collapsed="1" x14ac:dyDescent="0.3">
      <c r="A188" s="4" t="s">
        <v>126</v>
      </c>
      <c r="B188" s="4" t="s">
        <v>127</v>
      </c>
      <c r="C188" s="91" t="s">
        <v>130</v>
      </c>
      <c r="D188" s="4" t="s">
        <v>131</v>
      </c>
      <c r="E188" s="12">
        <v>26.01</v>
      </c>
      <c r="F188" s="34">
        <f t="shared" si="0"/>
        <v>51811.920000000006</v>
      </c>
      <c r="G188" s="28">
        <f t="shared" si="6"/>
        <v>1992</v>
      </c>
      <c r="H188" s="28">
        <f t="shared" si="1"/>
        <v>166</v>
      </c>
      <c r="I188" s="26">
        <f t="shared" si="2"/>
        <v>0</v>
      </c>
      <c r="J188" s="24">
        <f t="shared" si="3"/>
        <v>0</v>
      </c>
      <c r="K188" s="31">
        <f t="shared" si="4"/>
        <v>0</v>
      </c>
      <c r="L188" s="9">
        <v>0</v>
      </c>
      <c r="M188" s="9">
        <v>1992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E188" s="6">
        <v>0</v>
      </c>
      <c r="AF188" s="6">
        <v>49461.36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93" t="s">
        <v>631</v>
      </c>
      <c r="AX188" s="76" t="s">
        <v>631</v>
      </c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 t="s">
        <v>631</v>
      </c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 t="s">
        <v>631</v>
      </c>
      <c r="DA188" s="76"/>
      <c r="DB188" s="76"/>
      <c r="DC188" s="76"/>
      <c r="DD188" s="76"/>
      <c r="DE188" s="76"/>
      <c r="DF188" s="76"/>
      <c r="DG188" s="76"/>
      <c r="DH188" s="96" t="s">
        <v>631</v>
      </c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95"/>
      <c r="DX188" s="90">
        <f>COUNTIF(AW188:DW188,"x")</f>
        <v>5</v>
      </c>
      <c r="DY188" s="21"/>
      <c r="DZ188" s="21"/>
    </row>
    <row r="189" spans="1:130" hidden="1" outlineLevel="1" x14ac:dyDescent="0.3">
      <c r="A189" s="4"/>
      <c r="B189" s="4"/>
      <c r="C189" s="102" t="s">
        <v>130</v>
      </c>
      <c r="D189" s="4"/>
      <c r="E189" s="12"/>
      <c r="F189" s="34"/>
      <c r="G189" s="28"/>
      <c r="H189" s="28"/>
      <c r="I189" s="26"/>
      <c r="J189" s="24"/>
      <c r="K189" s="31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93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 t="s">
        <v>631</v>
      </c>
      <c r="DH189" s="9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95"/>
      <c r="DX189" s="90"/>
      <c r="DY189" s="21"/>
      <c r="DZ189" s="21"/>
    </row>
    <row r="190" spans="1:130" hidden="1" outlineLevel="1" x14ac:dyDescent="0.3">
      <c r="A190" s="4"/>
      <c r="B190" s="4"/>
      <c r="C190" s="102" t="s">
        <v>792</v>
      </c>
      <c r="D190" s="4"/>
      <c r="E190" s="12"/>
      <c r="F190" s="34"/>
      <c r="G190" s="28"/>
      <c r="H190" s="28"/>
      <c r="I190" s="26"/>
      <c r="J190" s="24"/>
      <c r="K190" s="31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93"/>
      <c r="AX190" s="76" t="s">
        <v>631</v>
      </c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 t="s">
        <v>631</v>
      </c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9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95"/>
      <c r="DX190" s="90"/>
      <c r="DY190" s="21"/>
      <c r="DZ190" s="21"/>
    </row>
    <row r="191" spans="1:130" hidden="1" outlineLevel="1" x14ac:dyDescent="0.3">
      <c r="A191" s="4"/>
      <c r="B191" s="4"/>
      <c r="C191" s="102" t="s">
        <v>793</v>
      </c>
      <c r="D191" s="4"/>
      <c r="E191" s="12"/>
      <c r="F191" s="34"/>
      <c r="G191" s="28"/>
      <c r="H191" s="28"/>
      <c r="I191" s="26"/>
      <c r="J191" s="24"/>
      <c r="K191" s="31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93"/>
      <c r="AX191" s="76" t="s">
        <v>631</v>
      </c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 t="s">
        <v>631</v>
      </c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9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95"/>
      <c r="DX191" s="90"/>
      <c r="DY191" s="21"/>
      <c r="DZ191" s="21"/>
    </row>
    <row r="192" spans="1:130" hidden="1" outlineLevel="1" x14ac:dyDescent="0.3">
      <c r="A192" s="4"/>
      <c r="B192" s="4"/>
      <c r="C192" s="102" t="s">
        <v>794</v>
      </c>
      <c r="D192" s="4"/>
      <c r="E192" s="12"/>
      <c r="F192" s="34"/>
      <c r="G192" s="28"/>
      <c r="H192" s="28"/>
      <c r="I192" s="26"/>
      <c r="J192" s="24"/>
      <c r="K192" s="31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93"/>
      <c r="AX192" s="76" t="s">
        <v>631</v>
      </c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 t="s">
        <v>631</v>
      </c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9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95"/>
      <c r="DX192" s="90"/>
      <c r="DY192" s="21"/>
      <c r="DZ192" s="21"/>
    </row>
    <row r="193" spans="1:130" hidden="1" outlineLevel="1" x14ac:dyDescent="0.3">
      <c r="A193" s="4"/>
      <c r="B193" s="4"/>
      <c r="C193" s="102" t="s">
        <v>795</v>
      </c>
      <c r="D193" s="4"/>
      <c r="E193" s="12"/>
      <c r="F193" s="34"/>
      <c r="G193" s="28"/>
      <c r="H193" s="28"/>
      <c r="I193" s="26"/>
      <c r="J193" s="24"/>
      <c r="K193" s="31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93" t="s">
        <v>631</v>
      </c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 t="s">
        <v>631</v>
      </c>
      <c r="BQ193" s="76"/>
      <c r="BR193" s="76"/>
      <c r="BS193" s="76"/>
      <c r="BT193" s="76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9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95"/>
      <c r="DX193" s="90"/>
      <c r="DY193" s="21"/>
      <c r="DZ193" s="21"/>
    </row>
    <row r="194" spans="1:130" hidden="1" outlineLevel="1" x14ac:dyDescent="0.3">
      <c r="A194" s="4"/>
      <c r="B194" s="4"/>
      <c r="C194" s="102" t="s">
        <v>796</v>
      </c>
      <c r="D194" s="4"/>
      <c r="E194" s="12"/>
      <c r="F194" s="34"/>
      <c r="G194" s="28"/>
      <c r="H194" s="28"/>
      <c r="I194" s="26"/>
      <c r="J194" s="24"/>
      <c r="K194" s="31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93"/>
      <c r="AX194" s="76" t="s">
        <v>631</v>
      </c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 t="s">
        <v>631</v>
      </c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9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95"/>
      <c r="DX194" s="90"/>
      <c r="DY194" s="21"/>
      <c r="DZ194" s="21"/>
    </row>
    <row r="195" spans="1:130" collapsed="1" x14ac:dyDescent="0.3">
      <c r="A195" s="4" t="s">
        <v>126</v>
      </c>
      <c r="B195" s="4" t="s">
        <v>135</v>
      </c>
      <c r="C195" s="91" t="s">
        <v>136</v>
      </c>
      <c r="D195" s="4" t="s">
        <v>137</v>
      </c>
      <c r="E195" s="12">
        <v>269.39999999999998</v>
      </c>
      <c r="F195" s="34">
        <f t="shared" si="0"/>
        <v>14008.8</v>
      </c>
      <c r="G195" s="28">
        <f t="shared" si="6"/>
        <v>52</v>
      </c>
      <c r="H195" s="28">
        <f t="shared" si="1"/>
        <v>5</v>
      </c>
      <c r="I195" s="26">
        <f t="shared" si="2"/>
        <v>0</v>
      </c>
      <c r="J195" s="24">
        <f t="shared" si="3"/>
        <v>0</v>
      </c>
      <c r="K195" s="31">
        <f t="shared" si="4"/>
        <v>0</v>
      </c>
      <c r="L195" s="9">
        <v>0</v>
      </c>
      <c r="M195" s="9">
        <v>0</v>
      </c>
      <c r="N195" s="9">
        <v>52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E195" s="6">
        <v>0</v>
      </c>
      <c r="AF195" s="6">
        <v>0</v>
      </c>
      <c r="AG195" s="6">
        <v>14008.8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93" t="s">
        <v>631</v>
      </c>
      <c r="AX195" s="76" t="s">
        <v>631</v>
      </c>
      <c r="AY195" s="76" t="s">
        <v>631</v>
      </c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 t="s">
        <v>631</v>
      </c>
      <c r="BL195" s="76"/>
      <c r="BM195" s="76"/>
      <c r="BN195" s="76"/>
      <c r="BO195" s="76" t="s">
        <v>631</v>
      </c>
      <c r="BP195" s="76" t="s">
        <v>631</v>
      </c>
      <c r="BQ195" s="76"/>
      <c r="BR195" s="76"/>
      <c r="BS195" s="76"/>
      <c r="BT195" s="76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 t="s">
        <v>631</v>
      </c>
      <c r="DE195" s="76"/>
      <c r="DF195" s="76"/>
      <c r="DG195" s="76"/>
      <c r="DH195" s="96" t="s">
        <v>631</v>
      </c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95"/>
      <c r="DX195" s="90">
        <f>COUNTIF(AW195:DW195,"x")</f>
        <v>8</v>
      </c>
      <c r="DY195" s="21"/>
      <c r="DZ195" s="21"/>
    </row>
    <row r="196" spans="1:130" hidden="1" outlineLevel="1" x14ac:dyDescent="0.3">
      <c r="A196" s="4"/>
      <c r="B196" s="4"/>
      <c r="C196" s="101" t="s">
        <v>136</v>
      </c>
      <c r="D196" s="4"/>
      <c r="E196" s="12"/>
      <c r="F196" s="34"/>
      <c r="G196" s="28"/>
      <c r="H196" s="28"/>
      <c r="I196" s="26"/>
      <c r="J196" s="24"/>
      <c r="K196" s="31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93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 t="s">
        <v>631</v>
      </c>
      <c r="DE196" s="76"/>
      <c r="DF196" s="76"/>
      <c r="DG196" s="76"/>
      <c r="DH196" s="9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95"/>
      <c r="DX196" s="90"/>
      <c r="DY196" s="21"/>
      <c r="DZ196" s="21"/>
    </row>
    <row r="197" spans="1:130" hidden="1" outlineLevel="1" x14ac:dyDescent="0.3">
      <c r="A197" s="4"/>
      <c r="B197" s="4"/>
      <c r="C197" s="101" t="s">
        <v>797</v>
      </c>
      <c r="D197" s="4"/>
      <c r="E197" s="12"/>
      <c r="F197" s="34"/>
      <c r="G197" s="28"/>
      <c r="H197" s="28"/>
      <c r="I197" s="26"/>
      <c r="J197" s="24"/>
      <c r="K197" s="31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93"/>
      <c r="AX197" s="76" t="s">
        <v>631</v>
      </c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 t="s">
        <v>631</v>
      </c>
      <c r="BP197" s="76" t="s">
        <v>631</v>
      </c>
      <c r="BQ197" s="76"/>
      <c r="BR197" s="76"/>
      <c r="BS197" s="76"/>
      <c r="BT197" s="76"/>
      <c r="BU197" s="76"/>
      <c r="BV197" s="76"/>
      <c r="BW197" s="76"/>
      <c r="BX197" s="76"/>
      <c r="BY197" s="76"/>
      <c r="BZ197" s="76" t="s">
        <v>631</v>
      </c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9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95"/>
      <c r="DX197" s="90"/>
      <c r="DY197" s="21"/>
      <c r="DZ197" s="21"/>
    </row>
    <row r="198" spans="1:130" hidden="1" outlineLevel="1" x14ac:dyDescent="0.3">
      <c r="A198" s="4"/>
      <c r="B198" s="4"/>
      <c r="C198" s="101" t="s">
        <v>798</v>
      </c>
      <c r="D198" s="4"/>
      <c r="E198" s="12"/>
      <c r="F198" s="34"/>
      <c r="G198" s="28"/>
      <c r="H198" s="28"/>
      <c r="I198" s="26"/>
      <c r="J198" s="24"/>
      <c r="K198" s="31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93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 t="s">
        <v>631</v>
      </c>
      <c r="DE198" s="76"/>
      <c r="DF198" s="76"/>
      <c r="DG198" s="76"/>
      <c r="DH198" s="9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95"/>
      <c r="DX198" s="90"/>
      <c r="DY198" s="21"/>
      <c r="DZ198" s="21"/>
    </row>
    <row r="199" spans="1:130" hidden="1" outlineLevel="1" x14ac:dyDescent="0.3">
      <c r="A199" s="4"/>
      <c r="B199" s="4"/>
      <c r="C199" s="101" t="s">
        <v>799</v>
      </c>
      <c r="D199" s="4"/>
      <c r="E199" s="12"/>
      <c r="F199" s="34"/>
      <c r="G199" s="28"/>
      <c r="H199" s="28"/>
      <c r="I199" s="26"/>
      <c r="J199" s="24"/>
      <c r="K199" s="31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93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 t="s">
        <v>631</v>
      </c>
      <c r="DE199" s="76"/>
      <c r="DF199" s="76"/>
      <c r="DG199" s="76"/>
      <c r="DH199" s="9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95"/>
      <c r="DX199" s="90"/>
      <c r="DY199" s="21"/>
      <c r="DZ199" s="21"/>
    </row>
    <row r="200" spans="1:130" hidden="1" outlineLevel="1" x14ac:dyDescent="0.3">
      <c r="A200" s="4"/>
      <c r="B200" s="4"/>
      <c r="C200" s="101" t="s">
        <v>800</v>
      </c>
      <c r="D200" s="4"/>
      <c r="E200" s="12"/>
      <c r="F200" s="34"/>
      <c r="G200" s="28"/>
      <c r="H200" s="28"/>
      <c r="I200" s="26"/>
      <c r="J200" s="24"/>
      <c r="K200" s="31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93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 t="s">
        <v>631</v>
      </c>
      <c r="DE200" s="76"/>
      <c r="DF200" s="76"/>
      <c r="DG200" s="76"/>
      <c r="DH200" s="9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95"/>
      <c r="DX200" s="90"/>
      <c r="DY200" s="21"/>
      <c r="DZ200" s="21"/>
    </row>
    <row r="201" spans="1:130" hidden="1" outlineLevel="1" x14ac:dyDescent="0.3">
      <c r="A201" s="4"/>
      <c r="B201" s="4"/>
      <c r="C201" s="101" t="s">
        <v>801</v>
      </c>
      <c r="D201" s="4"/>
      <c r="E201" s="12"/>
      <c r="F201" s="34"/>
      <c r="G201" s="28"/>
      <c r="H201" s="28"/>
      <c r="I201" s="26"/>
      <c r="J201" s="24"/>
      <c r="K201" s="31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93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 t="s">
        <v>631</v>
      </c>
      <c r="DE201" s="76"/>
      <c r="DF201" s="76"/>
      <c r="DG201" s="76"/>
      <c r="DH201" s="9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95"/>
      <c r="DX201" s="90"/>
      <c r="DY201" s="21"/>
      <c r="DZ201" s="21"/>
    </row>
    <row r="202" spans="1:130" hidden="1" outlineLevel="1" x14ac:dyDescent="0.3">
      <c r="A202" s="4"/>
      <c r="B202" s="4"/>
      <c r="C202" s="101" t="s">
        <v>802</v>
      </c>
      <c r="D202" s="4"/>
      <c r="E202" s="12"/>
      <c r="F202" s="34"/>
      <c r="G202" s="28"/>
      <c r="H202" s="28"/>
      <c r="I202" s="26"/>
      <c r="J202" s="24"/>
      <c r="K202" s="31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93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 t="s">
        <v>631</v>
      </c>
      <c r="DE202" s="76"/>
      <c r="DF202" s="76"/>
      <c r="DG202" s="76"/>
      <c r="DH202" s="9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95"/>
      <c r="DX202" s="90"/>
      <c r="DY202" s="21"/>
      <c r="DZ202" s="21"/>
    </row>
    <row r="203" spans="1:130" hidden="1" outlineLevel="1" x14ac:dyDescent="0.3">
      <c r="A203" s="4"/>
      <c r="B203" s="4"/>
      <c r="C203" s="101" t="s">
        <v>803</v>
      </c>
      <c r="D203" s="4"/>
      <c r="E203" s="12"/>
      <c r="F203" s="34"/>
      <c r="G203" s="28"/>
      <c r="H203" s="28"/>
      <c r="I203" s="26"/>
      <c r="J203" s="24"/>
      <c r="K203" s="31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93"/>
      <c r="AX203" s="76" t="s">
        <v>631</v>
      </c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 t="s">
        <v>631</v>
      </c>
      <c r="DE203" s="76"/>
      <c r="DF203" s="76"/>
      <c r="DG203" s="76"/>
      <c r="DH203" s="9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95"/>
      <c r="DX203" s="90"/>
      <c r="DY203" s="21"/>
      <c r="DZ203" s="21"/>
    </row>
    <row r="204" spans="1:130" hidden="1" outlineLevel="1" x14ac:dyDescent="0.3">
      <c r="A204" s="4"/>
      <c r="B204" s="4"/>
      <c r="C204" s="101" t="s">
        <v>804</v>
      </c>
      <c r="D204" s="4"/>
      <c r="E204" s="12"/>
      <c r="F204" s="34"/>
      <c r="G204" s="28"/>
      <c r="H204" s="28"/>
      <c r="I204" s="26"/>
      <c r="J204" s="24"/>
      <c r="K204" s="31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93"/>
      <c r="AX204" s="76" t="s">
        <v>631</v>
      </c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 t="s">
        <v>631</v>
      </c>
      <c r="DE204" s="76"/>
      <c r="DF204" s="76"/>
      <c r="DG204" s="76"/>
      <c r="DH204" s="9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95"/>
      <c r="DX204" s="90"/>
      <c r="DY204" s="21"/>
      <c r="DZ204" s="21"/>
    </row>
    <row r="205" spans="1:130" hidden="1" outlineLevel="1" x14ac:dyDescent="0.3">
      <c r="A205" s="4"/>
      <c r="B205" s="4"/>
      <c r="C205" s="101" t="s">
        <v>805</v>
      </c>
      <c r="D205" s="4"/>
      <c r="E205" s="12"/>
      <c r="F205" s="34"/>
      <c r="G205" s="28"/>
      <c r="H205" s="28"/>
      <c r="I205" s="26"/>
      <c r="J205" s="24"/>
      <c r="K205" s="31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93"/>
      <c r="AX205" s="76" t="s">
        <v>631</v>
      </c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 t="s">
        <v>631</v>
      </c>
      <c r="BP205" s="76" t="s">
        <v>631</v>
      </c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9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95"/>
      <c r="DX205" s="90"/>
      <c r="DY205" s="21"/>
      <c r="DZ205" s="21"/>
    </row>
    <row r="206" spans="1:130" hidden="1" outlineLevel="1" x14ac:dyDescent="0.3">
      <c r="A206" s="4"/>
      <c r="B206" s="4"/>
      <c r="C206" s="101" t="s">
        <v>806</v>
      </c>
      <c r="D206" s="4"/>
      <c r="E206" s="12"/>
      <c r="F206" s="34"/>
      <c r="G206" s="28"/>
      <c r="H206" s="28"/>
      <c r="I206" s="26"/>
      <c r="J206" s="24"/>
      <c r="K206" s="31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93"/>
      <c r="AX206" s="76" t="s">
        <v>631</v>
      </c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 t="s">
        <v>631</v>
      </c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9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95"/>
      <c r="DX206" s="90"/>
      <c r="DY206" s="21"/>
      <c r="DZ206" s="21"/>
    </row>
    <row r="207" spans="1:130" hidden="1" outlineLevel="1" x14ac:dyDescent="0.3">
      <c r="A207" s="4"/>
      <c r="B207" s="4"/>
      <c r="C207" s="101" t="s">
        <v>807</v>
      </c>
      <c r="D207" s="4"/>
      <c r="E207" s="12"/>
      <c r="F207" s="34"/>
      <c r="G207" s="28"/>
      <c r="H207" s="28"/>
      <c r="I207" s="26"/>
      <c r="J207" s="24"/>
      <c r="K207" s="31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93"/>
      <c r="AX207" s="76"/>
      <c r="AY207" s="76" t="s">
        <v>631</v>
      </c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 t="s">
        <v>631</v>
      </c>
      <c r="BQ207" s="76"/>
      <c r="BR207" s="76" t="s">
        <v>631</v>
      </c>
      <c r="BS207" s="76"/>
      <c r="BT207" s="76"/>
      <c r="BU207" s="76" t="s">
        <v>631</v>
      </c>
      <c r="BV207" s="76" t="s">
        <v>631</v>
      </c>
      <c r="BW207" s="76"/>
      <c r="BX207" s="76"/>
      <c r="BY207" s="76" t="s">
        <v>631</v>
      </c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9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95"/>
      <c r="DX207" s="90"/>
      <c r="DY207" s="21"/>
      <c r="DZ207" s="21"/>
    </row>
    <row r="208" spans="1:130" hidden="1" outlineLevel="1" x14ac:dyDescent="0.3">
      <c r="A208" s="4"/>
      <c r="B208" s="4"/>
      <c r="C208" s="101" t="s">
        <v>808</v>
      </c>
      <c r="D208" s="4"/>
      <c r="E208" s="12"/>
      <c r="F208" s="34"/>
      <c r="G208" s="28"/>
      <c r="H208" s="28"/>
      <c r="I208" s="26"/>
      <c r="J208" s="24"/>
      <c r="K208" s="31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93"/>
      <c r="AX208" s="76"/>
      <c r="AY208" s="76" t="s">
        <v>631</v>
      </c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 t="s">
        <v>631</v>
      </c>
      <c r="BQ208" s="76"/>
      <c r="BR208" s="76"/>
      <c r="BS208" s="76"/>
      <c r="BT208" s="76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9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95"/>
      <c r="DX208" s="90"/>
      <c r="DY208" s="21"/>
      <c r="DZ208" s="21"/>
    </row>
    <row r="209" spans="1:130" hidden="1" outlineLevel="1" x14ac:dyDescent="0.3">
      <c r="A209" s="4"/>
      <c r="B209" s="4"/>
      <c r="C209" s="101" t="s">
        <v>809</v>
      </c>
      <c r="D209" s="4"/>
      <c r="E209" s="12"/>
      <c r="F209" s="34"/>
      <c r="G209" s="28"/>
      <c r="H209" s="28"/>
      <c r="I209" s="26"/>
      <c r="J209" s="24"/>
      <c r="K209" s="31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93" t="s">
        <v>631</v>
      </c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 t="s">
        <v>631</v>
      </c>
      <c r="BQ209" s="76"/>
      <c r="BR209" s="76"/>
      <c r="BS209" s="76"/>
      <c r="BT209" s="76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9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95"/>
      <c r="DX209" s="90"/>
      <c r="DY209" s="21"/>
      <c r="DZ209" s="21"/>
    </row>
    <row r="210" spans="1:130" hidden="1" outlineLevel="1" x14ac:dyDescent="0.3">
      <c r="A210" s="4"/>
      <c r="B210" s="4"/>
      <c r="C210" s="101" t="s">
        <v>810</v>
      </c>
      <c r="D210" s="4"/>
      <c r="E210" s="12"/>
      <c r="F210" s="34"/>
      <c r="G210" s="28"/>
      <c r="H210" s="28"/>
      <c r="I210" s="26"/>
      <c r="J210" s="24"/>
      <c r="K210" s="31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93" t="s">
        <v>631</v>
      </c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 t="s">
        <v>631</v>
      </c>
      <c r="BQ210" s="76"/>
      <c r="BR210" s="76"/>
      <c r="BS210" s="76"/>
      <c r="BT210" s="76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9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95"/>
      <c r="DX210" s="90"/>
      <c r="DY210" s="21"/>
      <c r="DZ210" s="21"/>
    </row>
    <row r="211" spans="1:130" hidden="1" outlineLevel="1" x14ac:dyDescent="0.3">
      <c r="A211" s="4"/>
      <c r="B211" s="4"/>
      <c r="C211" s="101" t="s">
        <v>811</v>
      </c>
      <c r="D211" s="4"/>
      <c r="E211" s="12"/>
      <c r="F211" s="34"/>
      <c r="G211" s="28"/>
      <c r="H211" s="28"/>
      <c r="I211" s="26"/>
      <c r="J211" s="24"/>
      <c r="K211" s="31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93" t="s">
        <v>631</v>
      </c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 t="s">
        <v>631</v>
      </c>
      <c r="BQ211" s="76"/>
      <c r="BR211" s="76"/>
      <c r="BS211" s="76"/>
      <c r="BT211" s="76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9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95"/>
      <c r="DX211" s="90"/>
      <c r="DY211" s="21"/>
      <c r="DZ211" s="21"/>
    </row>
    <row r="212" spans="1:130" hidden="1" outlineLevel="1" x14ac:dyDescent="0.3">
      <c r="A212" s="4"/>
      <c r="B212" s="4"/>
      <c r="C212" s="101" t="s">
        <v>812</v>
      </c>
      <c r="D212" s="4"/>
      <c r="E212" s="12"/>
      <c r="F212" s="34"/>
      <c r="G212" s="28"/>
      <c r="H212" s="28"/>
      <c r="I212" s="26"/>
      <c r="J212" s="24"/>
      <c r="K212" s="31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93"/>
      <c r="AX212" s="76" t="s">
        <v>631</v>
      </c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 t="s">
        <v>631</v>
      </c>
      <c r="BQ212" s="76"/>
      <c r="BR212" s="76"/>
      <c r="BS212" s="76"/>
      <c r="BT212" s="76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9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95"/>
      <c r="DX212" s="90"/>
      <c r="DY212" s="21"/>
      <c r="DZ212" s="21"/>
    </row>
    <row r="213" spans="1:130" collapsed="1" x14ac:dyDescent="0.3">
      <c r="A213" s="4" t="s">
        <v>126</v>
      </c>
      <c r="B213" s="4" t="s">
        <v>150</v>
      </c>
      <c r="C213" s="91" t="s">
        <v>151</v>
      </c>
      <c r="D213" s="4" t="s">
        <v>152</v>
      </c>
      <c r="E213" s="12">
        <v>3.53</v>
      </c>
      <c r="F213" s="34">
        <f t="shared" si="0"/>
        <v>3830.0499999999997</v>
      </c>
      <c r="G213" s="28">
        <f t="shared" si="6"/>
        <v>1085</v>
      </c>
      <c r="H213" s="28">
        <f t="shared" si="1"/>
        <v>91</v>
      </c>
      <c r="I213" s="26">
        <f t="shared" si="2"/>
        <v>2329.7999999999997</v>
      </c>
      <c r="J213" s="24">
        <f t="shared" si="3"/>
        <v>660</v>
      </c>
      <c r="K213" s="31">
        <f t="shared" si="4"/>
        <v>132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185</v>
      </c>
      <c r="R213" s="9">
        <v>120</v>
      </c>
      <c r="S213" s="9">
        <v>150</v>
      </c>
      <c r="T213" s="9">
        <v>120</v>
      </c>
      <c r="U213" s="9">
        <v>120</v>
      </c>
      <c r="V213" s="9">
        <v>150</v>
      </c>
      <c r="W213" s="9">
        <v>120</v>
      </c>
      <c r="X213" s="9">
        <v>120</v>
      </c>
      <c r="Y213" s="9">
        <v>150</v>
      </c>
      <c r="Z213" s="9">
        <v>120</v>
      </c>
      <c r="AA213" s="9">
        <v>120</v>
      </c>
      <c r="AB213" s="9">
        <v>150</v>
      </c>
      <c r="AC213" s="9">
        <v>120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654.9</v>
      </c>
      <c r="AK213" s="6">
        <v>424.8</v>
      </c>
      <c r="AL213" s="6">
        <v>531</v>
      </c>
      <c r="AM213" s="6">
        <v>424.8</v>
      </c>
      <c r="AN213" s="6">
        <v>424.8</v>
      </c>
      <c r="AO213" s="6">
        <v>531</v>
      </c>
      <c r="AP213" s="6">
        <v>424.8</v>
      </c>
      <c r="AQ213" s="6">
        <v>424.8</v>
      </c>
      <c r="AR213" s="6">
        <v>531</v>
      </c>
      <c r="AS213" s="6">
        <v>424.8</v>
      </c>
      <c r="AT213" s="6">
        <v>424.8</v>
      </c>
      <c r="AU213" s="6">
        <v>531</v>
      </c>
      <c r="AV213" s="6">
        <v>424.8</v>
      </c>
      <c r="AW213" s="93"/>
      <c r="AX213" s="76"/>
      <c r="AY213" s="76" t="s">
        <v>631</v>
      </c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 t="s">
        <v>631</v>
      </c>
      <c r="BP213" s="76" t="s">
        <v>631</v>
      </c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 t="s">
        <v>631</v>
      </c>
      <c r="DE213" s="76"/>
      <c r="DF213" s="76"/>
      <c r="DG213" s="76"/>
      <c r="DH213" s="76" t="s">
        <v>631</v>
      </c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95"/>
      <c r="DX213" s="90">
        <f>COUNTIF(AW213:DW213,"x")</f>
        <v>5</v>
      </c>
      <c r="DY213" s="21"/>
      <c r="DZ213" s="21"/>
    </row>
    <row r="214" spans="1:130" collapsed="1" x14ac:dyDescent="0.3">
      <c r="A214" s="4" t="s">
        <v>126</v>
      </c>
      <c r="B214" s="4" t="s">
        <v>150</v>
      </c>
      <c r="C214" s="91" t="s">
        <v>153</v>
      </c>
      <c r="D214" s="4" t="s">
        <v>154</v>
      </c>
      <c r="E214" s="12">
        <v>13.22</v>
      </c>
      <c r="F214" s="34">
        <f t="shared" si="0"/>
        <v>31728</v>
      </c>
      <c r="G214" s="28">
        <f t="shared" si="6"/>
        <v>2400</v>
      </c>
      <c r="H214" s="28">
        <f t="shared" si="1"/>
        <v>200</v>
      </c>
      <c r="I214" s="26">
        <f t="shared" si="2"/>
        <v>8725.2000000000007</v>
      </c>
      <c r="J214" s="24">
        <f t="shared" si="3"/>
        <v>660</v>
      </c>
      <c r="K214" s="31">
        <f t="shared" si="4"/>
        <v>132</v>
      </c>
      <c r="L214" s="9">
        <v>0</v>
      </c>
      <c r="M214" s="9">
        <v>0</v>
      </c>
      <c r="N214" s="9">
        <v>0</v>
      </c>
      <c r="O214" s="9">
        <v>500</v>
      </c>
      <c r="P214" s="9">
        <v>500</v>
      </c>
      <c r="Q214" s="9">
        <v>500</v>
      </c>
      <c r="R214" s="9">
        <v>120</v>
      </c>
      <c r="S214" s="9">
        <v>150</v>
      </c>
      <c r="T214" s="9">
        <v>120</v>
      </c>
      <c r="U214" s="9">
        <v>120</v>
      </c>
      <c r="V214" s="9">
        <v>150</v>
      </c>
      <c r="W214" s="9">
        <v>120</v>
      </c>
      <c r="X214" s="9">
        <v>120</v>
      </c>
      <c r="Y214" s="9">
        <v>150</v>
      </c>
      <c r="Z214" s="9">
        <v>120</v>
      </c>
      <c r="AA214" s="9">
        <v>120</v>
      </c>
      <c r="AB214" s="9">
        <v>150</v>
      </c>
      <c r="AC214" s="9">
        <v>120</v>
      </c>
      <c r="AE214" s="6">
        <v>0</v>
      </c>
      <c r="AF214" s="6">
        <v>0</v>
      </c>
      <c r="AG214" s="6">
        <v>0</v>
      </c>
      <c r="AH214" s="6">
        <v>5875</v>
      </c>
      <c r="AI214" s="6">
        <v>5875</v>
      </c>
      <c r="AJ214" s="6">
        <v>5875</v>
      </c>
      <c r="AK214" s="6">
        <v>1410</v>
      </c>
      <c r="AL214" s="6">
        <v>1699.5</v>
      </c>
      <c r="AM214" s="6">
        <v>1359.6</v>
      </c>
      <c r="AN214" s="6">
        <v>1359.6</v>
      </c>
      <c r="AO214" s="6">
        <v>1699.5</v>
      </c>
      <c r="AP214" s="6">
        <v>1359.6</v>
      </c>
      <c r="AQ214" s="6">
        <v>1359.6</v>
      </c>
      <c r="AR214" s="6">
        <v>1699.5</v>
      </c>
      <c r="AS214" s="6">
        <v>1359.6</v>
      </c>
      <c r="AT214" s="6">
        <v>1359.6</v>
      </c>
      <c r="AU214" s="6">
        <v>1699.5</v>
      </c>
      <c r="AV214" s="6">
        <v>1359.6</v>
      </c>
      <c r="AW214" s="93" t="s">
        <v>631</v>
      </c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 t="s">
        <v>631</v>
      </c>
      <c r="BQ214" s="76"/>
      <c r="BR214" s="76"/>
      <c r="BS214" s="76"/>
      <c r="BT214" s="76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 t="s">
        <v>631</v>
      </c>
      <c r="DE214" s="76"/>
      <c r="DF214" s="76"/>
      <c r="DG214" s="76"/>
      <c r="DH214" s="96" t="s">
        <v>631</v>
      </c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95"/>
      <c r="DX214" s="90">
        <f>COUNTIF(AW214:DW214,"x")</f>
        <v>4</v>
      </c>
      <c r="DY214" s="21"/>
      <c r="DZ214" s="21"/>
    </row>
    <row r="215" spans="1:130" hidden="1" outlineLevel="1" x14ac:dyDescent="0.3">
      <c r="A215" s="4"/>
      <c r="B215" s="4"/>
      <c r="C215" s="102" t="s">
        <v>153</v>
      </c>
      <c r="D215" s="4"/>
      <c r="E215" s="12"/>
      <c r="F215" s="34"/>
      <c r="G215" s="28"/>
      <c r="H215" s="28"/>
      <c r="I215" s="26"/>
      <c r="J215" s="24"/>
      <c r="K215" s="31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93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 t="s">
        <v>631</v>
      </c>
      <c r="DE215" s="76"/>
      <c r="DF215" s="76"/>
      <c r="DG215" s="76"/>
      <c r="DH215" s="9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95"/>
      <c r="DX215" s="90"/>
      <c r="DY215" s="21"/>
      <c r="DZ215" s="21"/>
    </row>
    <row r="216" spans="1:130" hidden="1" outlineLevel="1" x14ac:dyDescent="0.3">
      <c r="A216" s="4"/>
      <c r="B216" s="4"/>
      <c r="C216" s="102" t="s">
        <v>813</v>
      </c>
      <c r="D216" s="4"/>
      <c r="E216" s="12"/>
      <c r="F216" s="34"/>
      <c r="G216" s="28"/>
      <c r="H216" s="28"/>
      <c r="I216" s="26"/>
      <c r="J216" s="24"/>
      <c r="K216" s="31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93" t="s">
        <v>631</v>
      </c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 t="s">
        <v>631</v>
      </c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9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95"/>
      <c r="DX216" s="90"/>
      <c r="DY216" s="21"/>
      <c r="DZ216" s="21"/>
    </row>
    <row r="217" spans="1:130" hidden="1" outlineLevel="1" x14ac:dyDescent="0.3">
      <c r="A217" s="4"/>
      <c r="B217" s="4"/>
      <c r="C217" s="102" t="s">
        <v>814</v>
      </c>
      <c r="D217" s="4"/>
      <c r="E217" s="12"/>
      <c r="F217" s="34"/>
      <c r="G217" s="28"/>
      <c r="H217" s="28"/>
      <c r="I217" s="26"/>
      <c r="J217" s="24"/>
      <c r="K217" s="31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93" t="s">
        <v>631</v>
      </c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 t="s">
        <v>631</v>
      </c>
      <c r="BQ217" s="76"/>
      <c r="BR217" s="76"/>
      <c r="BS217" s="76"/>
      <c r="BT217" s="76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9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95"/>
      <c r="DX217" s="90"/>
      <c r="DY217" s="21"/>
      <c r="DZ217" s="21"/>
    </row>
    <row r="218" spans="1:130" collapsed="1" x14ac:dyDescent="0.3">
      <c r="A218" s="4" t="s">
        <v>126</v>
      </c>
      <c r="B218" s="4" t="s">
        <v>150</v>
      </c>
      <c r="C218" s="91" t="s">
        <v>155</v>
      </c>
      <c r="D218" s="4" t="s">
        <v>156</v>
      </c>
      <c r="E218" s="12">
        <v>184.88</v>
      </c>
      <c r="F218" s="34">
        <f t="shared" si="0"/>
        <v>385474.8</v>
      </c>
      <c r="G218" s="28">
        <f t="shared" ref="G218:G796" si="7">SUM(M218:X218)</f>
        <v>2085</v>
      </c>
      <c r="H218" s="28">
        <f t="shared" si="1"/>
        <v>174</v>
      </c>
      <c r="I218" s="26">
        <f t="shared" si="2"/>
        <v>122020.8</v>
      </c>
      <c r="J218" s="24">
        <f t="shared" si="3"/>
        <v>660</v>
      </c>
      <c r="K218" s="31">
        <f t="shared" si="4"/>
        <v>132</v>
      </c>
      <c r="L218" s="9">
        <v>0</v>
      </c>
      <c r="M218" s="9">
        <v>0</v>
      </c>
      <c r="N218" s="9">
        <v>0</v>
      </c>
      <c r="O218" s="9">
        <v>500</v>
      </c>
      <c r="P218" s="9">
        <v>500</v>
      </c>
      <c r="Q218" s="9">
        <v>185</v>
      </c>
      <c r="R218" s="9">
        <v>120</v>
      </c>
      <c r="S218" s="9">
        <v>150</v>
      </c>
      <c r="T218" s="9">
        <v>120</v>
      </c>
      <c r="U218" s="9">
        <v>120</v>
      </c>
      <c r="V218" s="9">
        <v>150</v>
      </c>
      <c r="W218" s="9">
        <v>120</v>
      </c>
      <c r="X218" s="9">
        <v>120</v>
      </c>
      <c r="Y218" s="9">
        <v>150</v>
      </c>
      <c r="Z218" s="9">
        <v>120</v>
      </c>
      <c r="AA218" s="9">
        <v>120</v>
      </c>
      <c r="AB218" s="9">
        <v>150</v>
      </c>
      <c r="AC218" s="9">
        <v>120</v>
      </c>
      <c r="AE218" s="6">
        <v>0</v>
      </c>
      <c r="AF218" s="6">
        <v>0</v>
      </c>
      <c r="AG218" s="6">
        <v>0</v>
      </c>
      <c r="AH218" s="6">
        <v>92440</v>
      </c>
      <c r="AI218" s="6">
        <v>92440</v>
      </c>
      <c r="AJ218" s="6">
        <v>34202.799999999996</v>
      </c>
      <c r="AK218" s="6">
        <v>22185.599999999999</v>
      </c>
      <c r="AL218" s="6">
        <v>27732</v>
      </c>
      <c r="AM218" s="6">
        <v>22185.599999999999</v>
      </c>
      <c r="AN218" s="6">
        <v>22185.599999999999</v>
      </c>
      <c r="AO218" s="6">
        <v>27732</v>
      </c>
      <c r="AP218" s="6">
        <v>22185.599999999999</v>
      </c>
      <c r="AQ218" s="6">
        <v>22185.599999999999</v>
      </c>
      <c r="AR218" s="6">
        <v>27732</v>
      </c>
      <c r="AS218" s="6">
        <v>22185.599999999999</v>
      </c>
      <c r="AT218" s="6">
        <v>22185.599999999999</v>
      </c>
      <c r="AU218" s="6">
        <v>27732</v>
      </c>
      <c r="AV218" s="6">
        <v>22185.599999999999</v>
      </c>
      <c r="AW218" s="93" t="s">
        <v>631</v>
      </c>
      <c r="AX218" s="76" t="s">
        <v>631</v>
      </c>
      <c r="AY218" s="76" t="s">
        <v>631</v>
      </c>
      <c r="AZ218" s="76"/>
      <c r="BA218" s="76" t="s">
        <v>631</v>
      </c>
      <c r="BB218" s="76"/>
      <c r="BC218" s="76"/>
      <c r="BD218" s="76"/>
      <c r="BE218" s="76"/>
      <c r="BF218" s="76"/>
      <c r="BG218" s="76"/>
      <c r="BH218" s="76"/>
      <c r="BI218" s="76"/>
      <c r="BJ218" s="76"/>
      <c r="BK218" s="76" t="s">
        <v>631</v>
      </c>
      <c r="BL218" s="76"/>
      <c r="BM218" s="76"/>
      <c r="BN218" s="76"/>
      <c r="BO218" s="76" t="s">
        <v>631</v>
      </c>
      <c r="BP218" s="76" t="s">
        <v>631</v>
      </c>
      <c r="BQ218" s="76"/>
      <c r="BR218" s="76"/>
      <c r="BS218" s="76"/>
      <c r="BT218" s="76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 t="s">
        <v>631</v>
      </c>
      <c r="DD218" s="76"/>
      <c r="DE218" s="76"/>
      <c r="DF218" s="76"/>
      <c r="DG218" s="76"/>
      <c r="DH218" s="96" t="s">
        <v>631</v>
      </c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95"/>
      <c r="DX218" s="90">
        <f>COUNTIF(AW218:DW218,"x")</f>
        <v>9</v>
      </c>
      <c r="DY218" s="21"/>
      <c r="DZ218" s="21"/>
    </row>
    <row r="219" spans="1:130" hidden="1" outlineLevel="1" x14ac:dyDescent="0.3">
      <c r="A219" s="4"/>
      <c r="B219" s="4"/>
      <c r="C219" s="102" t="s">
        <v>155</v>
      </c>
      <c r="D219" s="4"/>
      <c r="E219" s="12"/>
      <c r="F219" s="34"/>
      <c r="G219" s="28"/>
      <c r="H219" s="28"/>
      <c r="I219" s="26"/>
      <c r="J219" s="24"/>
      <c r="K219" s="31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93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 t="s">
        <v>631</v>
      </c>
      <c r="DD219" s="76"/>
      <c r="DE219" s="76"/>
      <c r="DF219" s="76"/>
      <c r="DG219" s="76"/>
      <c r="DH219" s="9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95"/>
      <c r="DX219" s="90"/>
      <c r="DY219" s="21"/>
      <c r="DZ219" s="21"/>
    </row>
    <row r="220" spans="1:130" hidden="1" outlineLevel="1" x14ac:dyDescent="0.3">
      <c r="A220" s="4"/>
      <c r="B220" s="4"/>
      <c r="C220" s="102" t="s">
        <v>815</v>
      </c>
      <c r="D220" s="4"/>
      <c r="E220" s="12"/>
      <c r="F220" s="34"/>
      <c r="G220" s="28"/>
      <c r="H220" s="28"/>
      <c r="I220" s="26"/>
      <c r="J220" s="24"/>
      <c r="K220" s="31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93"/>
      <c r="AX220" s="76"/>
      <c r="AY220" s="76"/>
      <c r="AZ220" s="76"/>
      <c r="BA220" s="76" t="s">
        <v>631</v>
      </c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 t="s">
        <v>631</v>
      </c>
      <c r="BQ220" s="76"/>
      <c r="BR220" s="76"/>
      <c r="BS220" s="76"/>
      <c r="BT220" s="76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9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95"/>
      <c r="DX220" s="90"/>
      <c r="DY220" s="21"/>
      <c r="DZ220" s="21"/>
    </row>
    <row r="221" spans="1:130" hidden="1" outlineLevel="1" x14ac:dyDescent="0.3">
      <c r="A221" s="4"/>
      <c r="B221" s="4"/>
      <c r="C221" s="102" t="s">
        <v>816</v>
      </c>
      <c r="D221" s="4"/>
      <c r="E221" s="12"/>
      <c r="F221" s="34"/>
      <c r="G221" s="28"/>
      <c r="H221" s="28"/>
      <c r="I221" s="26"/>
      <c r="J221" s="24"/>
      <c r="K221" s="31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93"/>
      <c r="AX221" s="76"/>
      <c r="AY221" s="76" t="s">
        <v>631</v>
      </c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 t="s">
        <v>631</v>
      </c>
      <c r="BQ221" s="76"/>
      <c r="BR221" s="76"/>
      <c r="BS221" s="76"/>
      <c r="BT221" s="76"/>
      <c r="BU221" s="76"/>
      <c r="BV221" s="76"/>
      <c r="BW221" s="76"/>
      <c r="BX221" s="76"/>
      <c r="BY221" s="76"/>
      <c r="BZ221" s="76" t="s">
        <v>631</v>
      </c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9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95"/>
      <c r="DX221" s="90"/>
      <c r="DY221" s="21"/>
      <c r="DZ221" s="21"/>
    </row>
    <row r="222" spans="1:130" hidden="1" outlineLevel="1" x14ac:dyDescent="0.3">
      <c r="A222" s="4"/>
      <c r="B222" s="4"/>
      <c r="C222" s="102" t="s">
        <v>817</v>
      </c>
      <c r="D222" s="4"/>
      <c r="E222" s="12"/>
      <c r="F222" s="34"/>
      <c r="G222" s="28"/>
      <c r="H222" s="28"/>
      <c r="I222" s="26"/>
      <c r="J222" s="24"/>
      <c r="K222" s="31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93" t="s">
        <v>631</v>
      </c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 t="s">
        <v>631</v>
      </c>
      <c r="BQ222" s="76"/>
      <c r="BR222" s="76"/>
      <c r="BS222" s="76"/>
      <c r="BT222" s="76"/>
      <c r="BU222" s="76"/>
      <c r="BV222" s="76"/>
      <c r="BW222" s="76"/>
      <c r="BX222" s="76"/>
      <c r="BY222" s="76"/>
      <c r="BZ222" s="76" t="s">
        <v>631</v>
      </c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9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95"/>
      <c r="DX222" s="90"/>
      <c r="DY222" s="21"/>
      <c r="DZ222" s="21"/>
    </row>
    <row r="223" spans="1:130" hidden="1" outlineLevel="1" x14ac:dyDescent="0.3">
      <c r="A223" s="4"/>
      <c r="B223" s="4"/>
      <c r="C223" s="102" t="s">
        <v>818</v>
      </c>
      <c r="D223" s="4"/>
      <c r="E223" s="12"/>
      <c r="F223" s="34"/>
      <c r="G223" s="28"/>
      <c r="H223" s="28"/>
      <c r="I223" s="26"/>
      <c r="J223" s="24"/>
      <c r="K223" s="31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93"/>
      <c r="AX223" s="76" t="s">
        <v>631</v>
      </c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 t="s">
        <v>631</v>
      </c>
      <c r="BQ223" s="76"/>
      <c r="BR223" s="76"/>
      <c r="BS223" s="76"/>
      <c r="BT223" s="76"/>
      <c r="BU223" s="76"/>
      <c r="BV223" s="76"/>
      <c r="BW223" s="76"/>
      <c r="BX223" s="76"/>
      <c r="BY223" s="76"/>
      <c r="BZ223" s="76" t="s">
        <v>631</v>
      </c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9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95"/>
      <c r="DX223" s="90"/>
      <c r="DY223" s="21"/>
      <c r="DZ223" s="21"/>
    </row>
    <row r="224" spans="1:130" hidden="1" outlineLevel="1" x14ac:dyDescent="0.3">
      <c r="A224" s="4"/>
      <c r="B224" s="4"/>
      <c r="C224" s="102" t="s">
        <v>819</v>
      </c>
      <c r="D224" s="4"/>
      <c r="E224" s="12"/>
      <c r="F224" s="34"/>
      <c r="G224" s="28"/>
      <c r="H224" s="28"/>
      <c r="I224" s="26"/>
      <c r="J224" s="24"/>
      <c r="K224" s="31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93"/>
      <c r="AX224" s="76"/>
      <c r="AY224" s="76" t="s">
        <v>631</v>
      </c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 t="s">
        <v>631</v>
      </c>
      <c r="BP224" s="76"/>
      <c r="BQ224" s="76"/>
      <c r="BR224" s="76"/>
      <c r="BS224" s="76"/>
      <c r="BT224" s="76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9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95"/>
      <c r="DX224" s="90"/>
      <c r="DY224" s="21"/>
      <c r="DZ224" s="21"/>
    </row>
    <row r="225" spans="1:130" hidden="1" outlineLevel="1" x14ac:dyDescent="0.3">
      <c r="A225" s="4"/>
      <c r="B225" s="4"/>
      <c r="C225" s="102" t="s">
        <v>820</v>
      </c>
      <c r="D225" s="4"/>
      <c r="E225" s="12"/>
      <c r="F225" s="34"/>
      <c r="G225" s="28"/>
      <c r="H225" s="28"/>
      <c r="I225" s="26"/>
      <c r="J225" s="24"/>
      <c r="K225" s="31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93" t="s">
        <v>631</v>
      </c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 t="s">
        <v>631</v>
      </c>
      <c r="BQ225" s="76"/>
      <c r="BR225" s="76"/>
      <c r="BS225" s="76"/>
      <c r="BT225" s="76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9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95"/>
      <c r="DX225" s="90"/>
      <c r="DY225" s="21"/>
      <c r="DZ225" s="21"/>
    </row>
    <row r="226" spans="1:130" hidden="1" outlineLevel="1" x14ac:dyDescent="0.3">
      <c r="A226" s="4"/>
      <c r="B226" s="4"/>
      <c r="C226" s="102" t="s">
        <v>821</v>
      </c>
      <c r="D226" s="4"/>
      <c r="E226" s="12"/>
      <c r="F226" s="34"/>
      <c r="G226" s="28"/>
      <c r="H226" s="28"/>
      <c r="I226" s="26"/>
      <c r="J226" s="24"/>
      <c r="K226" s="31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93" t="s">
        <v>631</v>
      </c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 t="s">
        <v>631</v>
      </c>
      <c r="BQ226" s="76"/>
      <c r="BR226" s="76"/>
      <c r="BS226" s="76"/>
      <c r="BT226" s="76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9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95"/>
      <c r="DX226" s="90"/>
      <c r="DY226" s="21"/>
      <c r="DZ226" s="21"/>
    </row>
    <row r="227" spans="1:130" hidden="1" outlineLevel="1" x14ac:dyDescent="0.3">
      <c r="A227" s="4"/>
      <c r="B227" s="4"/>
      <c r="C227" s="102" t="s">
        <v>822</v>
      </c>
      <c r="D227" s="4"/>
      <c r="E227" s="12"/>
      <c r="F227" s="34"/>
      <c r="G227" s="28"/>
      <c r="H227" s="28"/>
      <c r="I227" s="26"/>
      <c r="J227" s="24"/>
      <c r="K227" s="31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93" t="s">
        <v>631</v>
      </c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 t="s">
        <v>631</v>
      </c>
      <c r="BQ227" s="76"/>
      <c r="BR227" s="76"/>
      <c r="BS227" s="76"/>
      <c r="BT227" s="76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9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95"/>
      <c r="DX227" s="90"/>
      <c r="DY227" s="21"/>
      <c r="DZ227" s="21"/>
    </row>
    <row r="228" spans="1:130" hidden="1" outlineLevel="1" x14ac:dyDescent="0.3">
      <c r="A228" s="4"/>
      <c r="B228" s="4"/>
      <c r="C228" s="102" t="s">
        <v>823</v>
      </c>
      <c r="D228" s="4"/>
      <c r="E228" s="12"/>
      <c r="F228" s="34"/>
      <c r="G228" s="28"/>
      <c r="H228" s="28"/>
      <c r="I228" s="26"/>
      <c r="J228" s="24"/>
      <c r="K228" s="31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93" t="s">
        <v>631</v>
      </c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 t="s">
        <v>631</v>
      </c>
      <c r="BQ228" s="76"/>
      <c r="BR228" s="76"/>
      <c r="BS228" s="76"/>
      <c r="BT228" s="76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9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95"/>
      <c r="DX228" s="90"/>
      <c r="DY228" s="21"/>
      <c r="DZ228" s="21"/>
    </row>
    <row r="229" spans="1:130" hidden="1" outlineLevel="1" x14ac:dyDescent="0.3">
      <c r="A229" s="4"/>
      <c r="B229" s="4"/>
      <c r="C229" s="102" t="s">
        <v>824</v>
      </c>
      <c r="D229" s="4"/>
      <c r="E229" s="12"/>
      <c r="F229" s="34"/>
      <c r="G229" s="28"/>
      <c r="H229" s="28"/>
      <c r="I229" s="26"/>
      <c r="J229" s="24"/>
      <c r="K229" s="31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93"/>
      <c r="AX229" s="76"/>
      <c r="AY229" s="76" t="s">
        <v>631</v>
      </c>
      <c r="AZ229" s="76"/>
      <c r="BA229" s="76"/>
      <c r="BB229" s="76"/>
      <c r="BC229" s="76"/>
      <c r="BD229" s="76"/>
      <c r="BE229" s="76"/>
      <c r="BF229" s="76"/>
      <c r="BG229" s="76"/>
      <c r="BH229" s="76" t="s">
        <v>631</v>
      </c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9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95"/>
      <c r="DX229" s="90"/>
      <c r="DY229" s="21"/>
      <c r="DZ229" s="21"/>
    </row>
    <row r="230" spans="1:130" collapsed="1" x14ac:dyDescent="0.3">
      <c r="A230" s="4" t="s">
        <v>126</v>
      </c>
      <c r="B230" s="4" t="s">
        <v>150</v>
      </c>
      <c r="C230" s="91" t="s">
        <v>157</v>
      </c>
      <c r="D230" s="4" t="s">
        <v>158</v>
      </c>
      <c r="E230" s="12">
        <v>9.14</v>
      </c>
      <c r="F230" s="34">
        <f t="shared" si="0"/>
        <v>12147.060000000001</v>
      </c>
      <c r="G230" s="28">
        <f t="shared" si="7"/>
        <v>1329</v>
      </c>
      <c r="H230" s="28">
        <f t="shared" si="1"/>
        <v>111</v>
      </c>
      <c r="I230" s="26">
        <f t="shared" si="2"/>
        <v>6032.4000000000005</v>
      </c>
      <c r="J230" s="24">
        <f t="shared" si="3"/>
        <v>660</v>
      </c>
      <c r="K230" s="31">
        <f t="shared" si="4"/>
        <v>132</v>
      </c>
      <c r="L230" s="9">
        <v>0</v>
      </c>
      <c r="M230" s="9">
        <v>244</v>
      </c>
      <c r="N230" s="9">
        <v>0</v>
      </c>
      <c r="O230" s="9">
        <v>0</v>
      </c>
      <c r="P230" s="9">
        <v>0</v>
      </c>
      <c r="Q230" s="9">
        <v>185</v>
      </c>
      <c r="R230" s="9">
        <v>120</v>
      </c>
      <c r="S230" s="9">
        <v>150</v>
      </c>
      <c r="T230" s="9">
        <v>120</v>
      </c>
      <c r="U230" s="9">
        <v>120</v>
      </c>
      <c r="V230" s="9">
        <v>150</v>
      </c>
      <c r="W230" s="9">
        <v>120</v>
      </c>
      <c r="X230" s="9">
        <v>120</v>
      </c>
      <c r="Y230" s="9">
        <v>150</v>
      </c>
      <c r="Z230" s="9">
        <v>120</v>
      </c>
      <c r="AA230" s="9">
        <v>120</v>
      </c>
      <c r="AB230" s="9">
        <v>150</v>
      </c>
      <c r="AC230" s="9">
        <v>120</v>
      </c>
      <c r="AE230" s="6">
        <v>0</v>
      </c>
      <c r="AF230" s="6">
        <v>2156.96</v>
      </c>
      <c r="AG230" s="6">
        <v>0</v>
      </c>
      <c r="AH230" s="6">
        <v>0</v>
      </c>
      <c r="AI230" s="6">
        <v>0</v>
      </c>
      <c r="AJ230" s="6">
        <v>1646.5</v>
      </c>
      <c r="AK230" s="6">
        <v>1068</v>
      </c>
      <c r="AL230" s="6">
        <v>1335</v>
      </c>
      <c r="AM230" s="6">
        <v>1060.8</v>
      </c>
      <c r="AN230" s="6">
        <v>1060.8</v>
      </c>
      <c r="AO230" s="6">
        <v>1326</v>
      </c>
      <c r="AP230" s="6">
        <v>1060.8</v>
      </c>
      <c r="AQ230" s="6">
        <v>1060.8</v>
      </c>
      <c r="AR230" s="6">
        <v>1326</v>
      </c>
      <c r="AS230" s="6">
        <v>1060.8</v>
      </c>
      <c r="AT230" s="6">
        <v>1060.8</v>
      </c>
      <c r="AU230" s="6">
        <v>1326</v>
      </c>
      <c r="AV230" s="6">
        <v>1060.8</v>
      </c>
      <c r="AW230" s="93" t="s">
        <v>631</v>
      </c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 t="s">
        <v>631</v>
      </c>
      <c r="BP230" s="76" t="s">
        <v>631</v>
      </c>
      <c r="BQ230" s="76"/>
      <c r="BR230" s="76"/>
      <c r="BS230" s="76"/>
      <c r="BT230" s="76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 t="s">
        <v>631</v>
      </c>
      <c r="DE230" s="76"/>
      <c r="DF230" s="76"/>
      <c r="DG230" s="76"/>
      <c r="DH230" s="96" t="s">
        <v>631</v>
      </c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95"/>
      <c r="DX230" s="90">
        <f>COUNTIF(AW230:DW230,"x")</f>
        <v>5</v>
      </c>
      <c r="DY230" s="21"/>
      <c r="DZ230" s="21"/>
    </row>
    <row r="231" spans="1:130" collapsed="1" x14ac:dyDescent="0.3">
      <c r="A231" s="4" t="s">
        <v>126</v>
      </c>
      <c r="B231" s="4" t="s">
        <v>150</v>
      </c>
      <c r="C231" s="91" t="s">
        <v>159</v>
      </c>
      <c r="D231" s="4" t="s">
        <v>160</v>
      </c>
      <c r="E231" s="12">
        <v>7.27</v>
      </c>
      <c r="F231" s="34">
        <f t="shared" si="0"/>
        <v>11522.949999999999</v>
      </c>
      <c r="G231" s="28">
        <f t="shared" si="7"/>
        <v>1585</v>
      </c>
      <c r="H231" s="28">
        <f t="shared" si="1"/>
        <v>133</v>
      </c>
      <c r="I231" s="26">
        <f t="shared" si="2"/>
        <v>4798.2</v>
      </c>
      <c r="J231" s="24">
        <f t="shared" si="3"/>
        <v>660</v>
      </c>
      <c r="K231" s="31">
        <f t="shared" si="4"/>
        <v>132</v>
      </c>
      <c r="L231" s="9">
        <v>0</v>
      </c>
      <c r="M231" s="9">
        <v>500</v>
      </c>
      <c r="N231" s="9">
        <v>0</v>
      </c>
      <c r="O231" s="9">
        <v>0</v>
      </c>
      <c r="P231" s="9">
        <v>0</v>
      </c>
      <c r="Q231" s="9">
        <v>185</v>
      </c>
      <c r="R231" s="9">
        <v>120</v>
      </c>
      <c r="S231" s="9">
        <v>150</v>
      </c>
      <c r="T231" s="9">
        <v>120</v>
      </c>
      <c r="U231" s="9">
        <v>120</v>
      </c>
      <c r="V231" s="9">
        <v>150</v>
      </c>
      <c r="W231" s="9">
        <v>120</v>
      </c>
      <c r="X231" s="9">
        <v>120</v>
      </c>
      <c r="Y231" s="9">
        <v>150</v>
      </c>
      <c r="Z231" s="9">
        <v>120</v>
      </c>
      <c r="AA231" s="9">
        <v>120</v>
      </c>
      <c r="AB231" s="9">
        <v>150</v>
      </c>
      <c r="AC231" s="9">
        <v>120</v>
      </c>
      <c r="AE231" s="6">
        <v>0</v>
      </c>
      <c r="AF231" s="6">
        <v>3635</v>
      </c>
      <c r="AG231" s="6">
        <v>0</v>
      </c>
      <c r="AH231" s="6">
        <v>0</v>
      </c>
      <c r="AI231" s="6">
        <v>0</v>
      </c>
      <c r="AJ231" s="6">
        <v>1344.9499999999998</v>
      </c>
      <c r="AK231" s="6">
        <v>872.4</v>
      </c>
      <c r="AL231" s="6">
        <v>1090.5</v>
      </c>
      <c r="AM231" s="6">
        <v>872.4</v>
      </c>
      <c r="AN231" s="6">
        <v>872.4</v>
      </c>
      <c r="AO231" s="6">
        <v>1090.5</v>
      </c>
      <c r="AP231" s="6">
        <v>872.4</v>
      </c>
      <c r="AQ231" s="6">
        <v>872.4</v>
      </c>
      <c r="AR231" s="6">
        <v>1090.5</v>
      </c>
      <c r="AS231" s="6">
        <v>872.4</v>
      </c>
      <c r="AT231" s="6">
        <v>872.4</v>
      </c>
      <c r="AU231" s="6">
        <v>1090.5</v>
      </c>
      <c r="AV231" s="6">
        <v>872.4</v>
      </c>
      <c r="AW231" s="93"/>
      <c r="AX231" s="76"/>
      <c r="AY231" s="76"/>
      <c r="AZ231" s="76"/>
      <c r="BA231" s="76"/>
      <c r="BB231" s="76" t="s">
        <v>631</v>
      </c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 t="s">
        <v>631</v>
      </c>
      <c r="BP231" s="76" t="s">
        <v>631</v>
      </c>
      <c r="BQ231" s="76"/>
      <c r="BR231" s="76"/>
      <c r="BS231" s="76"/>
      <c r="BT231" s="76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 t="s">
        <v>631</v>
      </c>
      <c r="DE231" s="76"/>
      <c r="DF231" s="76"/>
      <c r="DG231" s="76"/>
      <c r="DH231" s="96" t="s">
        <v>631</v>
      </c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95"/>
      <c r="DX231" s="90">
        <f>COUNTIF(AW231:DW231,"x")</f>
        <v>5</v>
      </c>
      <c r="DY231" s="21"/>
      <c r="DZ231" s="21"/>
    </row>
    <row r="232" spans="1:130" hidden="1" outlineLevel="1" x14ac:dyDescent="0.3">
      <c r="A232" s="4"/>
      <c r="B232" s="4"/>
      <c r="C232" s="102" t="s">
        <v>825</v>
      </c>
      <c r="D232" s="4"/>
      <c r="E232" s="12"/>
      <c r="F232" s="34"/>
      <c r="G232" s="28"/>
      <c r="H232" s="28"/>
      <c r="I232" s="26"/>
      <c r="J232" s="24"/>
      <c r="K232" s="31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93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 t="s">
        <v>631</v>
      </c>
      <c r="BP232" s="76" t="s">
        <v>631</v>
      </c>
      <c r="BQ232" s="76"/>
      <c r="BR232" s="76"/>
      <c r="BS232" s="76"/>
      <c r="BT232" s="76"/>
      <c r="BU232" s="76"/>
      <c r="BV232" s="76"/>
      <c r="BW232" s="76"/>
      <c r="BX232" s="76"/>
      <c r="BY232" s="76"/>
      <c r="BZ232" s="76" t="s">
        <v>631</v>
      </c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9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95"/>
      <c r="DX232" s="90"/>
      <c r="DY232" s="21"/>
      <c r="DZ232" s="21"/>
    </row>
    <row r="233" spans="1:130" hidden="1" outlineLevel="1" x14ac:dyDescent="0.3">
      <c r="A233" s="4"/>
      <c r="B233" s="4"/>
      <c r="C233" s="102" t="s">
        <v>159</v>
      </c>
      <c r="D233" s="4"/>
      <c r="E233" s="12"/>
      <c r="F233" s="34"/>
      <c r="G233" s="28"/>
      <c r="H233" s="28"/>
      <c r="I233" s="26"/>
      <c r="J233" s="24"/>
      <c r="K233" s="31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93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 t="s">
        <v>631</v>
      </c>
      <c r="DH233" s="9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95"/>
      <c r="DX233" s="90"/>
      <c r="DY233" s="21"/>
      <c r="DZ233" s="21"/>
    </row>
    <row r="234" spans="1:130" hidden="1" outlineLevel="1" x14ac:dyDescent="0.3">
      <c r="A234" s="4"/>
      <c r="B234" s="4"/>
      <c r="C234" s="102" t="s">
        <v>826</v>
      </c>
      <c r="D234" s="4"/>
      <c r="E234" s="12"/>
      <c r="F234" s="34"/>
      <c r="G234" s="28"/>
      <c r="H234" s="28"/>
      <c r="I234" s="26"/>
      <c r="J234" s="24"/>
      <c r="K234" s="31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93"/>
      <c r="AX234" s="76"/>
      <c r="AY234" s="76"/>
      <c r="AZ234" s="76"/>
      <c r="BA234" s="76"/>
      <c r="BB234" s="76" t="s">
        <v>631</v>
      </c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 t="s">
        <v>631</v>
      </c>
      <c r="BQ234" s="76"/>
      <c r="BR234" s="76"/>
      <c r="BS234" s="76"/>
      <c r="BT234" s="76" t="s">
        <v>631</v>
      </c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9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95"/>
      <c r="DX234" s="90"/>
      <c r="DY234" s="21"/>
      <c r="DZ234" s="21"/>
    </row>
    <row r="235" spans="1:130" collapsed="1" x14ac:dyDescent="0.3">
      <c r="A235" s="4" t="s">
        <v>126</v>
      </c>
      <c r="B235" s="4" t="s">
        <v>173</v>
      </c>
      <c r="C235" s="91" t="s">
        <v>174</v>
      </c>
      <c r="D235" s="4" t="s">
        <v>175</v>
      </c>
      <c r="E235" s="12">
        <v>4.05</v>
      </c>
      <c r="F235" s="34">
        <f t="shared" si="0"/>
        <v>4110.75</v>
      </c>
      <c r="G235" s="28">
        <f t="shared" si="7"/>
        <v>1015</v>
      </c>
      <c r="H235" s="28">
        <f t="shared" si="1"/>
        <v>85</v>
      </c>
      <c r="I235" s="26">
        <f t="shared" si="2"/>
        <v>2583.9</v>
      </c>
      <c r="J235" s="24">
        <f t="shared" si="3"/>
        <v>638</v>
      </c>
      <c r="K235" s="31">
        <f t="shared" si="4"/>
        <v>128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145</v>
      </c>
      <c r="R235" s="9">
        <v>116</v>
      </c>
      <c r="S235" s="9">
        <v>145</v>
      </c>
      <c r="T235" s="9">
        <v>116</v>
      </c>
      <c r="U235" s="9">
        <v>116</v>
      </c>
      <c r="V235" s="9">
        <v>145</v>
      </c>
      <c r="W235" s="9">
        <v>116</v>
      </c>
      <c r="X235" s="9">
        <v>116</v>
      </c>
      <c r="Y235" s="9">
        <v>145</v>
      </c>
      <c r="Z235" s="9">
        <v>116</v>
      </c>
      <c r="AA235" s="9">
        <v>116</v>
      </c>
      <c r="AB235" s="9">
        <v>145</v>
      </c>
      <c r="AC235" s="9">
        <v>116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540.85</v>
      </c>
      <c r="AK235" s="6">
        <v>432.68</v>
      </c>
      <c r="AL235" s="6">
        <v>540.85</v>
      </c>
      <c r="AM235" s="6">
        <v>432.68</v>
      </c>
      <c r="AN235" s="6">
        <v>432.68</v>
      </c>
      <c r="AO235" s="6">
        <v>540.85</v>
      </c>
      <c r="AP235" s="6">
        <v>432.68</v>
      </c>
      <c r="AQ235" s="6">
        <v>432.68</v>
      </c>
      <c r="AR235" s="6">
        <v>540.85</v>
      </c>
      <c r="AS235" s="6">
        <v>432.68</v>
      </c>
      <c r="AT235" s="6">
        <v>432.68</v>
      </c>
      <c r="AU235" s="6">
        <v>540.85</v>
      </c>
      <c r="AV235" s="6">
        <v>432.68</v>
      </c>
      <c r="AW235" s="93"/>
      <c r="AX235" s="76"/>
      <c r="AY235" s="76"/>
      <c r="AZ235" s="76"/>
      <c r="BA235" s="76"/>
      <c r="BB235" s="76" t="s">
        <v>631</v>
      </c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 t="s">
        <v>631</v>
      </c>
      <c r="BP235" s="76" t="s">
        <v>631</v>
      </c>
      <c r="BQ235" s="76"/>
      <c r="BR235" s="76"/>
      <c r="BS235" s="76"/>
      <c r="BT235" s="76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 t="s">
        <v>631</v>
      </c>
      <c r="DE235" s="76"/>
      <c r="DF235" s="76"/>
      <c r="DG235" s="76"/>
      <c r="DH235" s="76" t="s">
        <v>631</v>
      </c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95"/>
      <c r="DX235" s="90">
        <f>COUNTIF(AW235:DW235,"x")</f>
        <v>5</v>
      </c>
      <c r="DY235" s="21"/>
      <c r="DZ235" s="21"/>
    </row>
    <row r="236" spans="1:130" hidden="1" outlineLevel="1" x14ac:dyDescent="0.3">
      <c r="A236" s="4"/>
      <c r="B236" s="4"/>
      <c r="C236" s="101" t="s">
        <v>174</v>
      </c>
      <c r="D236" s="4"/>
      <c r="E236" s="12"/>
      <c r="F236" s="34"/>
      <c r="G236" s="28"/>
      <c r="H236" s="28"/>
      <c r="I236" s="26"/>
      <c r="J236" s="24"/>
      <c r="K236" s="31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93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 t="s">
        <v>631</v>
      </c>
      <c r="BP236" s="76"/>
      <c r="BQ236" s="76"/>
      <c r="BR236" s="76"/>
      <c r="BS236" s="76"/>
      <c r="BT236" s="76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 t="s">
        <v>631</v>
      </c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95"/>
      <c r="DX236" s="90"/>
      <c r="DY236" s="21"/>
      <c r="DZ236" s="21"/>
    </row>
    <row r="237" spans="1:130" hidden="1" outlineLevel="1" x14ac:dyDescent="0.3">
      <c r="A237" s="4"/>
      <c r="B237" s="4"/>
      <c r="C237" s="101" t="s">
        <v>827</v>
      </c>
      <c r="D237" s="4"/>
      <c r="E237" s="12"/>
      <c r="F237" s="34"/>
      <c r="G237" s="28"/>
      <c r="H237" s="28"/>
      <c r="I237" s="26"/>
      <c r="J237" s="24"/>
      <c r="K237" s="31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93"/>
      <c r="AX237" s="76"/>
      <c r="AY237" s="76"/>
      <c r="AZ237" s="76"/>
      <c r="BA237" s="76"/>
      <c r="BB237" s="76" t="s">
        <v>631</v>
      </c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 t="s">
        <v>631</v>
      </c>
      <c r="BQ237" s="76"/>
      <c r="BR237" s="76"/>
      <c r="BS237" s="76"/>
      <c r="BT237" s="76" t="s">
        <v>631</v>
      </c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95"/>
      <c r="DX237" s="90"/>
      <c r="DY237" s="21"/>
      <c r="DZ237" s="21"/>
    </row>
    <row r="238" spans="1:130" collapsed="1" x14ac:dyDescent="0.3">
      <c r="A238" s="4" t="s">
        <v>126</v>
      </c>
      <c r="B238" s="4" t="s">
        <v>173</v>
      </c>
      <c r="C238" s="91" t="s">
        <v>176</v>
      </c>
      <c r="D238" s="4" t="s">
        <v>177</v>
      </c>
      <c r="E238" s="12">
        <v>10</v>
      </c>
      <c r="F238" s="34">
        <f t="shared" si="0"/>
        <v>10150</v>
      </c>
      <c r="G238" s="28">
        <f t="shared" si="7"/>
        <v>1015</v>
      </c>
      <c r="H238" s="28">
        <f t="shared" si="1"/>
        <v>85</v>
      </c>
      <c r="I238" s="26">
        <f t="shared" si="2"/>
        <v>6380</v>
      </c>
      <c r="J238" s="24">
        <f t="shared" si="3"/>
        <v>638</v>
      </c>
      <c r="K238" s="31">
        <f t="shared" si="4"/>
        <v>128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145</v>
      </c>
      <c r="R238" s="9">
        <v>116</v>
      </c>
      <c r="S238" s="9">
        <v>145</v>
      </c>
      <c r="T238" s="9">
        <v>116</v>
      </c>
      <c r="U238" s="9">
        <v>116</v>
      </c>
      <c r="V238" s="9">
        <v>145</v>
      </c>
      <c r="W238" s="9">
        <v>116</v>
      </c>
      <c r="X238" s="9">
        <v>116</v>
      </c>
      <c r="Y238" s="9">
        <v>145</v>
      </c>
      <c r="Z238" s="9">
        <v>116</v>
      </c>
      <c r="AA238" s="9">
        <v>116</v>
      </c>
      <c r="AB238" s="9">
        <v>145</v>
      </c>
      <c r="AC238" s="9">
        <v>116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1450</v>
      </c>
      <c r="AK238" s="6">
        <v>1160</v>
      </c>
      <c r="AL238" s="6">
        <v>1450</v>
      </c>
      <c r="AM238" s="6">
        <v>1160</v>
      </c>
      <c r="AN238" s="6">
        <v>1160</v>
      </c>
      <c r="AO238" s="6">
        <v>1450</v>
      </c>
      <c r="AP238" s="6">
        <v>1160</v>
      </c>
      <c r="AQ238" s="6">
        <v>1160</v>
      </c>
      <c r="AR238" s="6">
        <v>1450</v>
      </c>
      <c r="AS238" s="6">
        <v>1160</v>
      </c>
      <c r="AT238" s="6">
        <v>1160</v>
      </c>
      <c r="AU238" s="6">
        <v>1450</v>
      </c>
      <c r="AV238" s="6">
        <v>1160</v>
      </c>
      <c r="AW238" s="93"/>
      <c r="AX238" s="76"/>
      <c r="AY238" s="76" t="s">
        <v>631</v>
      </c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 t="s">
        <v>631</v>
      </c>
      <c r="BP238" s="76" t="s">
        <v>631</v>
      </c>
      <c r="BQ238" s="76"/>
      <c r="BR238" s="76"/>
      <c r="BS238" s="76"/>
      <c r="BT238" s="76"/>
      <c r="BU238" s="76"/>
      <c r="BV238" s="76"/>
      <c r="BW238" s="76"/>
      <c r="BX238" s="76"/>
      <c r="BY238" s="76"/>
      <c r="BZ238" s="76" t="s">
        <v>631</v>
      </c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 t="s">
        <v>631</v>
      </c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95"/>
      <c r="DX238" s="90">
        <f>COUNTIF(AW238:DW238,"x")</f>
        <v>5</v>
      </c>
      <c r="DY238" s="21"/>
      <c r="DZ238" s="21"/>
    </row>
    <row r="239" spans="1:130" x14ac:dyDescent="0.3">
      <c r="A239" s="4" t="s">
        <v>126</v>
      </c>
      <c r="B239" s="4" t="s">
        <v>173</v>
      </c>
      <c r="C239" s="91" t="s">
        <v>178</v>
      </c>
      <c r="D239" s="4" t="s">
        <v>179</v>
      </c>
      <c r="E239" s="12">
        <v>11.71</v>
      </c>
      <c r="F239" s="34">
        <f t="shared" si="0"/>
        <v>13056.650000000001</v>
      </c>
      <c r="G239" s="28">
        <f t="shared" si="7"/>
        <v>1115</v>
      </c>
      <c r="H239" s="28">
        <f t="shared" si="1"/>
        <v>93</v>
      </c>
      <c r="I239" s="26">
        <f t="shared" si="2"/>
        <v>7470.9800000000005</v>
      </c>
      <c r="J239" s="24">
        <f t="shared" si="3"/>
        <v>638</v>
      </c>
      <c r="K239" s="31">
        <f t="shared" si="4"/>
        <v>128</v>
      </c>
      <c r="L239" s="9">
        <v>0</v>
      </c>
      <c r="M239" s="9">
        <v>100</v>
      </c>
      <c r="N239" s="9">
        <v>0</v>
      </c>
      <c r="O239" s="9">
        <v>0</v>
      </c>
      <c r="P239" s="9">
        <v>0</v>
      </c>
      <c r="Q239" s="9">
        <v>145</v>
      </c>
      <c r="R239" s="9">
        <v>116</v>
      </c>
      <c r="S239" s="9">
        <v>145</v>
      </c>
      <c r="T239" s="9">
        <v>116</v>
      </c>
      <c r="U239" s="9">
        <v>116</v>
      </c>
      <c r="V239" s="9">
        <v>145</v>
      </c>
      <c r="W239" s="9">
        <v>116</v>
      </c>
      <c r="X239" s="9">
        <v>116</v>
      </c>
      <c r="Y239" s="9">
        <v>145</v>
      </c>
      <c r="Z239" s="9">
        <v>116</v>
      </c>
      <c r="AA239" s="9">
        <v>116</v>
      </c>
      <c r="AB239" s="9">
        <v>145</v>
      </c>
      <c r="AC239" s="9">
        <v>116</v>
      </c>
      <c r="AE239" s="6">
        <v>0</v>
      </c>
      <c r="AF239" s="6">
        <v>1113</v>
      </c>
      <c r="AG239" s="6">
        <v>0</v>
      </c>
      <c r="AH239" s="6">
        <v>0</v>
      </c>
      <c r="AI239" s="6">
        <v>0</v>
      </c>
      <c r="AJ239" s="6">
        <v>1697.95</v>
      </c>
      <c r="AK239" s="6">
        <v>1358.3600000000001</v>
      </c>
      <c r="AL239" s="6">
        <v>1613.8500000000001</v>
      </c>
      <c r="AM239" s="6">
        <v>1291.0800000000002</v>
      </c>
      <c r="AN239" s="6">
        <v>1291.0800000000002</v>
      </c>
      <c r="AO239" s="6">
        <v>1613.8500000000001</v>
      </c>
      <c r="AP239" s="6">
        <v>1291.0800000000002</v>
      </c>
      <c r="AQ239" s="6">
        <v>1291.0800000000002</v>
      </c>
      <c r="AR239" s="6">
        <v>1613.8500000000001</v>
      </c>
      <c r="AS239" s="6">
        <v>1291.0800000000002</v>
      </c>
      <c r="AT239" s="6">
        <v>1291.0800000000002</v>
      </c>
      <c r="AU239" s="6">
        <v>1613.8500000000001</v>
      </c>
      <c r="AV239" s="6">
        <v>1291.0800000000002</v>
      </c>
      <c r="AW239" s="93" t="s">
        <v>631</v>
      </c>
      <c r="AX239" s="76"/>
      <c r="AY239" s="76"/>
      <c r="AZ239" s="76"/>
      <c r="BA239" s="76" t="s">
        <v>631</v>
      </c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 t="s">
        <v>631</v>
      </c>
      <c r="BP239" s="76" t="s">
        <v>631</v>
      </c>
      <c r="BQ239" s="76"/>
      <c r="BR239" s="76"/>
      <c r="BS239" s="76"/>
      <c r="BT239" s="76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96" t="s">
        <v>631</v>
      </c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95"/>
      <c r="DX239" s="90">
        <f>COUNTIF(AW239:DW239,"x")</f>
        <v>5</v>
      </c>
      <c r="DY239" s="21"/>
      <c r="DZ239" s="21"/>
    </row>
    <row r="240" spans="1:130" x14ac:dyDescent="0.3">
      <c r="A240" s="4" t="s">
        <v>126</v>
      </c>
      <c r="B240" s="4" t="s">
        <v>173</v>
      </c>
      <c r="C240" s="91" t="s">
        <v>180</v>
      </c>
      <c r="D240" s="4" t="s">
        <v>181</v>
      </c>
      <c r="E240" s="12">
        <v>36.42</v>
      </c>
      <c r="F240" s="34">
        <f t="shared" si="0"/>
        <v>36966.300000000003</v>
      </c>
      <c r="G240" s="28">
        <f t="shared" si="7"/>
        <v>1015</v>
      </c>
      <c r="H240" s="28">
        <f t="shared" si="1"/>
        <v>85</v>
      </c>
      <c r="I240" s="26">
        <f t="shared" si="2"/>
        <v>23235.960000000003</v>
      </c>
      <c r="J240" s="24">
        <f t="shared" si="3"/>
        <v>638</v>
      </c>
      <c r="K240" s="31">
        <f t="shared" si="4"/>
        <v>128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145</v>
      </c>
      <c r="R240" s="9">
        <v>116</v>
      </c>
      <c r="S240" s="9">
        <v>145</v>
      </c>
      <c r="T240" s="9">
        <v>116</v>
      </c>
      <c r="U240" s="9">
        <v>116</v>
      </c>
      <c r="V240" s="9">
        <v>145</v>
      </c>
      <c r="W240" s="9">
        <v>116</v>
      </c>
      <c r="X240" s="9">
        <v>116</v>
      </c>
      <c r="Y240" s="9">
        <v>145</v>
      </c>
      <c r="Z240" s="9">
        <v>116</v>
      </c>
      <c r="AA240" s="9">
        <v>116</v>
      </c>
      <c r="AB240" s="9">
        <v>145</v>
      </c>
      <c r="AC240" s="9">
        <v>116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5280.9000000000005</v>
      </c>
      <c r="AK240" s="6">
        <v>4224.72</v>
      </c>
      <c r="AL240" s="6">
        <v>5280.9000000000005</v>
      </c>
      <c r="AM240" s="6">
        <v>4224.72</v>
      </c>
      <c r="AN240" s="6">
        <v>4224.72</v>
      </c>
      <c r="AO240" s="6">
        <v>5280.9000000000005</v>
      </c>
      <c r="AP240" s="6">
        <v>4224.72</v>
      </c>
      <c r="AQ240" s="6">
        <v>4224.72</v>
      </c>
      <c r="AR240" s="6">
        <v>5280.9000000000005</v>
      </c>
      <c r="AS240" s="6">
        <v>4224.72</v>
      </c>
      <c r="AT240" s="6">
        <v>4224.72</v>
      </c>
      <c r="AU240" s="6">
        <v>5280.9000000000005</v>
      </c>
      <c r="AV240" s="6">
        <v>4224.72</v>
      </c>
      <c r="AW240" s="93" t="s">
        <v>631</v>
      </c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 t="s">
        <v>631</v>
      </c>
      <c r="BP240" s="76" t="s">
        <v>631</v>
      </c>
      <c r="BQ240" s="76"/>
      <c r="BR240" s="76"/>
      <c r="BS240" s="76"/>
      <c r="BT240" s="76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 t="s">
        <v>631</v>
      </c>
      <c r="DH240" s="96" t="s">
        <v>631</v>
      </c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95"/>
      <c r="DX240" s="90">
        <f>COUNTIF(AW240:DW240,"x")</f>
        <v>5</v>
      </c>
      <c r="DY240" s="21"/>
      <c r="DZ240" s="21"/>
    </row>
    <row r="241" spans="1:130" collapsed="1" x14ac:dyDescent="0.3">
      <c r="A241" s="4" t="s">
        <v>126</v>
      </c>
      <c r="B241" s="4" t="s">
        <v>173</v>
      </c>
      <c r="C241" s="91" t="s">
        <v>184</v>
      </c>
      <c r="D241" s="4" t="s">
        <v>185</v>
      </c>
      <c r="E241" s="12">
        <v>7</v>
      </c>
      <c r="F241" s="34">
        <f t="shared" si="0"/>
        <v>7105</v>
      </c>
      <c r="G241" s="28">
        <f t="shared" si="7"/>
        <v>1015</v>
      </c>
      <c r="H241" s="28">
        <f t="shared" si="1"/>
        <v>85</v>
      </c>
      <c r="I241" s="26">
        <f t="shared" si="2"/>
        <v>4466</v>
      </c>
      <c r="J241" s="24">
        <f t="shared" si="3"/>
        <v>638</v>
      </c>
      <c r="K241" s="31">
        <f t="shared" si="4"/>
        <v>128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145</v>
      </c>
      <c r="R241" s="9">
        <v>116</v>
      </c>
      <c r="S241" s="9">
        <v>145</v>
      </c>
      <c r="T241" s="9">
        <v>116</v>
      </c>
      <c r="U241" s="9">
        <v>116</v>
      </c>
      <c r="V241" s="9">
        <v>145</v>
      </c>
      <c r="W241" s="9">
        <v>116</v>
      </c>
      <c r="X241" s="9">
        <v>116</v>
      </c>
      <c r="Y241" s="9">
        <v>145</v>
      </c>
      <c r="Z241" s="9">
        <v>116</v>
      </c>
      <c r="AA241" s="9">
        <v>116</v>
      </c>
      <c r="AB241" s="9">
        <v>145</v>
      </c>
      <c r="AC241" s="9">
        <v>116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974.4</v>
      </c>
      <c r="AK241" s="6">
        <v>779.52</v>
      </c>
      <c r="AL241" s="6">
        <v>974.4</v>
      </c>
      <c r="AM241" s="6">
        <v>779.52</v>
      </c>
      <c r="AN241" s="6">
        <v>779.52</v>
      </c>
      <c r="AO241" s="6">
        <v>974.4</v>
      </c>
      <c r="AP241" s="6">
        <v>779.52</v>
      </c>
      <c r="AQ241" s="6">
        <v>779.52</v>
      </c>
      <c r="AR241" s="6">
        <v>974.4</v>
      </c>
      <c r="AS241" s="6">
        <v>779.52</v>
      </c>
      <c r="AT241" s="6">
        <v>779.52</v>
      </c>
      <c r="AU241" s="6">
        <v>974.4</v>
      </c>
      <c r="AV241" s="6">
        <v>779.52</v>
      </c>
      <c r="AW241" s="93"/>
      <c r="AX241" s="76"/>
      <c r="AY241" s="76"/>
      <c r="AZ241" s="76"/>
      <c r="BA241" s="76" t="s">
        <v>631</v>
      </c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 t="s">
        <v>631</v>
      </c>
      <c r="BP241" s="76" t="s">
        <v>631</v>
      </c>
      <c r="BQ241" s="76"/>
      <c r="BR241" s="76"/>
      <c r="BS241" s="76"/>
      <c r="BT241" s="76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 t="s">
        <v>631</v>
      </c>
      <c r="DH241" s="76" t="s">
        <v>631</v>
      </c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95"/>
      <c r="DX241" s="90">
        <f>COUNTIF(AW241:DW241,"x")</f>
        <v>5</v>
      </c>
      <c r="DY241" s="21"/>
      <c r="DZ241" s="21"/>
    </row>
    <row r="242" spans="1:130" hidden="1" outlineLevel="1" x14ac:dyDescent="0.3">
      <c r="A242" s="4"/>
      <c r="B242" s="4"/>
      <c r="C242" s="102" t="s">
        <v>184</v>
      </c>
      <c r="D242" s="4"/>
      <c r="E242" s="12"/>
      <c r="F242" s="34"/>
      <c r="G242" s="28"/>
      <c r="H242" s="28"/>
      <c r="I242" s="26"/>
      <c r="J242" s="24"/>
      <c r="K242" s="31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93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 t="s">
        <v>631</v>
      </c>
      <c r="BP242" s="76"/>
      <c r="BQ242" s="76"/>
      <c r="BR242" s="76"/>
      <c r="BS242" s="76"/>
      <c r="BT242" s="76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 t="s">
        <v>631</v>
      </c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95"/>
      <c r="DX242" s="90"/>
      <c r="DY242" s="21"/>
      <c r="DZ242" s="21"/>
    </row>
    <row r="243" spans="1:130" hidden="1" outlineLevel="1" x14ac:dyDescent="0.3">
      <c r="A243" s="4"/>
      <c r="B243" s="4"/>
      <c r="C243" s="102" t="s">
        <v>832</v>
      </c>
      <c r="D243" s="4"/>
      <c r="E243" s="12"/>
      <c r="F243" s="34"/>
      <c r="G243" s="28"/>
      <c r="H243" s="28"/>
      <c r="I243" s="26"/>
      <c r="J243" s="24"/>
      <c r="K243" s="31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93"/>
      <c r="AX243" s="76"/>
      <c r="AY243" s="76"/>
      <c r="AZ243" s="76"/>
      <c r="BA243" s="76" t="s">
        <v>631</v>
      </c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 t="s">
        <v>631</v>
      </c>
      <c r="BQ243" s="76"/>
      <c r="BR243" s="76"/>
      <c r="BS243" s="76"/>
      <c r="BT243" s="76" t="s">
        <v>631</v>
      </c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95"/>
      <c r="DX243" s="90"/>
      <c r="DY243" s="21"/>
      <c r="DZ243" s="21"/>
    </row>
    <row r="244" spans="1:130" collapsed="1" x14ac:dyDescent="0.3">
      <c r="A244" s="4" t="s">
        <v>126</v>
      </c>
      <c r="B244" s="4" t="s">
        <v>173</v>
      </c>
      <c r="C244" s="91" t="s">
        <v>186</v>
      </c>
      <c r="D244" s="4" t="s">
        <v>187</v>
      </c>
      <c r="E244" s="12">
        <v>30.98</v>
      </c>
      <c r="F244" s="34">
        <f t="shared" si="0"/>
        <v>31444.7</v>
      </c>
      <c r="G244" s="28">
        <f t="shared" si="7"/>
        <v>1015</v>
      </c>
      <c r="H244" s="28">
        <f t="shared" si="1"/>
        <v>85</v>
      </c>
      <c r="I244" s="26">
        <f t="shared" si="2"/>
        <v>19765.240000000002</v>
      </c>
      <c r="J244" s="24">
        <f t="shared" si="3"/>
        <v>638</v>
      </c>
      <c r="K244" s="31">
        <f t="shared" si="4"/>
        <v>128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145</v>
      </c>
      <c r="R244" s="9">
        <v>116</v>
      </c>
      <c r="S244" s="9">
        <v>145</v>
      </c>
      <c r="T244" s="9">
        <v>116</v>
      </c>
      <c r="U244" s="9">
        <v>116</v>
      </c>
      <c r="V244" s="9">
        <v>145</v>
      </c>
      <c r="W244" s="9">
        <v>116</v>
      </c>
      <c r="X244" s="9">
        <v>116</v>
      </c>
      <c r="Y244" s="9">
        <v>145</v>
      </c>
      <c r="Z244" s="9">
        <v>116</v>
      </c>
      <c r="AA244" s="9">
        <v>116</v>
      </c>
      <c r="AB244" s="9">
        <v>145</v>
      </c>
      <c r="AC244" s="9">
        <v>116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4492.1000000000004</v>
      </c>
      <c r="AK244" s="6">
        <v>3593.68</v>
      </c>
      <c r="AL244" s="6">
        <v>4492.1000000000004</v>
      </c>
      <c r="AM244" s="6">
        <v>3593.68</v>
      </c>
      <c r="AN244" s="6">
        <v>3593.68</v>
      </c>
      <c r="AO244" s="6">
        <v>4492.1000000000004</v>
      </c>
      <c r="AP244" s="6">
        <v>3593.68</v>
      </c>
      <c r="AQ244" s="6">
        <v>3593.68</v>
      </c>
      <c r="AR244" s="6">
        <v>4492.1000000000004</v>
      </c>
      <c r="AS244" s="6">
        <v>3593.68</v>
      </c>
      <c r="AT244" s="6">
        <v>3593.68</v>
      </c>
      <c r="AU244" s="6">
        <v>4492.1000000000004</v>
      </c>
      <c r="AV244" s="6">
        <v>3593.68</v>
      </c>
      <c r="AW244" s="93" t="s">
        <v>631</v>
      </c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 t="s">
        <v>631</v>
      </c>
      <c r="BP244" s="76" t="s">
        <v>631</v>
      </c>
      <c r="BQ244" s="76"/>
      <c r="BR244" s="76"/>
      <c r="BS244" s="76"/>
      <c r="BT244" s="76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 t="s">
        <v>631</v>
      </c>
      <c r="DH244" s="96" t="s">
        <v>631</v>
      </c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95"/>
      <c r="DX244" s="90">
        <f>COUNTIF(AW244:DW244,"x")</f>
        <v>5</v>
      </c>
      <c r="DY244" s="21"/>
      <c r="DZ244" s="21"/>
    </row>
    <row r="245" spans="1:130" x14ac:dyDescent="0.3">
      <c r="A245" s="4" t="s">
        <v>126</v>
      </c>
      <c r="B245" s="4" t="s">
        <v>173</v>
      </c>
      <c r="C245" s="91" t="s">
        <v>188</v>
      </c>
      <c r="D245" s="4" t="s">
        <v>189</v>
      </c>
      <c r="E245" s="12">
        <v>7.43</v>
      </c>
      <c r="F245" s="34">
        <f t="shared" si="0"/>
        <v>7541.45</v>
      </c>
      <c r="G245" s="28">
        <f t="shared" si="7"/>
        <v>1015</v>
      </c>
      <c r="H245" s="28">
        <f t="shared" si="1"/>
        <v>85</v>
      </c>
      <c r="I245" s="26">
        <f t="shared" si="2"/>
        <v>4740.34</v>
      </c>
      <c r="J245" s="24">
        <f t="shared" si="3"/>
        <v>638</v>
      </c>
      <c r="K245" s="31">
        <f t="shared" si="4"/>
        <v>128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145</v>
      </c>
      <c r="R245" s="9">
        <v>116</v>
      </c>
      <c r="S245" s="9">
        <v>145</v>
      </c>
      <c r="T245" s="9">
        <v>116</v>
      </c>
      <c r="U245" s="9">
        <v>116</v>
      </c>
      <c r="V245" s="9">
        <v>145</v>
      </c>
      <c r="W245" s="9">
        <v>116</v>
      </c>
      <c r="X245" s="9">
        <v>116</v>
      </c>
      <c r="Y245" s="9">
        <v>145</v>
      </c>
      <c r="Z245" s="9">
        <v>116</v>
      </c>
      <c r="AA245" s="9">
        <v>116</v>
      </c>
      <c r="AB245" s="9">
        <v>145</v>
      </c>
      <c r="AC245" s="9">
        <v>116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1077.3499999999999</v>
      </c>
      <c r="AK245" s="6">
        <v>861.88</v>
      </c>
      <c r="AL245" s="6">
        <v>1077.3499999999999</v>
      </c>
      <c r="AM245" s="6">
        <v>861.88</v>
      </c>
      <c r="AN245" s="6">
        <v>861.88</v>
      </c>
      <c r="AO245" s="6">
        <v>1077.3499999999999</v>
      </c>
      <c r="AP245" s="6">
        <v>861.88</v>
      </c>
      <c r="AQ245" s="6">
        <v>861.88</v>
      </c>
      <c r="AR245" s="6">
        <v>1077.3499999999999</v>
      </c>
      <c r="AS245" s="6">
        <v>861.88</v>
      </c>
      <c r="AT245" s="6">
        <v>861.88</v>
      </c>
      <c r="AU245" s="6">
        <v>1077.3499999999999</v>
      </c>
      <c r="AV245" s="6">
        <v>861.88</v>
      </c>
      <c r="AW245" s="93" t="s">
        <v>631</v>
      </c>
      <c r="AX245" s="76"/>
      <c r="AY245" s="76"/>
      <c r="AZ245" s="76"/>
      <c r="BA245" s="76" t="s">
        <v>631</v>
      </c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 t="s">
        <v>631</v>
      </c>
      <c r="BP245" s="76" t="s">
        <v>631</v>
      </c>
      <c r="BQ245" s="76"/>
      <c r="BR245" s="76"/>
      <c r="BS245" s="76"/>
      <c r="BT245" s="76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 t="s">
        <v>631</v>
      </c>
      <c r="DH245" s="96" t="s">
        <v>631</v>
      </c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95"/>
      <c r="DX245" s="90">
        <f>COUNTIF(AW245:DW245,"x")</f>
        <v>6</v>
      </c>
      <c r="DY245" s="21"/>
      <c r="DZ245" s="21"/>
    </row>
    <row r="246" spans="1:130" x14ac:dyDescent="0.3">
      <c r="A246" s="4" t="s">
        <v>126</v>
      </c>
      <c r="B246" s="4" t="s">
        <v>173</v>
      </c>
      <c r="C246" s="91" t="s">
        <v>192</v>
      </c>
      <c r="D246" s="4" t="s">
        <v>193</v>
      </c>
      <c r="E246" s="12">
        <v>4.6100000000000003</v>
      </c>
      <c r="F246" s="34">
        <f t="shared" si="0"/>
        <v>4679.1500000000005</v>
      </c>
      <c r="G246" s="28">
        <f t="shared" si="7"/>
        <v>1015</v>
      </c>
      <c r="H246" s="28">
        <f t="shared" si="1"/>
        <v>85</v>
      </c>
      <c r="I246" s="26">
        <f t="shared" si="2"/>
        <v>2941.1800000000003</v>
      </c>
      <c r="J246" s="24">
        <f t="shared" si="3"/>
        <v>638</v>
      </c>
      <c r="K246" s="31">
        <f t="shared" si="4"/>
        <v>128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145</v>
      </c>
      <c r="R246" s="9">
        <v>116</v>
      </c>
      <c r="S246" s="9">
        <v>145</v>
      </c>
      <c r="T246" s="9">
        <v>116</v>
      </c>
      <c r="U246" s="9">
        <v>116</v>
      </c>
      <c r="V246" s="9">
        <v>145</v>
      </c>
      <c r="W246" s="9">
        <v>116</v>
      </c>
      <c r="X246" s="9">
        <v>116</v>
      </c>
      <c r="Y246" s="9">
        <v>145</v>
      </c>
      <c r="Z246" s="9">
        <v>116</v>
      </c>
      <c r="AA246" s="9">
        <v>116</v>
      </c>
      <c r="AB246" s="9">
        <v>145</v>
      </c>
      <c r="AC246" s="9">
        <v>116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668.45</v>
      </c>
      <c r="AK246" s="6">
        <v>534.76</v>
      </c>
      <c r="AL246" s="6">
        <v>668.45</v>
      </c>
      <c r="AM246" s="6">
        <v>534.76</v>
      </c>
      <c r="AN246" s="6">
        <v>534.76</v>
      </c>
      <c r="AO246" s="6">
        <v>668.45</v>
      </c>
      <c r="AP246" s="6">
        <v>534.76</v>
      </c>
      <c r="AQ246" s="6">
        <v>534.76</v>
      </c>
      <c r="AR246" s="6">
        <v>668.45</v>
      </c>
      <c r="AS246" s="6">
        <v>534.76</v>
      </c>
      <c r="AT246" s="6">
        <v>534.76</v>
      </c>
      <c r="AU246" s="6">
        <v>668.45</v>
      </c>
      <c r="AV246" s="6">
        <v>534.76</v>
      </c>
      <c r="AW246" s="93"/>
      <c r="AX246" s="76"/>
      <c r="AY246" s="76" t="s">
        <v>631</v>
      </c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 t="s">
        <v>631</v>
      </c>
      <c r="BP246" s="76" t="s">
        <v>631</v>
      </c>
      <c r="BQ246" s="76"/>
      <c r="BR246" s="76"/>
      <c r="BS246" s="76"/>
      <c r="BT246" s="76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 t="s">
        <v>631</v>
      </c>
      <c r="DH246" s="96" t="s">
        <v>631</v>
      </c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95"/>
      <c r="DX246" s="90">
        <f>COUNTIF(AW246:DW246,"x")</f>
        <v>5</v>
      </c>
      <c r="DY246" s="21"/>
      <c r="DZ246" s="21"/>
    </row>
    <row r="247" spans="1:130" x14ac:dyDescent="0.3">
      <c r="A247" s="4" t="s">
        <v>126</v>
      </c>
      <c r="B247" s="4" t="s">
        <v>173</v>
      </c>
      <c r="C247" s="91" t="s">
        <v>194</v>
      </c>
      <c r="D247" s="4" t="s">
        <v>195</v>
      </c>
      <c r="E247" s="12">
        <v>10.210000000000001</v>
      </c>
      <c r="F247" s="34">
        <f t="shared" si="0"/>
        <v>10363.150000000001</v>
      </c>
      <c r="G247" s="28">
        <f t="shared" si="7"/>
        <v>1015</v>
      </c>
      <c r="H247" s="28">
        <f t="shared" si="1"/>
        <v>85</v>
      </c>
      <c r="I247" s="26">
        <f t="shared" si="2"/>
        <v>6513.9800000000005</v>
      </c>
      <c r="J247" s="24">
        <f t="shared" si="3"/>
        <v>638</v>
      </c>
      <c r="K247" s="31">
        <f t="shared" si="4"/>
        <v>128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145</v>
      </c>
      <c r="R247" s="9">
        <v>116</v>
      </c>
      <c r="S247" s="9">
        <v>145</v>
      </c>
      <c r="T247" s="9">
        <v>116</v>
      </c>
      <c r="U247" s="9">
        <v>116</v>
      </c>
      <c r="V247" s="9">
        <v>145</v>
      </c>
      <c r="W247" s="9">
        <v>116</v>
      </c>
      <c r="X247" s="9">
        <v>116</v>
      </c>
      <c r="Y247" s="9">
        <v>145</v>
      </c>
      <c r="Z247" s="9">
        <v>116</v>
      </c>
      <c r="AA247" s="9">
        <v>116</v>
      </c>
      <c r="AB247" s="9">
        <v>145</v>
      </c>
      <c r="AC247" s="9">
        <v>116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1480.45</v>
      </c>
      <c r="AK247" s="6">
        <v>1184.3600000000001</v>
      </c>
      <c r="AL247" s="6">
        <v>1480.45</v>
      </c>
      <c r="AM247" s="6">
        <v>1184.3600000000001</v>
      </c>
      <c r="AN247" s="6">
        <v>1184.3600000000001</v>
      </c>
      <c r="AO247" s="6">
        <v>1480.45</v>
      </c>
      <c r="AP247" s="6">
        <v>1184.3600000000001</v>
      </c>
      <c r="AQ247" s="6">
        <v>1184.3600000000001</v>
      </c>
      <c r="AR247" s="6">
        <v>1480.45</v>
      </c>
      <c r="AS247" s="6">
        <v>1184.3600000000001</v>
      </c>
      <c r="AT247" s="6">
        <v>1184.3600000000001</v>
      </c>
      <c r="AU247" s="6">
        <v>1480.45</v>
      </c>
      <c r="AV247" s="6">
        <v>1184.3600000000001</v>
      </c>
      <c r="AW247" s="93" t="s">
        <v>631</v>
      </c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 t="s">
        <v>631</v>
      </c>
      <c r="BP247" s="76" t="s">
        <v>631</v>
      </c>
      <c r="BQ247" s="76"/>
      <c r="BR247" s="76"/>
      <c r="BS247" s="76"/>
      <c r="BT247" s="76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96" t="s">
        <v>631</v>
      </c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95"/>
      <c r="DX247" s="90">
        <f>COUNTIF(AW247:DW247,"x")</f>
        <v>4</v>
      </c>
      <c r="DY247" s="21"/>
      <c r="DZ247" s="21"/>
    </row>
    <row r="248" spans="1:130" collapsed="1" x14ac:dyDescent="0.3">
      <c r="A248" s="4" t="s">
        <v>126</v>
      </c>
      <c r="B248" s="4" t="s">
        <v>173</v>
      </c>
      <c r="C248" s="91" t="s">
        <v>196</v>
      </c>
      <c r="D248" s="4" t="s">
        <v>197</v>
      </c>
      <c r="E248" s="12">
        <v>32.380000000000003</v>
      </c>
      <c r="F248" s="34">
        <f t="shared" si="0"/>
        <v>32865.700000000004</v>
      </c>
      <c r="G248" s="28">
        <f t="shared" si="7"/>
        <v>1015</v>
      </c>
      <c r="H248" s="28">
        <f t="shared" si="1"/>
        <v>85</v>
      </c>
      <c r="I248" s="26">
        <f t="shared" si="2"/>
        <v>20658.440000000002</v>
      </c>
      <c r="J248" s="24">
        <f t="shared" si="3"/>
        <v>638</v>
      </c>
      <c r="K248" s="31">
        <f t="shared" si="4"/>
        <v>128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145</v>
      </c>
      <c r="R248" s="9">
        <v>116</v>
      </c>
      <c r="S248" s="9">
        <v>145</v>
      </c>
      <c r="T248" s="9">
        <v>116</v>
      </c>
      <c r="U248" s="9">
        <v>116</v>
      </c>
      <c r="V248" s="9">
        <v>145</v>
      </c>
      <c r="W248" s="9">
        <v>116</v>
      </c>
      <c r="X248" s="9">
        <v>116</v>
      </c>
      <c r="Y248" s="9">
        <v>145</v>
      </c>
      <c r="Z248" s="9">
        <v>116</v>
      </c>
      <c r="AA248" s="9">
        <v>116</v>
      </c>
      <c r="AB248" s="9">
        <v>145</v>
      </c>
      <c r="AC248" s="9">
        <v>116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4580.55</v>
      </c>
      <c r="AK248" s="6">
        <v>3664.44</v>
      </c>
      <c r="AL248" s="6">
        <v>4580.55</v>
      </c>
      <c r="AM248" s="6">
        <v>3664.44</v>
      </c>
      <c r="AN248" s="6">
        <v>3664.44</v>
      </c>
      <c r="AO248" s="6">
        <v>4580.55</v>
      </c>
      <c r="AP248" s="6">
        <v>3664.44</v>
      </c>
      <c r="AQ248" s="6">
        <v>3664.44</v>
      </c>
      <c r="AR248" s="6">
        <v>4580.55</v>
      </c>
      <c r="AS248" s="6">
        <v>3664.44</v>
      </c>
      <c r="AT248" s="6">
        <v>3664.44</v>
      </c>
      <c r="AU248" s="6">
        <v>4580.55</v>
      </c>
      <c r="AV248" s="6">
        <v>3664.44</v>
      </c>
      <c r="AW248" s="93"/>
      <c r="AX248" s="76"/>
      <c r="AY248" s="76"/>
      <c r="AZ248" s="76"/>
      <c r="BA248" s="76" t="s">
        <v>631</v>
      </c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 t="s">
        <v>631</v>
      </c>
      <c r="BP248" s="76" t="s">
        <v>631</v>
      </c>
      <c r="BQ248" s="76"/>
      <c r="BR248" s="76"/>
      <c r="BS248" s="76"/>
      <c r="BT248" s="76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 t="s">
        <v>631</v>
      </c>
      <c r="CI248" s="94" t="s">
        <v>631</v>
      </c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 t="s">
        <v>631</v>
      </c>
      <c r="CX248" s="76"/>
      <c r="CY248" s="76"/>
      <c r="CZ248" s="76"/>
      <c r="DA248" s="76"/>
      <c r="DB248" s="76"/>
      <c r="DC248" s="76"/>
      <c r="DD248" s="76"/>
      <c r="DE248" s="76"/>
      <c r="DF248" s="76"/>
      <c r="DG248" s="76" t="s">
        <v>631</v>
      </c>
      <c r="DH248" s="96" t="s">
        <v>631</v>
      </c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95"/>
      <c r="DX248" s="90">
        <f>COUNTIF(AW248:DW248,"x")</f>
        <v>8</v>
      </c>
      <c r="DY248" s="21"/>
      <c r="DZ248" s="21"/>
    </row>
    <row r="249" spans="1:130" hidden="1" outlineLevel="1" x14ac:dyDescent="0.3">
      <c r="A249" s="4"/>
      <c r="B249" s="4"/>
      <c r="C249" s="101" t="s">
        <v>196</v>
      </c>
      <c r="D249" s="4"/>
      <c r="E249" s="12"/>
      <c r="F249" s="34"/>
      <c r="G249" s="28"/>
      <c r="H249" s="28"/>
      <c r="I249" s="26"/>
      <c r="J249" s="24"/>
      <c r="K249" s="31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93"/>
      <c r="AX249" s="76"/>
      <c r="AY249" s="76"/>
      <c r="AZ249" s="76"/>
      <c r="BA249" s="76" t="s">
        <v>631</v>
      </c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 t="s">
        <v>631</v>
      </c>
      <c r="BQ249" s="76"/>
      <c r="BR249" s="76"/>
      <c r="BS249" s="76"/>
      <c r="BT249" s="76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 t="s">
        <v>631</v>
      </c>
      <c r="CI249" s="94" t="s">
        <v>631</v>
      </c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 t="s">
        <v>631</v>
      </c>
      <c r="CW249" s="76" t="s">
        <v>631</v>
      </c>
      <c r="CX249" s="76"/>
      <c r="CY249" s="76"/>
      <c r="CZ249" s="76"/>
      <c r="DA249" s="76"/>
      <c r="DB249" s="76"/>
      <c r="DC249" s="76"/>
      <c r="DD249" s="76"/>
      <c r="DE249" s="76"/>
      <c r="DF249" s="76"/>
      <c r="DG249" s="76" t="s">
        <v>631</v>
      </c>
      <c r="DH249" s="9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95"/>
      <c r="DX249" s="90"/>
      <c r="DY249" s="21"/>
      <c r="DZ249" s="21"/>
    </row>
    <row r="250" spans="1:130" hidden="1" outlineLevel="1" x14ac:dyDescent="0.3">
      <c r="A250" s="4"/>
      <c r="B250" s="4"/>
      <c r="C250" s="101" t="s">
        <v>847</v>
      </c>
      <c r="D250" s="4"/>
      <c r="E250" s="12"/>
      <c r="F250" s="34"/>
      <c r="G250" s="28"/>
      <c r="H250" s="28"/>
      <c r="I250" s="26"/>
      <c r="J250" s="24"/>
      <c r="K250" s="31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93"/>
      <c r="AX250" s="76"/>
      <c r="AY250" s="76"/>
      <c r="AZ250" s="76"/>
      <c r="BA250" s="76" t="s">
        <v>631</v>
      </c>
      <c r="BB250" s="76" t="s">
        <v>631</v>
      </c>
      <c r="BC250" s="76"/>
      <c r="BD250" s="76" t="s">
        <v>631</v>
      </c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 t="s">
        <v>631</v>
      </c>
      <c r="BQ250" s="76"/>
      <c r="BR250" s="76"/>
      <c r="BS250" s="76"/>
      <c r="BT250" s="76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94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9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95"/>
      <c r="DX250" s="90"/>
      <c r="DY250" s="21"/>
      <c r="DZ250" s="21"/>
    </row>
    <row r="251" spans="1:130" collapsed="1" x14ac:dyDescent="0.3">
      <c r="A251" s="4" t="s">
        <v>126</v>
      </c>
      <c r="B251" s="4" t="s">
        <v>173</v>
      </c>
      <c r="C251" s="91" t="s">
        <v>198</v>
      </c>
      <c r="D251" s="4" t="s">
        <v>199</v>
      </c>
      <c r="E251" s="12">
        <v>47.95</v>
      </c>
      <c r="F251" s="34">
        <f t="shared" si="0"/>
        <v>74562.25</v>
      </c>
      <c r="G251" s="28">
        <f t="shared" si="7"/>
        <v>1555</v>
      </c>
      <c r="H251" s="28">
        <f t="shared" si="1"/>
        <v>130</v>
      </c>
      <c r="I251" s="26">
        <f t="shared" si="2"/>
        <v>24262.7</v>
      </c>
      <c r="J251" s="24">
        <f t="shared" si="3"/>
        <v>506</v>
      </c>
      <c r="K251" s="31">
        <f t="shared" si="4"/>
        <v>102</v>
      </c>
      <c r="L251" s="9">
        <v>250</v>
      </c>
      <c r="M251" s="9">
        <v>500</v>
      </c>
      <c r="N251" s="9">
        <v>250</v>
      </c>
      <c r="O251" s="9">
        <v>0</v>
      </c>
      <c r="P251" s="9">
        <v>0</v>
      </c>
      <c r="Q251" s="9">
        <v>115</v>
      </c>
      <c r="R251" s="9">
        <v>92</v>
      </c>
      <c r="S251" s="9">
        <v>115</v>
      </c>
      <c r="T251" s="9">
        <v>92</v>
      </c>
      <c r="U251" s="9">
        <v>92</v>
      </c>
      <c r="V251" s="9">
        <v>115</v>
      </c>
      <c r="W251" s="9">
        <v>92</v>
      </c>
      <c r="X251" s="9">
        <v>92</v>
      </c>
      <c r="Y251" s="9">
        <v>115</v>
      </c>
      <c r="Z251" s="9">
        <v>92</v>
      </c>
      <c r="AA251" s="9">
        <v>92</v>
      </c>
      <c r="AB251" s="9">
        <v>115</v>
      </c>
      <c r="AC251" s="9">
        <v>92</v>
      </c>
      <c r="AE251" s="6">
        <v>12627.5</v>
      </c>
      <c r="AF251" s="6">
        <v>25255</v>
      </c>
      <c r="AG251" s="6">
        <v>12627.5</v>
      </c>
      <c r="AH251" s="6">
        <v>0</v>
      </c>
      <c r="AI251" s="6">
        <v>0</v>
      </c>
      <c r="AJ251" s="6">
        <v>5514.25</v>
      </c>
      <c r="AK251" s="6">
        <v>4411.4000000000005</v>
      </c>
      <c r="AL251" s="6">
        <v>5514.25</v>
      </c>
      <c r="AM251" s="6">
        <v>4411.4000000000005</v>
      </c>
      <c r="AN251" s="6">
        <v>4411.4000000000005</v>
      </c>
      <c r="AO251" s="6">
        <v>5514.25</v>
      </c>
      <c r="AP251" s="6">
        <v>4411.4000000000005</v>
      </c>
      <c r="AQ251" s="6">
        <v>4411.4000000000005</v>
      </c>
      <c r="AR251" s="6">
        <v>5514.25</v>
      </c>
      <c r="AS251" s="6">
        <v>4411.4000000000005</v>
      </c>
      <c r="AT251" s="6">
        <v>4411.4000000000005</v>
      </c>
      <c r="AU251" s="6">
        <v>5514.25</v>
      </c>
      <c r="AV251" s="6">
        <v>4411.4000000000005</v>
      </c>
      <c r="AW251" s="93" t="s">
        <v>631</v>
      </c>
      <c r="AX251" s="76"/>
      <c r="AY251" s="76"/>
      <c r="AZ251" s="76"/>
      <c r="BA251" s="76" t="s">
        <v>631</v>
      </c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 t="s">
        <v>631</v>
      </c>
      <c r="BP251" s="76" t="s">
        <v>631</v>
      </c>
      <c r="BQ251" s="76"/>
      <c r="BR251" s="76"/>
      <c r="BS251" s="76"/>
      <c r="BT251" s="76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 t="s">
        <v>631</v>
      </c>
      <c r="CI251" s="94" t="s">
        <v>631</v>
      </c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 t="s">
        <v>631</v>
      </c>
      <c r="CX251" s="76"/>
      <c r="CY251" s="76"/>
      <c r="CZ251" s="76"/>
      <c r="DA251" s="76"/>
      <c r="DB251" s="76"/>
      <c r="DC251" s="76"/>
      <c r="DD251" s="76"/>
      <c r="DE251" s="76"/>
      <c r="DF251" s="76"/>
      <c r="DG251" s="76" t="s">
        <v>631</v>
      </c>
      <c r="DH251" s="96" t="s">
        <v>631</v>
      </c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95"/>
      <c r="DX251" s="90">
        <f>COUNTIF(AW251:DW251,"x")</f>
        <v>9</v>
      </c>
      <c r="DY251" s="21"/>
      <c r="DZ251" s="21"/>
    </row>
    <row r="252" spans="1:130" collapsed="1" x14ac:dyDescent="0.3">
      <c r="A252" s="4" t="s">
        <v>126</v>
      </c>
      <c r="B252" s="4" t="s">
        <v>173</v>
      </c>
      <c r="C252" s="91" t="s">
        <v>200</v>
      </c>
      <c r="D252" s="4" t="s">
        <v>199</v>
      </c>
      <c r="E252" s="12">
        <v>47.73</v>
      </c>
      <c r="F252" s="34">
        <f t="shared" si="0"/>
        <v>40809.149999999994</v>
      </c>
      <c r="G252" s="28">
        <f t="shared" si="7"/>
        <v>855</v>
      </c>
      <c r="H252" s="28">
        <f t="shared" si="1"/>
        <v>72</v>
      </c>
      <c r="I252" s="26">
        <f t="shared" si="2"/>
        <v>24151.379999999997</v>
      </c>
      <c r="J252" s="24">
        <f t="shared" si="3"/>
        <v>506</v>
      </c>
      <c r="K252" s="31">
        <f t="shared" si="4"/>
        <v>102</v>
      </c>
      <c r="L252" s="9">
        <v>0</v>
      </c>
      <c r="M252" s="9">
        <v>0</v>
      </c>
      <c r="N252" s="9">
        <v>50</v>
      </c>
      <c r="O252" s="9">
        <v>0</v>
      </c>
      <c r="P252" s="9">
        <v>0</v>
      </c>
      <c r="Q252" s="9">
        <v>115</v>
      </c>
      <c r="R252" s="9">
        <v>92</v>
      </c>
      <c r="S252" s="9">
        <v>115</v>
      </c>
      <c r="T252" s="9">
        <v>92</v>
      </c>
      <c r="U252" s="9">
        <v>92</v>
      </c>
      <c r="V252" s="9">
        <v>115</v>
      </c>
      <c r="W252" s="9">
        <v>92</v>
      </c>
      <c r="X252" s="9">
        <v>92</v>
      </c>
      <c r="Y252" s="9">
        <v>115</v>
      </c>
      <c r="Z252" s="9">
        <v>92</v>
      </c>
      <c r="AA252" s="9">
        <v>92</v>
      </c>
      <c r="AB252" s="9">
        <v>115</v>
      </c>
      <c r="AC252" s="9">
        <v>92</v>
      </c>
      <c r="AE252" s="6">
        <v>0</v>
      </c>
      <c r="AF252" s="6">
        <v>0</v>
      </c>
      <c r="AG252" s="6">
        <v>3260</v>
      </c>
      <c r="AH252" s="6">
        <v>0</v>
      </c>
      <c r="AI252" s="6">
        <v>0</v>
      </c>
      <c r="AJ252" s="6">
        <v>5488.95</v>
      </c>
      <c r="AK252" s="6">
        <v>4391.16</v>
      </c>
      <c r="AL252" s="6">
        <v>5488.95</v>
      </c>
      <c r="AM252" s="6">
        <v>4391.16</v>
      </c>
      <c r="AN252" s="6">
        <v>4391.16</v>
      </c>
      <c r="AO252" s="6">
        <v>5488.95</v>
      </c>
      <c r="AP252" s="6">
        <v>4391.16</v>
      </c>
      <c r="AQ252" s="6">
        <v>4391.16</v>
      </c>
      <c r="AR252" s="6">
        <v>5488.95</v>
      </c>
      <c r="AS252" s="6">
        <v>4391.16</v>
      </c>
      <c r="AT252" s="6">
        <v>4391.16</v>
      </c>
      <c r="AU252" s="6">
        <v>5488.95</v>
      </c>
      <c r="AV252" s="6">
        <v>4391.16</v>
      </c>
      <c r="AW252" s="93"/>
      <c r="AX252" s="76"/>
      <c r="AY252" s="76"/>
      <c r="AZ252" s="76"/>
      <c r="BA252" s="76" t="s">
        <v>631</v>
      </c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 t="s">
        <v>631</v>
      </c>
      <c r="CI252" s="94" t="s">
        <v>631</v>
      </c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 t="s">
        <v>631</v>
      </c>
      <c r="CX252" s="76"/>
      <c r="CY252" s="76"/>
      <c r="CZ252" s="76"/>
      <c r="DA252" s="76"/>
      <c r="DB252" s="76"/>
      <c r="DC252" s="76"/>
      <c r="DD252" s="76"/>
      <c r="DE252" s="76"/>
      <c r="DF252" s="76"/>
      <c r="DG252" s="76" t="s">
        <v>631</v>
      </c>
      <c r="DH252" s="96" t="s">
        <v>631</v>
      </c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95"/>
      <c r="DX252" s="90">
        <f>COUNTIF(AW252:DW252,"x")</f>
        <v>6</v>
      </c>
      <c r="DY252" s="21"/>
      <c r="DZ252" s="21"/>
    </row>
    <row r="253" spans="1:130" hidden="1" outlineLevel="1" x14ac:dyDescent="0.3">
      <c r="A253" s="4"/>
      <c r="B253" s="4"/>
      <c r="C253" s="101" t="s">
        <v>848</v>
      </c>
      <c r="D253" s="4"/>
      <c r="E253" s="12"/>
      <c r="F253" s="34"/>
      <c r="G253" s="28"/>
      <c r="H253" s="28"/>
      <c r="I253" s="26"/>
      <c r="J253" s="24"/>
      <c r="K253" s="31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93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 t="s">
        <v>631</v>
      </c>
      <c r="CI253" s="94" t="s">
        <v>631</v>
      </c>
      <c r="CJ253" s="76"/>
      <c r="CK253" s="76"/>
      <c r="CL253" s="76"/>
      <c r="CM253" s="76"/>
      <c r="CN253" s="76" t="s">
        <v>631</v>
      </c>
      <c r="CO253" s="76"/>
      <c r="CP253" s="76"/>
      <c r="CQ253" s="76"/>
      <c r="CR253" s="76"/>
      <c r="CS253" s="76"/>
      <c r="CT253" s="76"/>
      <c r="CU253" s="76"/>
      <c r="CV253" s="76"/>
      <c r="CW253" s="76" t="s">
        <v>631</v>
      </c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9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95"/>
      <c r="DX253" s="90"/>
      <c r="DY253" s="21"/>
      <c r="DZ253" s="21"/>
    </row>
    <row r="254" spans="1:130" collapsed="1" x14ac:dyDescent="0.3">
      <c r="A254" s="4" t="s">
        <v>126</v>
      </c>
      <c r="B254" s="4" t="s">
        <v>173</v>
      </c>
      <c r="C254" s="91" t="s">
        <v>207</v>
      </c>
      <c r="D254" s="4" t="s">
        <v>208</v>
      </c>
      <c r="E254" s="12">
        <v>2.19</v>
      </c>
      <c r="F254" s="34">
        <f t="shared" si="0"/>
        <v>10654.35</v>
      </c>
      <c r="G254" s="28">
        <f t="shared" si="7"/>
        <v>4865</v>
      </c>
      <c r="H254" s="28">
        <f t="shared" si="1"/>
        <v>406</v>
      </c>
      <c r="I254" s="26">
        <f t="shared" si="2"/>
        <v>6697.0199999999995</v>
      </c>
      <c r="J254" s="24">
        <f t="shared" si="3"/>
        <v>3058</v>
      </c>
      <c r="K254" s="31">
        <f t="shared" si="4"/>
        <v>612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695</v>
      </c>
      <c r="R254" s="9">
        <v>556</v>
      </c>
      <c r="S254" s="9">
        <v>695</v>
      </c>
      <c r="T254" s="9">
        <v>556</v>
      </c>
      <c r="U254" s="9">
        <v>556</v>
      </c>
      <c r="V254" s="9">
        <v>695</v>
      </c>
      <c r="W254" s="9">
        <v>556</v>
      </c>
      <c r="X254" s="9">
        <v>556</v>
      </c>
      <c r="Y254" s="9">
        <v>695</v>
      </c>
      <c r="Z254" s="9">
        <v>556</v>
      </c>
      <c r="AA254" s="9">
        <v>556</v>
      </c>
      <c r="AB254" s="9">
        <v>695</v>
      </c>
      <c r="AC254" s="9">
        <v>556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1522.05</v>
      </c>
      <c r="AK254" s="6">
        <v>1217.6399999999999</v>
      </c>
      <c r="AL254" s="6">
        <v>1522.05</v>
      </c>
      <c r="AM254" s="6">
        <v>1217.6399999999999</v>
      </c>
      <c r="AN254" s="6">
        <v>1217.6399999999999</v>
      </c>
      <c r="AO254" s="6">
        <v>1522.05</v>
      </c>
      <c r="AP254" s="6">
        <v>1217.6399999999999</v>
      </c>
      <c r="AQ254" s="6">
        <v>1217.6399999999999</v>
      </c>
      <c r="AR254" s="6">
        <v>1522.05</v>
      </c>
      <c r="AS254" s="6">
        <v>1217.6399999999999</v>
      </c>
      <c r="AT254" s="6">
        <v>1217.6399999999999</v>
      </c>
      <c r="AU254" s="6">
        <v>1522.05</v>
      </c>
      <c r="AV254" s="6">
        <v>1217.6399999999999</v>
      </c>
      <c r="AW254" s="93"/>
      <c r="AX254" s="76"/>
      <c r="AY254" s="76"/>
      <c r="AZ254" s="76"/>
      <c r="BA254" s="76"/>
      <c r="BB254" s="76" t="s">
        <v>631</v>
      </c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 t="s">
        <v>631</v>
      </c>
      <c r="DH254" s="96" t="s">
        <v>631</v>
      </c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95"/>
      <c r="DX254" s="90">
        <f>COUNTIF(AW254:DW254,"x")</f>
        <v>3</v>
      </c>
      <c r="DY254" s="21"/>
      <c r="DZ254" s="21"/>
    </row>
    <row r="255" spans="1:130" collapsed="1" x14ac:dyDescent="0.3">
      <c r="A255" s="4" t="s">
        <v>126</v>
      </c>
      <c r="B255" s="4" t="s">
        <v>213</v>
      </c>
      <c r="C255" s="91" t="s">
        <v>214</v>
      </c>
      <c r="D255" s="4" t="s">
        <v>215</v>
      </c>
      <c r="E255" s="12">
        <v>394.62</v>
      </c>
      <c r="F255" s="34">
        <f t="shared" si="0"/>
        <v>295965</v>
      </c>
      <c r="G255" s="28">
        <f t="shared" si="7"/>
        <v>750</v>
      </c>
      <c r="H255" s="28">
        <f t="shared" si="1"/>
        <v>63</v>
      </c>
      <c r="I255" s="26">
        <f t="shared" si="2"/>
        <v>0</v>
      </c>
      <c r="J255" s="24">
        <f t="shared" si="3"/>
        <v>0</v>
      </c>
      <c r="K255" s="31">
        <f t="shared" si="4"/>
        <v>0</v>
      </c>
      <c r="L255" s="9">
        <v>100</v>
      </c>
      <c r="M255" s="9">
        <v>150</v>
      </c>
      <c r="N255" s="9">
        <v>0</v>
      </c>
      <c r="O255" s="9">
        <v>150</v>
      </c>
      <c r="P255" s="9">
        <v>150</v>
      </c>
      <c r="Q255" s="9">
        <v>150</v>
      </c>
      <c r="R255" s="9">
        <v>150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E255" s="6">
        <v>39462</v>
      </c>
      <c r="AF255" s="6">
        <v>59193</v>
      </c>
      <c r="AG255" s="6">
        <v>0</v>
      </c>
      <c r="AH255" s="6">
        <v>59193</v>
      </c>
      <c r="AI255" s="6">
        <v>59193</v>
      </c>
      <c r="AJ255" s="6">
        <v>59193</v>
      </c>
      <c r="AK255" s="6">
        <v>59193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93" t="s">
        <v>631</v>
      </c>
      <c r="AX255" s="76" t="s">
        <v>631</v>
      </c>
      <c r="AY255" s="76" t="s">
        <v>631</v>
      </c>
      <c r="AZ255" s="76"/>
      <c r="BA255" s="76" t="s">
        <v>631</v>
      </c>
      <c r="BB255" s="76"/>
      <c r="BC255" s="76"/>
      <c r="BD255" s="76"/>
      <c r="BE255" s="76"/>
      <c r="BF255" s="76"/>
      <c r="BG255" s="76"/>
      <c r="BH255" s="76"/>
      <c r="BI255" s="76"/>
      <c r="BJ255" s="76"/>
      <c r="BK255" s="76" t="s">
        <v>631</v>
      </c>
      <c r="BL255" s="76"/>
      <c r="BM255" s="76"/>
      <c r="BN255" s="76"/>
      <c r="BO255" s="76" t="s">
        <v>631</v>
      </c>
      <c r="BP255" s="76" t="s">
        <v>631</v>
      </c>
      <c r="BQ255" s="76"/>
      <c r="BR255" s="76"/>
      <c r="BS255" s="76"/>
      <c r="BT255" s="76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 t="s">
        <v>631</v>
      </c>
      <c r="DH255" s="96" t="s">
        <v>631</v>
      </c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95"/>
      <c r="DX255" s="90">
        <f>COUNTIF(AW255:DW255,"x")</f>
        <v>9</v>
      </c>
      <c r="DY255" s="21"/>
      <c r="DZ255" s="21"/>
    </row>
    <row r="256" spans="1:130" hidden="1" outlineLevel="1" x14ac:dyDescent="0.3">
      <c r="A256" s="4"/>
      <c r="B256" s="4"/>
      <c r="C256" s="101" t="s">
        <v>214</v>
      </c>
      <c r="D256" s="4"/>
      <c r="E256" s="12"/>
      <c r="F256" s="34"/>
      <c r="G256" s="28"/>
      <c r="H256" s="28"/>
      <c r="I256" s="26"/>
      <c r="J256" s="24"/>
      <c r="K256" s="31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93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 t="s">
        <v>631</v>
      </c>
      <c r="DD256" s="76"/>
      <c r="DE256" s="76"/>
      <c r="DF256" s="76"/>
      <c r="DG256" s="76"/>
      <c r="DH256" s="9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95"/>
      <c r="DX256" s="90"/>
      <c r="DY256" s="21"/>
      <c r="DZ256" s="21"/>
    </row>
    <row r="257" spans="1:130" hidden="1" outlineLevel="1" x14ac:dyDescent="0.3">
      <c r="A257" s="4"/>
      <c r="B257" s="4"/>
      <c r="C257" s="101" t="s">
        <v>849</v>
      </c>
      <c r="D257" s="4"/>
      <c r="E257" s="12"/>
      <c r="F257" s="34"/>
      <c r="G257" s="28"/>
      <c r="H257" s="28"/>
      <c r="I257" s="26"/>
      <c r="J257" s="24"/>
      <c r="K257" s="31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93"/>
      <c r="AX257" s="76" t="s">
        <v>631</v>
      </c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 t="s">
        <v>631</v>
      </c>
      <c r="BP257" s="76" t="s">
        <v>631</v>
      </c>
      <c r="BQ257" s="76"/>
      <c r="BR257" s="76"/>
      <c r="BS257" s="76"/>
      <c r="BT257" s="76"/>
      <c r="BU257" s="76"/>
      <c r="BV257" s="76"/>
      <c r="BW257" s="76"/>
      <c r="BX257" s="76"/>
      <c r="BY257" s="76"/>
      <c r="BZ257" s="76" t="s">
        <v>631</v>
      </c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9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95"/>
      <c r="DX257" s="90"/>
      <c r="DY257" s="21"/>
      <c r="DZ257" s="21"/>
    </row>
    <row r="258" spans="1:130" hidden="1" outlineLevel="1" x14ac:dyDescent="0.3">
      <c r="A258" s="4"/>
      <c r="B258" s="4"/>
      <c r="C258" s="101" t="s">
        <v>850</v>
      </c>
      <c r="D258" s="4"/>
      <c r="E258" s="12"/>
      <c r="F258" s="34"/>
      <c r="G258" s="28"/>
      <c r="H258" s="28"/>
      <c r="I258" s="26"/>
      <c r="J258" s="24"/>
      <c r="K258" s="31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93" t="s">
        <v>631</v>
      </c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 t="s">
        <v>631</v>
      </c>
      <c r="BQ258" s="76"/>
      <c r="BR258" s="76"/>
      <c r="BS258" s="76"/>
      <c r="BT258" s="76"/>
      <c r="BU258" s="76"/>
      <c r="BV258" s="76"/>
      <c r="BW258" s="76"/>
      <c r="BX258" s="76"/>
      <c r="BY258" s="76"/>
      <c r="BZ258" s="76" t="s">
        <v>631</v>
      </c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 t="s">
        <v>631</v>
      </c>
      <c r="DH258" s="9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95"/>
      <c r="DX258" s="90"/>
      <c r="DY258" s="21"/>
      <c r="DZ258" s="21"/>
    </row>
    <row r="259" spans="1:130" hidden="1" outlineLevel="1" x14ac:dyDescent="0.3">
      <c r="A259" s="4"/>
      <c r="B259" s="4"/>
      <c r="C259" s="101" t="s">
        <v>851</v>
      </c>
      <c r="D259" s="4"/>
      <c r="E259" s="12"/>
      <c r="F259" s="34"/>
      <c r="G259" s="28"/>
      <c r="H259" s="28"/>
      <c r="I259" s="26"/>
      <c r="J259" s="24"/>
      <c r="K259" s="31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93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 t="s">
        <v>631</v>
      </c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 t="s">
        <v>631</v>
      </c>
      <c r="DH259" s="9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95"/>
      <c r="DX259" s="90"/>
      <c r="DY259" s="21"/>
      <c r="DZ259" s="21"/>
    </row>
    <row r="260" spans="1:130" hidden="1" outlineLevel="1" x14ac:dyDescent="0.3">
      <c r="A260" s="4"/>
      <c r="B260" s="4"/>
      <c r="C260" s="101" t="s">
        <v>852</v>
      </c>
      <c r="D260" s="4"/>
      <c r="E260" s="12"/>
      <c r="F260" s="34"/>
      <c r="G260" s="28"/>
      <c r="H260" s="28"/>
      <c r="I260" s="26"/>
      <c r="J260" s="24"/>
      <c r="K260" s="31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93" t="s">
        <v>631</v>
      </c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 t="s">
        <v>631</v>
      </c>
      <c r="BQ260" s="76"/>
      <c r="BR260" s="76"/>
      <c r="BS260" s="76"/>
      <c r="BT260" s="76"/>
      <c r="BU260" s="76"/>
      <c r="BV260" s="76"/>
      <c r="BW260" s="76"/>
      <c r="BX260" s="76"/>
      <c r="BY260" s="76"/>
      <c r="BZ260" s="76" t="s">
        <v>631</v>
      </c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9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95"/>
      <c r="DX260" s="90"/>
      <c r="DY260" s="21"/>
      <c r="DZ260" s="21"/>
    </row>
    <row r="261" spans="1:130" hidden="1" outlineLevel="1" x14ac:dyDescent="0.3">
      <c r="A261" s="4"/>
      <c r="B261" s="4"/>
      <c r="C261" s="101" t="s">
        <v>853</v>
      </c>
      <c r="D261" s="4"/>
      <c r="E261" s="12"/>
      <c r="F261" s="34"/>
      <c r="G261" s="28"/>
      <c r="H261" s="28"/>
      <c r="I261" s="26"/>
      <c r="J261" s="24"/>
      <c r="K261" s="31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93"/>
      <c r="AX261" s="76"/>
      <c r="AY261" s="76"/>
      <c r="AZ261" s="76"/>
      <c r="BA261" s="76" t="s">
        <v>631</v>
      </c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 t="s">
        <v>631</v>
      </c>
      <c r="BP261" s="76"/>
      <c r="BQ261" s="76"/>
      <c r="BR261" s="76"/>
      <c r="BS261" s="76"/>
      <c r="BT261" s="76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9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95"/>
      <c r="DX261" s="90"/>
      <c r="DY261" s="21"/>
      <c r="DZ261" s="21"/>
    </row>
    <row r="262" spans="1:130" hidden="1" outlineLevel="1" x14ac:dyDescent="0.3">
      <c r="A262" s="4"/>
      <c r="B262" s="4"/>
      <c r="C262" s="101" t="s">
        <v>854</v>
      </c>
      <c r="D262" s="4"/>
      <c r="E262" s="12"/>
      <c r="F262" s="34"/>
      <c r="G262" s="28"/>
      <c r="H262" s="28"/>
      <c r="I262" s="26"/>
      <c r="J262" s="24"/>
      <c r="K262" s="31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93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 t="s">
        <v>631</v>
      </c>
      <c r="DH262" s="9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95"/>
      <c r="DX262" s="90"/>
      <c r="DY262" s="21"/>
      <c r="DZ262" s="21"/>
    </row>
    <row r="263" spans="1:130" hidden="1" outlineLevel="1" x14ac:dyDescent="0.3">
      <c r="A263" s="4"/>
      <c r="B263" s="4"/>
      <c r="C263" s="101" t="s">
        <v>855</v>
      </c>
      <c r="D263" s="4"/>
      <c r="E263" s="12"/>
      <c r="F263" s="34"/>
      <c r="G263" s="28"/>
      <c r="H263" s="28"/>
      <c r="I263" s="26"/>
      <c r="J263" s="24"/>
      <c r="K263" s="31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93" t="s">
        <v>631</v>
      </c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 t="s">
        <v>631</v>
      </c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9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95"/>
      <c r="DX263" s="90"/>
      <c r="DY263" s="21"/>
      <c r="DZ263" s="21"/>
    </row>
    <row r="264" spans="1:130" hidden="1" outlineLevel="1" x14ac:dyDescent="0.3">
      <c r="A264" s="4"/>
      <c r="B264" s="4"/>
      <c r="C264" s="101" t="s">
        <v>856</v>
      </c>
      <c r="D264" s="4"/>
      <c r="E264" s="12"/>
      <c r="F264" s="34"/>
      <c r="G264" s="28"/>
      <c r="H264" s="28"/>
      <c r="I264" s="26"/>
      <c r="J264" s="24"/>
      <c r="K264" s="31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93"/>
      <c r="AX264" s="76"/>
      <c r="AY264" s="76" t="s">
        <v>631</v>
      </c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 t="s">
        <v>631</v>
      </c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 t="s">
        <v>631</v>
      </c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9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95"/>
      <c r="DX264" s="90"/>
      <c r="DY264" s="21"/>
      <c r="DZ264" s="21"/>
    </row>
    <row r="265" spans="1:130" hidden="1" outlineLevel="1" x14ac:dyDescent="0.3">
      <c r="A265" s="4"/>
      <c r="B265" s="4"/>
      <c r="C265" s="101" t="s">
        <v>857</v>
      </c>
      <c r="D265" s="4"/>
      <c r="E265" s="12"/>
      <c r="F265" s="34"/>
      <c r="G265" s="28"/>
      <c r="H265" s="28"/>
      <c r="I265" s="26"/>
      <c r="J265" s="24"/>
      <c r="K265" s="31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93" t="s">
        <v>631</v>
      </c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 t="s">
        <v>631</v>
      </c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9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95"/>
      <c r="DX265" s="90"/>
      <c r="DY265" s="21"/>
      <c r="DZ265" s="21"/>
    </row>
    <row r="266" spans="1:130" hidden="1" outlineLevel="1" x14ac:dyDescent="0.3">
      <c r="A266" s="4"/>
      <c r="B266" s="4"/>
      <c r="C266" s="101" t="s">
        <v>858</v>
      </c>
      <c r="D266" s="4"/>
      <c r="E266" s="12"/>
      <c r="F266" s="34"/>
      <c r="G266" s="28"/>
      <c r="H266" s="28"/>
      <c r="I266" s="26"/>
      <c r="J266" s="24"/>
      <c r="K266" s="31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93"/>
      <c r="AX266" s="76" t="s">
        <v>631</v>
      </c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 t="s">
        <v>631</v>
      </c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9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95"/>
      <c r="DX266" s="90"/>
      <c r="DY266" s="21"/>
      <c r="DZ266" s="21"/>
    </row>
    <row r="267" spans="1:130" hidden="1" outlineLevel="1" x14ac:dyDescent="0.3">
      <c r="A267" s="4"/>
      <c r="B267" s="4"/>
      <c r="C267" s="101" t="s">
        <v>859</v>
      </c>
      <c r="D267" s="4"/>
      <c r="E267" s="12"/>
      <c r="F267" s="34"/>
      <c r="G267" s="28"/>
      <c r="H267" s="28"/>
      <c r="I267" s="26"/>
      <c r="J267" s="24"/>
      <c r="K267" s="31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93" t="s">
        <v>631</v>
      </c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 t="s">
        <v>631</v>
      </c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9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95"/>
      <c r="DX267" s="90"/>
      <c r="DY267" s="21"/>
      <c r="DZ267" s="21"/>
    </row>
    <row r="268" spans="1:130" hidden="1" outlineLevel="1" x14ac:dyDescent="0.3">
      <c r="A268" s="4"/>
      <c r="B268" s="4"/>
      <c r="C268" s="101" t="s">
        <v>860</v>
      </c>
      <c r="D268" s="4"/>
      <c r="E268" s="12"/>
      <c r="F268" s="34"/>
      <c r="G268" s="28"/>
      <c r="H268" s="28"/>
      <c r="I268" s="26"/>
      <c r="J268" s="24"/>
      <c r="K268" s="31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93"/>
      <c r="AX268" s="76"/>
      <c r="AY268" s="76" t="s">
        <v>631</v>
      </c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 t="s">
        <v>631</v>
      </c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9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95"/>
      <c r="DX268" s="90"/>
      <c r="DY268" s="21"/>
      <c r="DZ268" s="21"/>
    </row>
    <row r="269" spans="1:130" collapsed="1" x14ac:dyDescent="0.3">
      <c r="A269" s="4" t="s">
        <v>126</v>
      </c>
      <c r="B269" s="4" t="s">
        <v>223</v>
      </c>
      <c r="C269" s="91" t="s">
        <v>226</v>
      </c>
      <c r="D269" s="4" t="s">
        <v>227</v>
      </c>
      <c r="E269" s="12">
        <v>8.43</v>
      </c>
      <c r="F269" s="34">
        <f t="shared" si="0"/>
        <v>4215</v>
      </c>
      <c r="G269" s="28">
        <f t="shared" si="7"/>
        <v>500</v>
      </c>
      <c r="H269" s="28">
        <f t="shared" si="1"/>
        <v>42</v>
      </c>
      <c r="I269" s="26">
        <f t="shared" si="2"/>
        <v>0</v>
      </c>
      <c r="J269" s="24">
        <f t="shared" si="3"/>
        <v>0</v>
      </c>
      <c r="K269" s="31">
        <f t="shared" si="4"/>
        <v>0</v>
      </c>
      <c r="L269" s="9">
        <v>50</v>
      </c>
      <c r="M269" s="9">
        <v>500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E269" s="6">
        <v>477.50000000000006</v>
      </c>
      <c r="AF269" s="6">
        <v>1695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93"/>
      <c r="AX269" s="76" t="s">
        <v>631</v>
      </c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 t="s">
        <v>631</v>
      </c>
      <c r="BP269" s="76" t="s">
        <v>631</v>
      </c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 t="s">
        <v>631</v>
      </c>
      <c r="DH269" s="96" t="s">
        <v>631</v>
      </c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95"/>
      <c r="DX269" s="90">
        <f>COUNTIF(AW269:DW269,"x")</f>
        <v>5</v>
      </c>
      <c r="DY269" s="21"/>
      <c r="DZ269" s="21"/>
    </row>
    <row r="270" spans="1:130" hidden="1" outlineLevel="1" x14ac:dyDescent="0.3">
      <c r="A270" s="4"/>
      <c r="B270" s="4"/>
      <c r="C270" s="101" t="s">
        <v>861</v>
      </c>
      <c r="D270" s="4"/>
      <c r="E270" s="12"/>
      <c r="F270" s="34"/>
      <c r="G270" s="28"/>
      <c r="H270" s="28"/>
      <c r="I270" s="26"/>
      <c r="J270" s="24"/>
      <c r="K270" s="31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93" t="s">
        <v>631</v>
      </c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 t="s">
        <v>631</v>
      </c>
      <c r="BP270" s="76" t="s">
        <v>631</v>
      </c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9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95"/>
      <c r="DX270" s="90"/>
      <c r="DY270" s="21"/>
      <c r="DZ270" s="21"/>
    </row>
    <row r="271" spans="1:130" collapsed="1" x14ac:dyDescent="0.3">
      <c r="A271" s="4" t="s">
        <v>126</v>
      </c>
      <c r="B271" s="4" t="s">
        <v>223</v>
      </c>
      <c r="C271" s="91" t="s">
        <v>228</v>
      </c>
      <c r="D271" s="4" t="s">
        <v>227</v>
      </c>
      <c r="E271" s="12">
        <v>8.3699999999999992</v>
      </c>
      <c r="F271" s="34">
        <f t="shared" si="0"/>
        <v>4185</v>
      </c>
      <c r="G271" s="28">
        <f t="shared" si="7"/>
        <v>500</v>
      </c>
      <c r="H271" s="28">
        <f t="shared" si="1"/>
        <v>42</v>
      </c>
      <c r="I271" s="26">
        <f t="shared" si="2"/>
        <v>0</v>
      </c>
      <c r="J271" s="24">
        <f t="shared" si="3"/>
        <v>0</v>
      </c>
      <c r="K271" s="31">
        <f t="shared" si="4"/>
        <v>0</v>
      </c>
      <c r="L271" s="9">
        <v>50</v>
      </c>
      <c r="M271" s="9">
        <v>500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E271" s="6">
        <v>474.5</v>
      </c>
      <c r="AF271" s="6">
        <v>1665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93" t="s">
        <v>631</v>
      </c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 t="s">
        <v>631</v>
      </c>
      <c r="BP271" s="76" t="s">
        <v>631</v>
      </c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 t="s">
        <v>631</v>
      </c>
      <c r="DH271" s="96" t="s">
        <v>631</v>
      </c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95"/>
      <c r="DX271" s="90">
        <f>COUNTIF(AW271:DW271,"x")</f>
        <v>5</v>
      </c>
      <c r="DY271" s="21"/>
      <c r="DZ271" s="21"/>
    </row>
    <row r="272" spans="1:130" hidden="1" outlineLevel="1" x14ac:dyDescent="0.3">
      <c r="A272" s="4"/>
      <c r="B272" s="4"/>
      <c r="C272" s="101" t="s">
        <v>862</v>
      </c>
      <c r="D272" s="4"/>
      <c r="E272" s="12"/>
      <c r="F272" s="34"/>
      <c r="G272" s="28"/>
      <c r="H272" s="28"/>
      <c r="I272" s="26"/>
      <c r="J272" s="24"/>
      <c r="K272" s="31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93" t="s">
        <v>631</v>
      </c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 t="s">
        <v>631</v>
      </c>
      <c r="BP272" s="76" t="s">
        <v>631</v>
      </c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9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95"/>
      <c r="DX272" s="90"/>
      <c r="DY272" s="21"/>
      <c r="DZ272" s="21"/>
    </row>
    <row r="273" spans="1:130" collapsed="1" x14ac:dyDescent="0.3">
      <c r="A273" s="4" t="s">
        <v>126</v>
      </c>
      <c r="B273" s="4" t="s">
        <v>238</v>
      </c>
      <c r="C273" s="91" t="s">
        <v>243</v>
      </c>
      <c r="D273" s="4" t="s">
        <v>244</v>
      </c>
      <c r="E273" s="12">
        <v>11.67</v>
      </c>
      <c r="F273" s="34">
        <f t="shared" si="0"/>
        <v>11039.82</v>
      </c>
      <c r="G273" s="28">
        <f t="shared" si="7"/>
        <v>946</v>
      </c>
      <c r="H273" s="28">
        <f t="shared" si="1"/>
        <v>79</v>
      </c>
      <c r="I273" s="26">
        <f t="shared" si="2"/>
        <v>5648.28</v>
      </c>
      <c r="J273" s="24">
        <f t="shared" si="3"/>
        <v>484</v>
      </c>
      <c r="K273" s="31">
        <f t="shared" si="4"/>
        <v>97</v>
      </c>
      <c r="L273" s="9">
        <v>0</v>
      </c>
      <c r="M273" s="9">
        <v>0</v>
      </c>
      <c r="N273" s="9">
        <v>0</v>
      </c>
      <c r="O273" s="9">
        <v>88</v>
      </c>
      <c r="P273" s="9">
        <v>88</v>
      </c>
      <c r="Q273" s="9">
        <v>110</v>
      </c>
      <c r="R273" s="9">
        <v>88</v>
      </c>
      <c r="S273" s="9">
        <v>110</v>
      </c>
      <c r="T273" s="9">
        <v>88</v>
      </c>
      <c r="U273" s="9">
        <v>88</v>
      </c>
      <c r="V273" s="9">
        <v>110</v>
      </c>
      <c r="W273" s="9">
        <v>88</v>
      </c>
      <c r="X273" s="9">
        <v>88</v>
      </c>
      <c r="Y273" s="9">
        <v>110</v>
      </c>
      <c r="Z273" s="9">
        <v>88</v>
      </c>
      <c r="AA273" s="9">
        <v>88</v>
      </c>
      <c r="AB273" s="9">
        <v>110</v>
      </c>
      <c r="AC273" s="9">
        <v>88</v>
      </c>
      <c r="AE273" s="6">
        <v>0</v>
      </c>
      <c r="AF273" s="6">
        <v>0</v>
      </c>
      <c r="AG273" s="6">
        <v>0</v>
      </c>
      <c r="AH273" s="6">
        <v>912.56</v>
      </c>
      <c r="AI273" s="6">
        <v>912.56</v>
      </c>
      <c r="AJ273" s="6">
        <v>1140.6999999999998</v>
      </c>
      <c r="AK273" s="6">
        <v>912.56</v>
      </c>
      <c r="AL273" s="6">
        <v>1140.6999999999998</v>
      </c>
      <c r="AM273" s="6">
        <v>912.56</v>
      </c>
      <c r="AN273" s="6">
        <v>912.56</v>
      </c>
      <c r="AO273" s="6">
        <v>1140.6999999999998</v>
      </c>
      <c r="AP273" s="6">
        <v>912.56</v>
      </c>
      <c r="AQ273" s="6">
        <v>912.56</v>
      </c>
      <c r="AR273" s="6">
        <v>1140.6999999999998</v>
      </c>
      <c r="AS273" s="6">
        <v>912.56</v>
      </c>
      <c r="AT273" s="6">
        <v>912.56</v>
      </c>
      <c r="AU273" s="6">
        <v>1140.6999999999998</v>
      </c>
      <c r="AV273" s="6">
        <v>912.56</v>
      </c>
      <c r="AW273" s="93" t="s">
        <v>631</v>
      </c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 t="s">
        <v>631</v>
      </c>
      <c r="BP273" s="76" t="s">
        <v>631</v>
      </c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96" t="s">
        <v>631</v>
      </c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95"/>
      <c r="DX273" s="90">
        <f t="shared" ref="DX273:DX796" si="8">COUNTIF(AW273:DW273,"x")</f>
        <v>4</v>
      </c>
      <c r="DY273" s="21"/>
      <c r="DZ273" s="21"/>
    </row>
    <row r="274" spans="1:130" x14ac:dyDescent="0.3">
      <c r="A274" s="4" t="s">
        <v>126</v>
      </c>
      <c r="B274" s="4" t="s">
        <v>238</v>
      </c>
      <c r="C274" s="91" t="s">
        <v>245</v>
      </c>
      <c r="D274" s="4" t="s">
        <v>246</v>
      </c>
      <c r="E274" s="12">
        <v>3.2</v>
      </c>
      <c r="F274" s="34">
        <f t="shared" si="0"/>
        <v>1651.2</v>
      </c>
      <c r="G274" s="28">
        <f t="shared" si="7"/>
        <v>516</v>
      </c>
      <c r="H274" s="28">
        <f t="shared" si="1"/>
        <v>43</v>
      </c>
      <c r="I274" s="26">
        <f t="shared" si="2"/>
        <v>844.80000000000007</v>
      </c>
      <c r="J274" s="24">
        <f t="shared" si="3"/>
        <v>264</v>
      </c>
      <c r="K274" s="31">
        <f t="shared" si="4"/>
        <v>53</v>
      </c>
      <c r="L274" s="9">
        <v>0</v>
      </c>
      <c r="M274" s="9">
        <v>0</v>
      </c>
      <c r="N274" s="9">
        <v>0</v>
      </c>
      <c r="O274" s="9">
        <v>48</v>
      </c>
      <c r="P274" s="9">
        <v>48</v>
      </c>
      <c r="Q274" s="9">
        <v>60</v>
      </c>
      <c r="R274" s="9">
        <v>48</v>
      </c>
      <c r="S274" s="9">
        <v>60</v>
      </c>
      <c r="T274" s="9">
        <v>48</v>
      </c>
      <c r="U274" s="9">
        <v>48</v>
      </c>
      <c r="V274" s="9">
        <v>60</v>
      </c>
      <c r="W274" s="9">
        <v>48</v>
      </c>
      <c r="X274" s="9">
        <v>48</v>
      </c>
      <c r="Y274" s="9">
        <v>60</v>
      </c>
      <c r="Z274" s="9">
        <v>48</v>
      </c>
      <c r="AA274" s="9">
        <v>48</v>
      </c>
      <c r="AB274" s="9">
        <v>60</v>
      </c>
      <c r="AC274" s="9">
        <v>48</v>
      </c>
      <c r="AE274" s="6">
        <v>0</v>
      </c>
      <c r="AF274" s="6">
        <v>0</v>
      </c>
      <c r="AG274" s="6">
        <v>0</v>
      </c>
      <c r="AH274" s="6">
        <v>153.60000000000002</v>
      </c>
      <c r="AI274" s="6">
        <v>153.60000000000002</v>
      </c>
      <c r="AJ274" s="6">
        <v>192</v>
      </c>
      <c r="AK274" s="6">
        <v>153.60000000000002</v>
      </c>
      <c r="AL274" s="6">
        <v>192</v>
      </c>
      <c r="AM274" s="6">
        <v>153.60000000000002</v>
      </c>
      <c r="AN274" s="6">
        <v>153.60000000000002</v>
      </c>
      <c r="AO274" s="6">
        <v>192</v>
      </c>
      <c r="AP274" s="6">
        <v>153.60000000000002</v>
      </c>
      <c r="AQ274" s="6">
        <v>153.60000000000002</v>
      </c>
      <c r="AR274" s="6">
        <v>192</v>
      </c>
      <c r="AS274" s="6">
        <v>153.60000000000002</v>
      </c>
      <c r="AT274" s="6">
        <v>153.60000000000002</v>
      </c>
      <c r="AU274" s="6">
        <v>192</v>
      </c>
      <c r="AV274" s="6">
        <v>153.60000000000002</v>
      </c>
      <c r="AW274" s="93"/>
      <c r="AX274" s="76"/>
      <c r="AY274" s="76" t="s">
        <v>631</v>
      </c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 t="s">
        <v>631</v>
      </c>
      <c r="BP274" s="76" t="s">
        <v>631</v>
      </c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96" t="s">
        <v>631</v>
      </c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95"/>
      <c r="DX274" s="90">
        <f t="shared" si="8"/>
        <v>4</v>
      </c>
      <c r="DY274" s="21"/>
      <c r="DZ274" s="21"/>
    </row>
    <row r="275" spans="1:130" collapsed="1" x14ac:dyDescent="0.3">
      <c r="A275" s="4" t="s">
        <v>126</v>
      </c>
      <c r="B275" s="4" t="s">
        <v>238</v>
      </c>
      <c r="C275" s="91" t="s">
        <v>247</v>
      </c>
      <c r="D275" s="4" t="s">
        <v>248</v>
      </c>
      <c r="E275" s="12">
        <v>183.26</v>
      </c>
      <c r="F275" s="34">
        <f t="shared" si="0"/>
        <v>70921.62</v>
      </c>
      <c r="G275" s="28">
        <f t="shared" si="7"/>
        <v>387</v>
      </c>
      <c r="H275" s="28">
        <f t="shared" si="1"/>
        <v>33</v>
      </c>
      <c r="I275" s="26">
        <f t="shared" si="2"/>
        <v>36285.479999999996</v>
      </c>
      <c r="J275" s="24">
        <f t="shared" si="3"/>
        <v>198</v>
      </c>
      <c r="K275" s="31">
        <f t="shared" si="4"/>
        <v>40</v>
      </c>
      <c r="L275" s="9">
        <v>0</v>
      </c>
      <c r="M275" s="9">
        <v>0</v>
      </c>
      <c r="N275" s="9">
        <v>0</v>
      </c>
      <c r="O275" s="9">
        <v>36</v>
      </c>
      <c r="P275" s="9">
        <v>36</v>
      </c>
      <c r="Q275" s="9">
        <v>45</v>
      </c>
      <c r="R275" s="9">
        <v>36</v>
      </c>
      <c r="S275" s="9">
        <v>45</v>
      </c>
      <c r="T275" s="9">
        <v>36</v>
      </c>
      <c r="U275" s="9">
        <v>36</v>
      </c>
      <c r="V275" s="9">
        <v>45</v>
      </c>
      <c r="W275" s="9">
        <v>36</v>
      </c>
      <c r="X275" s="9">
        <v>36</v>
      </c>
      <c r="Y275" s="9">
        <v>45</v>
      </c>
      <c r="Z275" s="9">
        <v>36</v>
      </c>
      <c r="AA275" s="9">
        <v>36</v>
      </c>
      <c r="AB275" s="9">
        <v>45</v>
      </c>
      <c r="AC275" s="9">
        <v>36</v>
      </c>
      <c r="AE275" s="6">
        <v>0</v>
      </c>
      <c r="AF275" s="6">
        <v>0</v>
      </c>
      <c r="AG275" s="6">
        <v>0</v>
      </c>
      <c r="AH275" s="6">
        <v>6597.36</v>
      </c>
      <c r="AI275" s="6">
        <v>6597.36</v>
      </c>
      <c r="AJ275" s="6">
        <v>8246.6999999999989</v>
      </c>
      <c r="AK275" s="6">
        <v>6597.36</v>
      </c>
      <c r="AL275" s="6">
        <v>8246.6999999999989</v>
      </c>
      <c r="AM275" s="6">
        <v>6597.36</v>
      </c>
      <c r="AN275" s="6">
        <v>6597.36</v>
      </c>
      <c r="AO275" s="6">
        <v>8246.6999999999989</v>
      </c>
      <c r="AP275" s="6">
        <v>6597.36</v>
      </c>
      <c r="AQ275" s="6">
        <v>6597.36</v>
      </c>
      <c r="AR275" s="6">
        <v>8246.6999999999989</v>
      </c>
      <c r="AS275" s="6">
        <v>6597.36</v>
      </c>
      <c r="AT275" s="6">
        <v>6597.36</v>
      </c>
      <c r="AU275" s="6">
        <v>8246.6999999999989</v>
      </c>
      <c r="AV275" s="6">
        <v>6597.36</v>
      </c>
      <c r="AW275" s="93" t="s">
        <v>631</v>
      </c>
      <c r="AX275" s="76"/>
      <c r="AY275" s="76"/>
      <c r="AZ275" s="76"/>
      <c r="BA275" s="76" t="s">
        <v>631</v>
      </c>
      <c r="BB275" s="76" t="s">
        <v>631</v>
      </c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 t="s">
        <v>631</v>
      </c>
      <c r="BP275" s="76" t="s">
        <v>631</v>
      </c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 t="s">
        <v>631</v>
      </c>
      <c r="DH275" s="76" t="s">
        <v>631</v>
      </c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95"/>
      <c r="DX275" s="90">
        <f t="shared" si="8"/>
        <v>7</v>
      </c>
      <c r="DY275" s="21"/>
      <c r="DZ275" s="21"/>
    </row>
    <row r="276" spans="1:130" hidden="1" outlineLevel="1" x14ac:dyDescent="0.3">
      <c r="A276" s="4"/>
      <c r="B276" s="4"/>
      <c r="C276" s="4" t="s">
        <v>864</v>
      </c>
      <c r="D276" s="4"/>
      <c r="E276" s="12"/>
      <c r="F276" s="34"/>
      <c r="G276" s="28"/>
      <c r="H276" s="28"/>
      <c r="I276" s="26"/>
      <c r="J276" s="24"/>
      <c r="K276" s="31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93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 t="s">
        <v>631</v>
      </c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95"/>
      <c r="DX276" s="90"/>
      <c r="DY276" s="21"/>
      <c r="DZ276" s="21"/>
    </row>
    <row r="277" spans="1:130" hidden="1" outlineLevel="1" x14ac:dyDescent="0.3">
      <c r="A277" s="4"/>
      <c r="B277" s="4"/>
      <c r="C277" s="4" t="s">
        <v>247</v>
      </c>
      <c r="D277" s="4"/>
      <c r="E277" s="12"/>
      <c r="F277" s="34"/>
      <c r="G277" s="28"/>
      <c r="H277" s="28"/>
      <c r="I277" s="26"/>
      <c r="J277" s="24"/>
      <c r="K277" s="31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93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 t="s">
        <v>631</v>
      </c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95"/>
      <c r="DX277" s="90"/>
      <c r="DY277" s="21"/>
      <c r="DZ277" s="21"/>
    </row>
    <row r="278" spans="1:130" hidden="1" outlineLevel="1" x14ac:dyDescent="0.3">
      <c r="A278" s="4"/>
      <c r="B278" s="4"/>
      <c r="C278" s="4" t="s">
        <v>865</v>
      </c>
      <c r="D278" s="4"/>
      <c r="E278" s="12"/>
      <c r="F278" s="34"/>
      <c r="G278" s="28"/>
      <c r="H278" s="28"/>
      <c r="I278" s="26"/>
      <c r="J278" s="24"/>
      <c r="K278" s="31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93" t="s">
        <v>631</v>
      </c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 t="s">
        <v>631</v>
      </c>
      <c r="BQ278" s="76"/>
      <c r="BR278" s="76"/>
      <c r="BS278" s="76"/>
      <c r="BT278" s="76" t="s">
        <v>631</v>
      </c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95"/>
      <c r="DX278" s="90"/>
      <c r="DY278" s="21"/>
      <c r="DZ278" s="21"/>
    </row>
    <row r="279" spans="1:130" hidden="1" outlineLevel="1" x14ac:dyDescent="0.3">
      <c r="A279" s="4"/>
      <c r="B279" s="4"/>
      <c r="C279" s="4" t="s">
        <v>866</v>
      </c>
      <c r="D279" s="4"/>
      <c r="E279" s="12"/>
      <c r="F279" s="34"/>
      <c r="G279" s="28"/>
      <c r="H279" s="28"/>
      <c r="I279" s="26"/>
      <c r="J279" s="24"/>
      <c r="K279" s="31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93"/>
      <c r="AX279" s="76"/>
      <c r="AY279" s="76"/>
      <c r="AZ279" s="76"/>
      <c r="BA279" s="76" t="s">
        <v>631</v>
      </c>
      <c r="BB279" s="76"/>
      <c r="BC279" s="76"/>
      <c r="BD279" s="76"/>
      <c r="BE279" s="76"/>
      <c r="BF279" s="76"/>
      <c r="BG279" s="76" t="s">
        <v>631</v>
      </c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95"/>
      <c r="DX279" s="90"/>
      <c r="DY279" s="21"/>
      <c r="DZ279" s="21"/>
    </row>
    <row r="280" spans="1:130" hidden="1" outlineLevel="1" x14ac:dyDescent="0.3">
      <c r="A280" s="4"/>
      <c r="B280" s="4"/>
      <c r="C280" s="4" t="s">
        <v>867</v>
      </c>
      <c r="D280" s="4"/>
      <c r="E280" s="12"/>
      <c r="F280" s="34"/>
      <c r="G280" s="28"/>
      <c r="H280" s="28"/>
      <c r="I280" s="26"/>
      <c r="J280" s="24"/>
      <c r="K280" s="31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93"/>
      <c r="AX280" s="76"/>
      <c r="AY280" s="76"/>
      <c r="AZ280" s="76"/>
      <c r="BA280" s="76" t="s">
        <v>631</v>
      </c>
      <c r="BB280" s="76" t="s">
        <v>631</v>
      </c>
      <c r="BC280" s="76"/>
      <c r="BD280" s="76"/>
      <c r="BE280" s="76"/>
      <c r="BF280" s="76"/>
      <c r="BG280" s="76" t="s">
        <v>631</v>
      </c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95"/>
      <c r="DX280" s="90"/>
      <c r="DY280" s="21"/>
      <c r="DZ280" s="21"/>
    </row>
    <row r="281" spans="1:130" hidden="1" outlineLevel="1" x14ac:dyDescent="0.3">
      <c r="A281" s="4"/>
      <c r="B281" s="4"/>
      <c r="C281" s="4" t="s">
        <v>868</v>
      </c>
      <c r="D281" s="4"/>
      <c r="E281" s="12"/>
      <c r="F281" s="34"/>
      <c r="G281" s="28"/>
      <c r="H281" s="28"/>
      <c r="I281" s="26"/>
      <c r="J281" s="24"/>
      <c r="K281" s="31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93" t="s">
        <v>631</v>
      </c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 t="s">
        <v>631</v>
      </c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95"/>
      <c r="DX281" s="90"/>
      <c r="DY281" s="21"/>
      <c r="DZ281" s="21"/>
    </row>
    <row r="282" spans="1:130" hidden="1" outlineLevel="1" x14ac:dyDescent="0.3">
      <c r="A282" s="4"/>
      <c r="B282" s="4"/>
      <c r="C282" s="4" t="s">
        <v>869</v>
      </c>
      <c r="D282" s="4"/>
      <c r="E282" s="12"/>
      <c r="F282" s="34"/>
      <c r="G282" s="28"/>
      <c r="H282" s="28"/>
      <c r="I282" s="26"/>
      <c r="J282" s="24"/>
      <c r="K282" s="31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93" t="s">
        <v>631</v>
      </c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 t="s">
        <v>631</v>
      </c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95"/>
      <c r="DX282" s="90"/>
      <c r="DY282" s="21"/>
      <c r="DZ282" s="21"/>
    </row>
    <row r="283" spans="1:130" collapsed="1" x14ac:dyDescent="0.3">
      <c r="A283" s="4" t="s">
        <v>126</v>
      </c>
      <c r="B283" s="4" t="s">
        <v>238</v>
      </c>
      <c r="C283" s="91" t="s">
        <v>250</v>
      </c>
      <c r="D283" s="4" t="s">
        <v>251</v>
      </c>
      <c r="E283" s="12">
        <v>10.98</v>
      </c>
      <c r="F283" s="34">
        <f t="shared" si="0"/>
        <v>10859.220000000001</v>
      </c>
      <c r="G283" s="28">
        <f t="shared" si="7"/>
        <v>989</v>
      </c>
      <c r="H283" s="28">
        <f t="shared" si="1"/>
        <v>83</v>
      </c>
      <c r="I283" s="26">
        <f t="shared" si="2"/>
        <v>5555.88</v>
      </c>
      <c r="J283" s="24">
        <f t="shared" si="3"/>
        <v>506</v>
      </c>
      <c r="K283" s="31">
        <f t="shared" si="4"/>
        <v>102</v>
      </c>
      <c r="L283" s="9">
        <v>0</v>
      </c>
      <c r="M283" s="9">
        <v>0</v>
      </c>
      <c r="N283" s="9">
        <v>0</v>
      </c>
      <c r="O283" s="9">
        <v>92</v>
      </c>
      <c r="P283" s="9">
        <v>92</v>
      </c>
      <c r="Q283" s="9">
        <v>115</v>
      </c>
      <c r="R283" s="9">
        <v>92</v>
      </c>
      <c r="S283" s="9">
        <v>115</v>
      </c>
      <c r="T283" s="9">
        <v>92</v>
      </c>
      <c r="U283" s="9">
        <v>92</v>
      </c>
      <c r="V283" s="9">
        <v>115</v>
      </c>
      <c r="W283" s="9">
        <v>92</v>
      </c>
      <c r="X283" s="9">
        <v>92</v>
      </c>
      <c r="Y283" s="9">
        <v>115</v>
      </c>
      <c r="Z283" s="9">
        <v>92</v>
      </c>
      <c r="AA283" s="9">
        <v>92</v>
      </c>
      <c r="AB283" s="9">
        <v>115</v>
      </c>
      <c r="AC283" s="9">
        <v>92</v>
      </c>
      <c r="AE283" s="6">
        <v>0</v>
      </c>
      <c r="AF283" s="6">
        <v>0</v>
      </c>
      <c r="AG283" s="6">
        <v>0</v>
      </c>
      <c r="AH283" s="6">
        <v>980.72</v>
      </c>
      <c r="AI283" s="6">
        <v>980.72</v>
      </c>
      <c r="AJ283" s="6">
        <v>1225.9000000000001</v>
      </c>
      <c r="AK283" s="6">
        <v>980.72</v>
      </c>
      <c r="AL283" s="6">
        <v>1225.9000000000001</v>
      </c>
      <c r="AM283" s="6">
        <v>980.72</v>
      </c>
      <c r="AN283" s="6">
        <v>980.72</v>
      </c>
      <c r="AO283" s="6">
        <v>1225.9000000000001</v>
      </c>
      <c r="AP283" s="6">
        <v>980.72</v>
      </c>
      <c r="AQ283" s="6">
        <v>980.72</v>
      </c>
      <c r="AR283" s="6">
        <v>1225.9000000000001</v>
      </c>
      <c r="AS283" s="6">
        <v>980.72</v>
      </c>
      <c r="AT283" s="6">
        <v>980.72</v>
      </c>
      <c r="AU283" s="6">
        <v>1225.9000000000001</v>
      </c>
      <c r="AV283" s="6">
        <v>980.72</v>
      </c>
      <c r="AW283" s="93"/>
      <c r="AX283" s="76"/>
      <c r="AY283" s="76"/>
      <c r="AZ283" s="76"/>
      <c r="BA283" s="76" t="s">
        <v>631</v>
      </c>
      <c r="BB283" s="76" t="s">
        <v>631</v>
      </c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 t="s">
        <v>631</v>
      </c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 t="s">
        <v>631</v>
      </c>
      <c r="DH283" s="96" t="s">
        <v>631</v>
      </c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95"/>
      <c r="DX283" s="90">
        <f t="shared" si="8"/>
        <v>5</v>
      </c>
      <c r="DY283" s="21"/>
      <c r="DZ283" s="21"/>
    </row>
    <row r="284" spans="1:130" x14ac:dyDescent="0.3">
      <c r="A284" s="4" t="s">
        <v>126</v>
      </c>
      <c r="B284" s="4" t="s">
        <v>238</v>
      </c>
      <c r="C284" s="91" t="s">
        <v>254</v>
      </c>
      <c r="D284" s="4" t="s">
        <v>255</v>
      </c>
      <c r="E284" s="12">
        <v>5.34</v>
      </c>
      <c r="F284" s="34">
        <f t="shared" si="0"/>
        <v>26406.3</v>
      </c>
      <c r="G284" s="28">
        <f t="shared" si="7"/>
        <v>4945</v>
      </c>
      <c r="H284" s="28">
        <f t="shared" si="1"/>
        <v>413</v>
      </c>
      <c r="I284" s="26">
        <f t="shared" si="2"/>
        <v>13510.199999999999</v>
      </c>
      <c r="J284" s="24">
        <f t="shared" si="3"/>
        <v>2530</v>
      </c>
      <c r="K284" s="31">
        <f t="shared" si="4"/>
        <v>506</v>
      </c>
      <c r="L284" s="9">
        <v>0</v>
      </c>
      <c r="M284" s="9">
        <v>0</v>
      </c>
      <c r="N284" s="9">
        <v>0</v>
      </c>
      <c r="O284" s="9">
        <v>460</v>
      </c>
      <c r="P284" s="9">
        <v>460</v>
      </c>
      <c r="Q284" s="9">
        <v>575</v>
      </c>
      <c r="R284" s="9">
        <v>460</v>
      </c>
      <c r="S284" s="9">
        <v>575</v>
      </c>
      <c r="T284" s="9">
        <v>460</v>
      </c>
      <c r="U284" s="9">
        <v>460</v>
      </c>
      <c r="V284" s="9">
        <v>575</v>
      </c>
      <c r="W284" s="9">
        <v>460</v>
      </c>
      <c r="X284" s="9">
        <v>460</v>
      </c>
      <c r="Y284" s="9">
        <v>575</v>
      </c>
      <c r="Z284" s="9">
        <v>460</v>
      </c>
      <c r="AA284" s="9">
        <v>460</v>
      </c>
      <c r="AB284" s="9">
        <v>575</v>
      </c>
      <c r="AC284" s="9">
        <v>460</v>
      </c>
      <c r="AE284" s="6">
        <v>0</v>
      </c>
      <c r="AF284" s="6">
        <v>0</v>
      </c>
      <c r="AG284" s="6">
        <v>0</v>
      </c>
      <c r="AH284" s="6">
        <v>2456.4</v>
      </c>
      <c r="AI284" s="6">
        <v>2456.4</v>
      </c>
      <c r="AJ284" s="6">
        <v>3070.5</v>
      </c>
      <c r="AK284" s="6">
        <v>2456.4</v>
      </c>
      <c r="AL284" s="6">
        <v>3070.5</v>
      </c>
      <c r="AM284" s="6">
        <v>2456.4</v>
      </c>
      <c r="AN284" s="6">
        <v>2456.4</v>
      </c>
      <c r="AO284" s="6">
        <v>3070.5</v>
      </c>
      <c r="AP284" s="6">
        <v>2456.4</v>
      </c>
      <c r="AQ284" s="6">
        <v>2456.4</v>
      </c>
      <c r="AR284" s="6">
        <v>3070.5</v>
      </c>
      <c r="AS284" s="6">
        <v>2456.4</v>
      </c>
      <c r="AT284" s="6">
        <v>2456.4</v>
      </c>
      <c r="AU284" s="6">
        <v>3070.5</v>
      </c>
      <c r="AV284" s="6">
        <v>2456.4</v>
      </c>
      <c r="AW284" s="93"/>
      <c r="AX284" s="76"/>
      <c r="AY284" s="76"/>
      <c r="AZ284" s="76"/>
      <c r="BA284" s="76"/>
      <c r="BB284" s="76" t="s">
        <v>631</v>
      </c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 t="s">
        <v>631</v>
      </c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 t="s">
        <v>631</v>
      </c>
      <c r="DH284" s="96" t="s">
        <v>631</v>
      </c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95"/>
      <c r="DX284" s="90">
        <f t="shared" si="8"/>
        <v>4</v>
      </c>
      <c r="DY284" s="21"/>
      <c r="DZ284" s="21"/>
    </row>
    <row r="285" spans="1:130" collapsed="1" x14ac:dyDescent="0.3">
      <c r="A285" s="4" t="s">
        <v>126</v>
      </c>
      <c r="B285" s="4" t="s">
        <v>238</v>
      </c>
      <c r="C285" s="91" t="s">
        <v>260</v>
      </c>
      <c r="D285" s="4" t="s">
        <v>261</v>
      </c>
      <c r="E285" s="12">
        <v>31.58</v>
      </c>
      <c r="F285" s="34">
        <f t="shared" si="0"/>
        <v>184900.9</v>
      </c>
      <c r="G285" s="28">
        <f t="shared" si="7"/>
        <v>5855</v>
      </c>
      <c r="H285" s="28">
        <f t="shared" si="1"/>
        <v>488</v>
      </c>
      <c r="I285" s="26">
        <f t="shared" si="2"/>
        <v>63917.919999999998</v>
      </c>
      <c r="J285" s="24">
        <f t="shared" si="3"/>
        <v>2024</v>
      </c>
      <c r="K285" s="31">
        <f t="shared" si="4"/>
        <v>405</v>
      </c>
      <c r="L285" s="9">
        <v>339</v>
      </c>
      <c r="M285" s="9">
        <v>600</v>
      </c>
      <c r="N285" s="9">
        <v>600</v>
      </c>
      <c r="O285" s="9">
        <v>600</v>
      </c>
      <c r="P285" s="9">
        <v>600</v>
      </c>
      <c r="Q285" s="9">
        <v>695</v>
      </c>
      <c r="R285" s="9">
        <v>368</v>
      </c>
      <c r="S285" s="9">
        <v>460</v>
      </c>
      <c r="T285" s="9">
        <v>368</v>
      </c>
      <c r="U285" s="9">
        <v>368</v>
      </c>
      <c r="V285" s="9">
        <v>460</v>
      </c>
      <c r="W285" s="9">
        <v>368</v>
      </c>
      <c r="X285" s="9">
        <v>368</v>
      </c>
      <c r="Y285" s="9">
        <v>460</v>
      </c>
      <c r="Z285" s="9">
        <v>368</v>
      </c>
      <c r="AA285" s="9">
        <v>368</v>
      </c>
      <c r="AB285" s="9">
        <v>460</v>
      </c>
      <c r="AC285" s="9">
        <v>368</v>
      </c>
      <c r="AE285" s="6">
        <v>9488.61</v>
      </c>
      <c r="AF285" s="6">
        <v>16794</v>
      </c>
      <c r="AG285" s="6">
        <v>16794</v>
      </c>
      <c r="AH285" s="6">
        <v>18828</v>
      </c>
      <c r="AI285" s="6">
        <v>18828</v>
      </c>
      <c r="AJ285" s="6">
        <v>21809.1</v>
      </c>
      <c r="AK285" s="6">
        <v>11547.84</v>
      </c>
      <c r="AL285" s="6">
        <v>14434.8</v>
      </c>
      <c r="AM285" s="6">
        <v>10734.560000000001</v>
      </c>
      <c r="AN285" s="6">
        <v>10734.560000000001</v>
      </c>
      <c r="AO285" s="6">
        <v>13418.2</v>
      </c>
      <c r="AP285" s="6">
        <v>10734.560000000001</v>
      </c>
      <c r="AQ285" s="6">
        <v>10734.560000000001</v>
      </c>
      <c r="AR285" s="6">
        <v>13418.2</v>
      </c>
      <c r="AS285" s="6">
        <v>10734.560000000001</v>
      </c>
      <c r="AT285" s="6">
        <v>10734.560000000001</v>
      </c>
      <c r="AU285" s="6">
        <v>13418.2</v>
      </c>
      <c r="AV285" s="6">
        <v>10734.560000000001</v>
      </c>
      <c r="AW285" s="93"/>
      <c r="AX285" s="76"/>
      <c r="AY285" s="76"/>
      <c r="AZ285" s="76"/>
      <c r="BA285" s="76" t="s">
        <v>631</v>
      </c>
      <c r="BB285" s="76" t="s">
        <v>631</v>
      </c>
      <c r="BC285" s="76"/>
      <c r="BD285" s="76"/>
      <c r="BE285" s="76"/>
      <c r="BF285" s="76"/>
      <c r="BG285" s="76"/>
      <c r="BH285" s="76"/>
      <c r="BI285" s="76"/>
      <c r="BJ285" s="76" t="s">
        <v>631</v>
      </c>
      <c r="BK285" s="76"/>
      <c r="BL285" s="76"/>
      <c r="BM285" s="76"/>
      <c r="BN285" s="76"/>
      <c r="BO285" s="76"/>
      <c r="BP285" s="76" t="s">
        <v>631</v>
      </c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 t="s">
        <v>631</v>
      </c>
      <c r="CI285" s="94" t="s">
        <v>631</v>
      </c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 t="s">
        <v>631</v>
      </c>
      <c r="DH285" s="96" t="s">
        <v>631</v>
      </c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95"/>
      <c r="DX285" s="90">
        <f t="shared" si="8"/>
        <v>8</v>
      </c>
      <c r="DY285" s="21"/>
      <c r="DZ285" s="21"/>
    </row>
    <row r="286" spans="1:130" hidden="1" outlineLevel="1" x14ac:dyDescent="0.3">
      <c r="A286" s="4"/>
      <c r="B286" s="4"/>
      <c r="C286" s="4" t="s">
        <v>870</v>
      </c>
      <c r="D286" s="4"/>
      <c r="E286" s="12"/>
      <c r="F286" s="34"/>
      <c r="G286" s="28"/>
      <c r="H286" s="28"/>
      <c r="I286" s="26"/>
      <c r="J286" s="24"/>
      <c r="K286" s="31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93"/>
      <c r="AX286" s="76"/>
      <c r="AY286" s="76"/>
      <c r="AZ286" s="76"/>
      <c r="BA286" s="76" t="s">
        <v>631</v>
      </c>
      <c r="BB286" s="76" t="s">
        <v>631</v>
      </c>
      <c r="BC286" s="76"/>
      <c r="BD286" s="76"/>
      <c r="BE286" s="76" t="s">
        <v>631</v>
      </c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 t="s">
        <v>631</v>
      </c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 t="s">
        <v>631</v>
      </c>
      <c r="CI286" s="94" t="s">
        <v>631</v>
      </c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 t="s">
        <v>631</v>
      </c>
      <c r="DH286" s="9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95"/>
      <c r="DX286" s="90"/>
      <c r="DY286" s="21"/>
      <c r="DZ286" s="21"/>
    </row>
    <row r="287" spans="1:130" collapsed="1" x14ac:dyDescent="0.3">
      <c r="A287" s="4" t="s">
        <v>126</v>
      </c>
      <c r="B287" s="4" t="s">
        <v>264</v>
      </c>
      <c r="C287" s="91" t="s">
        <v>265</v>
      </c>
      <c r="D287" s="4" t="s">
        <v>266</v>
      </c>
      <c r="E287" s="12">
        <v>13.2</v>
      </c>
      <c r="F287" s="34">
        <f t="shared" si="0"/>
        <v>115830</v>
      </c>
      <c r="G287" s="28">
        <f t="shared" si="7"/>
        <v>8775</v>
      </c>
      <c r="H287" s="28">
        <f t="shared" si="1"/>
        <v>732</v>
      </c>
      <c r="I287" s="26">
        <f t="shared" si="2"/>
        <v>65340</v>
      </c>
      <c r="J287" s="24">
        <f t="shared" si="3"/>
        <v>4950</v>
      </c>
      <c r="K287" s="31">
        <f t="shared" si="4"/>
        <v>990</v>
      </c>
      <c r="L287" s="9">
        <v>500</v>
      </c>
      <c r="M287" s="9">
        <v>0</v>
      </c>
      <c r="N287" s="9">
        <v>0</v>
      </c>
      <c r="O287" s="9">
        <v>0</v>
      </c>
      <c r="P287" s="9">
        <v>900</v>
      </c>
      <c r="Q287" s="9">
        <v>1125</v>
      </c>
      <c r="R287" s="9">
        <v>900</v>
      </c>
      <c r="S287" s="9">
        <v>1125</v>
      </c>
      <c r="T287" s="9">
        <v>900</v>
      </c>
      <c r="U287" s="9">
        <v>900</v>
      </c>
      <c r="V287" s="9">
        <v>1125</v>
      </c>
      <c r="W287" s="9">
        <v>900</v>
      </c>
      <c r="X287" s="9">
        <v>900</v>
      </c>
      <c r="Y287" s="9">
        <v>1125</v>
      </c>
      <c r="Z287" s="9">
        <v>900</v>
      </c>
      <c r="AA287" s="9">
        <v>900</v>
      </c>
      <c r="AB287" s="9">
        <v>1125</v>
      </c>
      <c r="AC287" s="9">
        <v>900</v>
      </c>
      <c r="AE287" s="6">
        <v>6600</v>
      </c>
      <c r="AF287" s="6">
        <v>0</v>
      </c>
      <c r="AG287" s="6">
        <v>0</v>
      </c>
      <c r="AH287" s="6">
        <v>0</v>
      </c>
      <c r="AI287" s="6">
        <v>11880</v>
      </c>
      <c r="AJ287" s="6">
        <v>14850</v>
      </c>
      <c r="AK287" s="6">
        <v>11880</v>
      </c>
      <c r="AL287" s="6">
        <v>14850</v>
      </c>
      <c r="AM287" s="6">
        <v>11880</v>
      </c>
      <c r="AN287" s="6">
        <v>11880</v>
      </c>
      <c r="AO287" s="6">
        <v>14850</v>
      </c>
      <c r="AP287" s="6">
        <v>11880</v>
      </c>
      <c r="AQ287" s="6">
        <v>11880</v>
      </c>
      <c r="AR287" s="6">
        <v>14850</v>
      </c>
      <c r="AS287" s="6">
        <v>11880</v>
      </c>
      <c r="AT287" s="6">
        <v>11880</v>
      </c>
      <c r="AU287" s="6">
        <v>14850</v>
      </c>
      <c r="AV287" s="6">
        <v>11880</v>
      </c>
      <c r="AW287" s="93" t="s">
        <v>631</v>
      </c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 t="s">
        <v>631</v>
      </c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 t="s">
        <v>631</v>
      </c>
      <c r="DH287" s="96" t="s">
        <v>631</v>
      </c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95"/>
      <c r="DX287" s="90">
        <f t="shared" si="8"/>
        <v>4</v>
      </c>
      <c r="DY287" s="21"/>
      <c r="DZ287" s="21"/>
    </row>
    <row r="288" spans="1:130" hidden="1" outlineLevel="1" x14ac:dyDescent="0.3">
      <c r="A288" s="4"/>
      <c r="B288" s="4"/>
      <c r="C288" s="4" t="s">
        <v>871</v>
      </c>
      <c r="D288" s="4"/>
      <c r="E288" s="12"/>
      <c r="F288" s="34"/>
      <c r="G288" s="28"/>
      <c r="H288" s="28"/>
      <c r="I288" s="26"/>
      <c r="J288" s="24"/>
      <c r="K288" s="31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93" t="s">
        <v>631</v>
      </c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 t="s">
        <v>631</v>
      </c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9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95"/>
      <c r="DX288" s="90"/>
      <c r="DY288" s="21"/>
      <c r="DZ288" s="21"/>
    </row>
    <row r="289" spans="1:130" hidden="1" outlineLevel="1" x14ac:dyDescent="0.3">
      <c r="A289" s="4"/>
      <c r="B289" s="4"/>
      <c r="C289" s="4" t="s">
        <v>872</v>
      </c>
      <c r="D289" s="4"/>
      <c r="E289" s="12"/>
      <c r="F289" s="34"/>
      <c r="G289" s="28"/>
      <c r="H289" s="28"/>
      <c r="I289" s="26"/>
      <c r="J289" s="24"/>
      <c r="K289" s="31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93" t="s">
        <v>631</v>
      </c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 t="s">
        <v>631</v>
      </c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9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95"/>
      <c r="DX289" s="90"/>
      <c r="DY289" s="21"/>
      <c r="DZ289" s="21"/>
    </row>
    <row r="290" spans="1:130" hidden="1" outlineLevel="1" x14ac:dyDescent="0.3">
      <c r="A290" s="4"/>
      <c r="B290" s="4"/>
      <c r="C290" s="4" t="s">
        <v>873</v>
      </c>
      <c r="D290" s="4"/>
      <c r="E290" s="12"/>
      <c r="F290" s="34"/>
      <c r="G290" s="28"/>
      <c r="H290" s="28"/>
      <c r="I290" s="26"/>
      <c r="J290" s="24"/>
      <c r="K290" s="31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93" t="s">
        <v>631</v>
      </c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 t="s">
        <v>631</v>
      </c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9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95"/>
      <c r="DX290" s="90"/>
      <c r="DY290" s="21"/>
      <c r="DZ290" s="21"/>
    </row>
    <row r="291" spans="1:130" hidden="1" outlineLevel="1" x14ac:dyDescent="0.3">
      <c r="A291" s="4"/>
      <c r="B291" s="4"/>
      <c r="C291" s="4" t="s">
        <v>874</v>
      </c>
      <c r="D291" s="4"/>
      <c r="E291" s="12"/>
      <c r="F291" s="34"/>
      <c r="G291" s="28"/>
      <c r="H291" s="28"/>
      <c r="I291" s="26"/>
      <c r="J291" s="24"/>
      <c r="K291" s="31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93" t="s">
        <v>631</v>
      </c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 t="s">
        <v>631</v>
      </c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9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95"/>
      <c r="DX291" s="90"/>
      <c r="DY291" s="21"/>
      <c r="DZ291" s="21"/>
    </row>
    <row r="292" spans="1:130" hidden="1" outlineLevel="1" x14ac:dyDescent="0.3">
      <c r="A292" s="4"/>
      <c r="B292" s="4"/>
      <c r="C292" s="4" t="s">
        <v>875</v>
      </c>
      <c r="D292" s="4"/>
      <c r="E292" s="12"/>
      <c r="F292" s="34"/>
      <c r="G292" s="28"/>
      <c r="H292" s="28"/>
      <c r="I292" s="26"/>
      <c r="J292" s="24"/>
      <c r="K292" s="31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93" t="s">
        <v>631</v>
      </c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 t="s">
        <v>631</v>
      </c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9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95"/>
      <c r="DX292" s="90"/>
      <c r="DY292" s="21"/>
      <c r="DZ292" s="21"/>
    </row>
    <row r="293" spans="1:130" hidden="1" outlineLevel="1" x14ac:dyDescent="0.3">
      <c r="A293" s="4"/>
      <c r="B293" s="4"/>
      <c r="C293" s="4" t="s">
        <v>876</v>
      </c>
      <c r="D293" s="4"/>
      <c r="E293" s="12"/>
      <c r="F293" s="34"/>
      <c r="G293" s="28"/>
      <c r="H293" s="28"/>
      <c r="I293" s="26"/>
      <c r="J293" s="24"/>
      <c r="K293" s="31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93" t="s">
        <v>631</v>
      </c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 t="s">
        <v>631</v>
      </c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9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95"/>
      <c r="DX293" s="90"/>
      <c r="DY293" s="21"/>
      <c r="DZ293" s="21"/>
    </row>
    <row r="294" spans="1:130" collapsed="1" x14ac:dyDescent="0.3">
      <c r="A294" s="4" t="s">
        <v>126</v>
      </c>
      <c r="B294" s="4" t="s">
        <v>264</v>
      </c>
      <c r="C294" s="91" t="s">
        <v>267</v>
      </c>
      <c r="D294" s="4" t="s">
        <v>268</v>
      </c>
      <c r="E294" s="12">
        <v>193.82</v>
      </c>
      <c r="F294" s="34">
        <f t="shared" si="0"/>
        <v>2156635.14</v>
      </c>
      <c r="G294" s="28">
        <f t="shared" si="7"/>
        <v>11127</v>
      </c>
      <c r="H294" s="28">
        <f t="shared" si="1"/>
        <v>928</v>
      </c>
      <c r="I294" s="26">
        <f t="shared" si="2"/>
        <v>919482.08</v>
      </c>
      <c r="J294" s="24">
        <f t="shared" si="3"/>
        <v>4744</v>
      </c>
      <c r="K294" s="31">
        <f t="shared" si="4"/>
        <v>949</v>
      </c>
      <c r="L294" s="9">
        <v>249</v>
      </c>
      <c r="M294" s="9">
        <v>1000</v>
      </c>
      <c r="N294" s="9">
        <v>900</v>
      </c>
      <c r="O294" s="9">
        <v>400</v>
      </c>
      <c r="P294" s="9">
        <v>800</v>
      </c>
      <c r="Q294" s="9">
        <v>1000</v>
      </c>
      <c r="R294" s="9">
        <v>1000</v>
      </c>
      <c r="S294" s="9">
        <v>1155</v>
      </c>
      <c r="T294" s="9">
        <v>1000</v>
      </c>
      <c r="U294" s="9">
        <v>1000</v>
      </c>
      <c r="V294" s="9">
        <v>1040</v>
      </c>
      <c r="W294" s="9">
        <v>832</v>
      </c>
      <c r="X294" s="9">
        <v>1000</v>
      </c>
      <c r="Y294" s="9">
        <v>1040</v>
      </c>
      <c r="Z294" s="9">
        <v>832</v>
      </c>
      <c r="AA294" s="9">
        <v>1000</v>
      </c>
      <c r="AB294" s="9">
        <v>1040</v>
      </c>
      <c r="AC294" s="9">
        <v>832</v>
      </c>
      <c r="AE294" s="6">
        <v>48261.18</v>
      </c>
      <c r="AF294" s="6">
        <v>193820</v>
      </c>
      <c r="AG294" s="6">
        <v>174438</v>
      </c>
      <c r="AH294" s="6">
        <v>77528</v>
      </c>
      <c r="AI294" s="6">
        <v>155056</v>
      </c>
      <c r="AJ294" s="6">
        <v>193000</v>
      </c>
      <c r="AK294" s="6">
        <v>193820</v>
      </c>
      <c r="AL294" s="6">
        <v>223862.1</v>
      </c>
      <c r="AM294" s="6">
        <v>193820</v>
      </c>
      <c r="AN294" s="6">
        <v>193820</v>
      </c>
      <c r="AO294" s="6">
        <v>201572.8</v>
      </c>
      <c r="AP294" s="6">
        <v>161258.23999999999</v>
      </c>
      <c r="AQ294" s="6">
        <v>193820</v>
      </c>
      <c r="AR294" s="6">
        <v>201572.8</v>
      </c>
      <c r="AS294" s="6">
        <v>161258.23999999999</v>
      </c>
      <c r="AT294" s="6">
        <v>193820</v>
      </c>
      <c r="AU294" s="6">
        <v>201572.8</v>
      </c>
      <c r="AV294" s="6">
        <v>161258.23999999999</v>
      </c>
      <c r="AW294" s="93"/>
      <c r="AX294" s="76" t="s">
        <v>631</v>
      </c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 t="s">
        <v>631</v>
      </c>
      <c r="BP294" s="76" t="s">
        <v>631</v>
      </c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 t="s">
        <v>631</v>
      </c>
      <c r="DH294" s="96" t="s">
        <v>631</v>
      </c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95"/>
      <c r="DX294" s="90">
        <f t="shared" si="8"/>
        <v>5</v>
      </c>
      <c r="DY294" s="21"/>
      <c r="DZ294" s="21"/>
    </row>
    <row r="295" spans="1:130" hidden="1" outlineLevel="1" x14ac:dyDescent="0.3">
      <c r="A295" s="4"/>
      <c r="B295" s="4"/>
      <c r="C295" s="4" t="s">
        <v>877</v>
      </c>
      <c r="D295" s="4"/>
      <c r="E295" s="12"/>
      <c r="F295" s="34"/>
      <c r="G295" s="28"/>
      <c r="H295" s="28"/>
      <c r="I295" s="26"/>
      <c r="J295" s="24"/>
      <c r="K295" s="31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93"/>
      <c r="AX295" s="76"/>
      <c r="AY295" s="76"/>
      <c r="AZ295" s="76"/>
      <c r="BA295" s="76" t="s">
        <v>631</v>
      </c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 t="s">
        <v>631</v>
      </c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9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95"/>
      <c r="DX295" s="90"/>
      <c r="DY295" s="21"/>
      <c r="DZ295" s="21"/>
    </row>
    <row r="296" spans="1:130" hidden="1" outlineLevel="1" x14ac:dyDescent="0.3">
      <c r="A296" s="4"/>
      <c r="B296" s="4"/>
      <c r="C296" s="4" t="s">
        <v>878</v>
      </c>
      <c r="D296" s="4"/>
      <c r="E296" s="12"/>
      <c r="F296" s="34"/>
      <c r="G296" s="28"/>
      <c r="H296" s="28"/>
      <c r="I296" s="26"/>
      <c r="J296" s="24"/>
      <c r="K296" s="31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93"/>
      <c r="AX296" s="76"/>
      <c r="AY296" s="76"/>
      <c r="AZ296" s="76"/>
      <c r="BA296" s="76" t="s">
        <v>631</v>
      </c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 t="s">
        <v>631</v>
      </c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9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95"/>
      <c r="DX296" s="90"/>
      <c r="DY296" s="21"/>
      <c r="DZ296" s="21"/>
    </row>
    <row r="297" spans="1:130" hidden="1" outlineLevel="1" x14ac:dyDescent="0.3">
      <c r="A297" s="4"/>
      <c r="B297" s="4"/>
      <c r="C297" s="4" t="s">
        <v>879</v>
      </c>
      <c r="D297" s="4"/>
      <c r="E297" s="12"/>
      <c r="F297" s="34"/>
      <c r="G297" s="28"/>
      <c r="H297" s="28"/>
      <c r="I297" s="26"/>
      <c r="J297" s="24"/>
      <c r="K297" s="31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93"/>
      <c r="AX297" s="76"/>
      <c r="AY297" s="76"/>
      <c r="AZ297" s="76"/>
      <c r="BA297" s="76" t="s">
        <v>631</v>
      </c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 t="s">
        <v>631</v>
      </c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9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95"/>
      <c r="DX297" s="90"/>
      <c r="DY297" s="21"/>
      <c r="DZ297" s="21"/>
    </row>
    <row r="298" spans="1:130" hidden="1" outlineLevel="1" x14ac:dyDescent="0.3">
      <c r="A298" s="4"/>
      <c r="B298" s="4"/>
      <c r="C298" s="4" t="s">
        <v>880</v>
      </c>
      <c r="D298" s="4"/>
      <c r="E298" s="12"/>
      <c r="F298" s="34"/>
      <c r="G298" s="28"/>
      <c r="H298" s="28"/>
      <c r="I298" s="26"/>
      <c r="J298" s="24"/>
      <c r="K298" s="31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93"/>
      <c r="AX298" s="76" t="s">
        <v>631</v>
      </c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 t="s">
        <v>631</v>
      </c>
      <c r="BQ298" s="76"/>
      <c r="BR298" s="76"/>
      <c r="BS298" s="76"/>
      <c r="BT298" s="76"/>
      <c r="BU298" s="76"/>
      <c r="BV298" s="76"/>
      <c r="BW298" s="76"/>
      <c r="BX298" s="76"/>
      <c r="BY298" s="76"/>
      <c r="BZ298" s="76" t="s">
        <v>631</v>
      </c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9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95"/>
      <c r="DX298" s="90"/>
      <c r="DY298" s="21"/>
      <c r="DZ298" s="21"/>
    </row>
    <row r="299" spans="1:130" hidden="1" outlineLevel="1" x14ac:dyDescent="0.3">
      <c r="A299" s="4"/>
      <c r="B299" s="4"/>
      <c r="C299" s="4" t="s">
        <v>267</v>
      </c>
      <c r="D299" s="4"/>
      <c r="E299" s="12"/>
      <c r="F299" s="34"/>
      <c r="G299" s="28"/>
      <c r="H299" s="28"/>
      <c r="I299" s="26"/>
      <c r="J299" s="24"/>
      <c r="K299" s="31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93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 t="s">
        <v>631</v>
      </c>
      <c r="DD299" s="76"/>
      <c r="DE299" s="76"/>
      <c r="DF299" s="76"/>
      <c r="DG299" s="76"/>
      <c r="DH299" s="9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95"/>
      <c r="DX299" s="90"/>
      <c r="DY299" s="21"/>
      <c r="DZ299" s="21"/>
    </row>
    <row r="300" spans="1:130" hidden="1" outlineLevel="1" x14ac:dyDescent="0.3">
      <c r="A300" s="4"/>
      <c r="B300" s="4"/>
      <c r="C300" s="4" t="s">
        <v>881</v>
      </c>
      <c r="D300" s="4"/>
      <c r="E300" s="12"/>
      <c r="F300" s="34"/>
      <c r="G300" s="28"/>
      <c r="H300" s="28"/>
      <c r="I300" s="26"/>
      <c r="J300" s="24"/>
      <c r="K300" s="31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93"/>
      <c r="AX300" s="76"/>
      <c r="AY300" s="76" t="s">
        <v>631</v>
      </c>
      <c r="AZ300" s="76"/>
      <c r="BA300" s="76"/>
      <c r="BB300" s="76"/>
      <c r="BC300" s="76"/>
      <c r="BD300" s="76"/>
      <c r="BE300" s="76"/>
      <c r="BF300" s="76"/>
      <c r="BG300" s="76"/>
      <c r="BH300" s="76"/>
      <c r="BI300" s="76" t="s">
        <v>631</v>
      </c>
      <c r="BJ300" s="76" t="s">
        <v>631</v>
      </c>
      <c r="BK300" s="76" t="s">
        <v>631</v>
      </c>
      <c r="BL300" s="76"/>
      <c r="BM300" s="76"/>
      <c r="BN300" s="76"/>
      <c r="BO300" s="76"/>
      <c r="BP300" s="76" t="s">
        <v>631</v>
      </c>
      <c r="BQ300" s="76"/>
      <c r="BR300" s="76"/>
      <c r="BS300" s="76"/>
      <c r="BT300" s="76"/>
      <c r="BU300" s="76"/>
      <c r="BV300" s="76"/>
      <c r="BW300" s="76"/>
      <c r="BX300" s="76"/>
      <c r="BY300" s="76"/>
      <c r="BZ300" s="76" t="s">
        <v>631</v>
      </c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9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95"/>
      <c r="DX300" s="90"/>
      <c r="DY300" s="21"/>
      <c r="DZ300" s="21"/>
    </row>
    <row r="301" spans="1:130" hidden="1" outlineLevel="1" x14ac:dyDescent="0.3">
      <c r="A301" s="4"/>
      <c r="B301" s="4"/>
      <c r="C301" s="4" t="s">
        <v>882</v>
      </c>
      <c r="D301" s="4"/>
      <c r="E301" s="12"/>
      <c r="F301" s="34"/>
      <c r="G301" s="28"/>
      <c r="H301" s="28"/>
      <c r="I301" s="26"/>
      <c r="J301" s="24"/>
      <c r="K301" s="31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93" t="s">
        <v>631</v>
      </c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 t="s">
        <v>631</v>
      </c>
      <c r="BQ301" s="76"/>
      <c r="BR301" s="76"/>
      <c r="BS301" s="76"/>
      <c r="BT301" s="76"/>
      <c r="BU301" s="76"/>
      <c r="BV301" s="76"/>
      <c r="BW301" s="76"/>
      <c r="BX301" s="76"/>
      <c r="BY301" s="76"/>
      <c r="BZ301" s="76" t="s">
        <v>631</v>
      </c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9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95"/>
      <c r="DX301" s="90"/>
      <c r="DY301" s="21"/>
      <c r="DZ301" s="21"/>
    </row>
    <row r="302" spans="1:130" hidden="1" outlineLevel="1" x14ac:dyDescent="0.3">
      <c r="A302" s="4"/>
      <c r="B302" s="4"/>
      <c r="C302" s="4" t="s">
        <v>883</v>
      </c>
      <c r="D302" s="4"/>
      <c r="E302" s="12"/>
      <c r="F302" s="34"/>
      <c r="G302" s="28"/>
      <c r="H302" s="28"/>
      <c r="I302" s="26"/>
      <c r="J302" s="24"/>
      <c r="K302" s="31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93"/>
      <c r="AX302" s="76" t="s">
        <v>631</v>
      </c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 t="s">
        <v>631</v>
      </c>
      <c r="DE302" s="76"/>
      <c r="DF302" s="76"/>
      <c r="DG302" s="76"/>
      <c r="DH302" s="9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95"/>
      <c r="DX302" s="90"/>
      <c r="DY302" s="21"/>
      <c r="DZ302" s="21"/>
    </row>
    <row r="303" spans="1:130" hidden="1" outlineLevel="1" x14ac:dyDescent="0.3">
      <c r="A303" s="4"/>
      <c r="B303" s="4"/>
      <c r="C303" s="4" t="s">
        <v>884</v>
      </c>
      <c r="D303" s="4"/>
      <c r="E303" s="12"/>
      <c r="F303" s="34"/>
      <c r="G303" s="28"/>
      <c r="H303" s="28"/>
      <c r="I303" s="26"/>
      <c r="J303" s="24"/>
      <c r="K303" s="31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93"/>
      <c r="AX303" s="76"/>
      <c r="AY303" s="76"/>
      <c r="AZ303" s="76"/>
      <c r="BA303" s="76"/>
      <c r="BB303" s="76" t="s">
        <v>631</v>
      </c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9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95"/>
      <c r="DX303" s="90"/>
      <c r="DY303" s="21"/>
      <c r="DZ303" s="21"/>
    </row>
    <row r="304" spans="1:130" hidden="1" outlineLevel="1" x14ac:dyDescent="0.3">
      <c r="A304" s="4"/>
      <c r="B304" s="4"/>
      <c r="C304" s="4" t="s">
        <v>885</v>
      </c>
      <c r="D304" s="4"/>
      <c r="E304" s="12"/>
      <c r="F304" s="34"/>
      <c r="G304" s="28"/>
      <c r="H304" s="28"/>
      <c r="I304" s="26"/>
      <c r="J304" s="24"/>
      <c r="K304" s="31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93"/>
      <c r="AX304" s="76"/>
      <c r="AY304" s="76"/>
      <c r="AZ304" s="76"/>
      <c r="BA304" s="76" t="s">
        <v>631</v>
      </c>
      <c r="BB304" s="76" t="s">
        <v>631</v>
      </c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9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95"/>
      <c r="DX304" s="90"/>
      <c r="DY304" s="21"/>
      <c r="DZ304" s="21"/>
    </row>
    <row r="305" spans="1:130" hidden="1" outlineLevel="1" x14ac:dyDescent="0.3">
      <c r="A305" s="4"/>
      <c r="B305" s="4"/>
      <c r="C305" s="4" t="s">
        <v>886</v>
      </c>
      <c r="D305" s="4"/>
      <c r="E305" s="12"/>
      <c r="F305" s="34"/>
      <c r="G305" s="28"/>
      <c r="H305" s="28"/>
      <c r="I305" s="26"/>
      <c r="J305" s="24"/>
      <c r="K305" s="31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93"/>
      <c r="AX305" s="76"/>
      <c r="AY305" s="76"/>
      <c r="AZ305" s="76"/>
      <c r="BA305" s="76" t="s">
        <v>631</v>
      </c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 t="s">
        <v>631</v>
      </c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9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95"/>
      <c r="DX305" s="90"/>
      <c r="DY305" s="21"/>
      <c r="DZ305" s="21"/>
    </row>
    <row r="306" spans="1:130" hidden="1" outlineLevel="1" x14ac:dyDescent="0.3">
      <c r="A306" s="4"/>
      <c r="B306" s="4"/>
      <c r="C306" s="4" t="s">
        <v>887</v>
      </c>
      <c r="D306" s="4"/>
      <c r="E306" s="12"/>
      <c r="F306" s="34"/>
      <c r="G306" s="28"/>
      <c r="H306" s="28"/>
      <c r="I306" s="26"/>
      <c r="J306" s="24"/>
      <c r="K306" s="31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93"/>
      <c r="AX306" s="76"/>
      <c r="AY306" s="76"/>
      <c r="AZ306" s="76"/>
      <c r="BA306" s="76" t="s">
        <v>631</v>
      </c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 t="s">
        <v>631</v>
      </c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9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95"/>
      <c r="DX306" s="90"/>
      <c r="DY306" s="21"/>
      <c r="DZ306" s="21"/>
    </row>
    <row r="307" spans="1:130" hidden="1" outlineLevel="1" x14ac:dyDescent="0.3">
      <c r="A307" s="4"/>
      <c r="B307" s="4"/>
      <c r="C307" s="4" t="s">
        <v>888</v>
      </c>
      <c r="D307" s="4"/>
      <c r="E307" s="12"/>
      <c r="F307" s="34"/>
      <c r="G307" s="28"/>
      <c r="H307" s="28"/>
      <c r="I307" s="26"/>
      <c r="J307" s="24"/>
      <c r="K307" s="31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93"/>
      <c r="AX307" s="76"/>
      <c r="AY307" s="76"/>
      <c r="AZ307" s="76"/>
      <c r="BA307" s="76" t="s">
        <v>631</v>
      </c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 t="s">
        <v>631</v>
      </c>
      <c r="BQ307" s="76"/>
      <c r="BR307" s="76"/>
      <c r="BS307" s="76"/>
      <c r="BT307" s="76"/>
      <c r="BU307" s="76"/>
      <c r="BV307" s="76" t="s">
        <v>631</v>
      </c>
      <c r="BW307" s="76" t="s">
        <v>631</v>
      </c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9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95"/>
      <c r="DX307" s="90"/>
      <c r="DY307" s="21"/>
      <c r="DZ307" s="21"/>
    </row>
    <row r="308" spans="1:130" hidden="1" outlineLevel="1" x14ac:dyDescent="0.3">
      <c r="A308" s="4"/>
      <c r="B308" s="4"/>
      <c r="C308" s="4" t="s">
        <v>889</v>
      </c>
      <c r="D308" s="4"/>
      <c r="E308" s="12"/>
      <c r="F308" s="34"/>
      <c r="G308" s="28"/>
      <c r="H308" s="28"/>
      <c r="I308" s="26"/>
      <c r="J308" s="24"/>
      <c r="K308" s="31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93"/>
      <c r="AX308" s="76"/>
      <c r="AY308" s="76"/>
      <c r="AZ308" s="76"/>
      <c r="BA308" s="76" t="s">
        <v>631</v>
      </c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 t="s">
        <v>631</v>
      </c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9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95"/>
      <c r="DX308" s="90"/>
      <c r="DY308" s="21"/>
      <c r="DZ308" s="21"/>
    </row>
    <row r="309" spans="1:130" hidden="1" outlineLevel="1" x14ac:dyDescent="0.3">
      <c r="A309" s="4"/>
      <c r="B309" s="4"/>
      <c r="C309" s="4" t="s">
        <v>890</v>
      </c>
      <c r="D309" s="4"/>
      <c r="E309" s="12"/>
      <c r="F309" s="34"/>
      <c r="G309" s="28"/>
      <c r="H309" s="28"/>
      <c r="I309" s="26"/>
      <c r="J309" s="24"/>
      <c r="K309" s="31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93"/>
      <c r="AX309" s="76"/>
      <c r="AY309" s="76"/>
      <c r="AZ309" s="76" t="s">
        <v>631</v>
      </c>
      <c r="BA309" s="76" t="s">
        <v>631</v>
      </c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9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95"/>
      <c r="DX309" s="90"/>
      <c r="DY309" s="21"/>
      <c r="DZ309" s="21"/>
    </row>
    <row r="310" spans="1:130" hidden="1" outlineLevel="1" x14ac:dyDescent="0.3">
      <c r="A310" s="4"/>
      <c r="B310" s="4"/>
      <c r="C310" s="4" t="s">
        <v>891</v>
      </c>
      <c r="D310" s="4"/>
      <c r="E310" s="12"/>
      <c r="F310" s="34"/>
      <c r="G310" s="28"/>
      <c r="H310" s="28"/>
      <c r="I310" s="26"/>
      <c r="J310" s="24"/>
      <c r="K310" s="31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93"/>
      <c r="AX310" s="76"/>
      <c r="AY310" s="76"/>
      <c r="AZ310" s="76"/>
      <c r="BA310" s="76"/>
      <c r="BB310" s="76" t="s">
        <v>631</v>
      </c>
      <c r="BC310" s="76"/>
      <c r="BD310" s="76"/>
      <c r="BE310" s="76"/>
      <c r="BF310" s="76"/>
      <c r="BG310" s="76"/>
      <c r="BH310" s="76"/>
      <c r="BI310" s="76"/>
      <c r="BJ310" s="76" t="s">
        <v>631</v>
      </c>
      <c r="BK310" s="76"/>
      <c r="BL310" s="76"/>
      <c r="BM310" s="76"/>
      <c r="BN310" s="76"/>
      <c r="BO310" s="76"/>
      <c r="BP310" s="76" t="s">
        <v>631</v>
      </c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9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95"/>
      <c r="DX310" s="90"/>
      <c r="DY310" s="21"/>
      <c r="DZ310" s="21"/>
    </row>
    <row r="311" spans="1:130" hidden="1" outlineLevel="1" x14ac:dyDescent="0.3">
      <c r="A311" s="4"/>
      <c r="B311" s="4"/>
      <c r="C311" s="4" t="s">
        <v>892</v>
      </c>
      <c r="D311" s="4"/>
      <c r="E311" s="12"/>
      <c r="F311" s="34"/>
      <c r="G311" s="28"/>
      <c r="H311" s="28"/>
      <c r="I311" s="26"/>
      <c r="J311" s="24"/>
      <c r="K311" s="31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93"/>
      <c r="AX311" s="76"/>
      <c r="AY311" s="76"/>
      <c r="AZ311" s="76"/>
      <c r="BA311" s="76" t="s">
        <v>631</v>
      </c>
      <c r="BB311" s="76"/>
      <c r="BC311" s="76"/>
      <c r="BD311" s="76"/>
      <c r="BE311" s="76"/>
      <c r="BF311" s="76"/>
      <c r="BG311" s="76"/>
      <c r="BH311" s="76"/>
      <c r="BI311" s="76" t="s">
        <v>631</v>
      </c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9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95"/>
      <c r="DX311" s="90"/>
      <c r="DY311" s="21"/>
      <c r="DZ311" s="21"/>
    </row>
    <row r="312" spans="1:130" collapsed="1" x14ac:dyDescent="0.3">
      <c r="A312" s="4" t="s">
        <v>126</v>
      </c>
      <c r="B312" s="4" t="s">
        <v>271</v>
      </c>
      <c r="C312" s="91" t="s">
        <v>280</v>
      </c>
      <c r="D312" s="4" t="s">
        <v>281</v>
      </c>
      <c r="E312" s="12">
        <v>17.41</v>
      </c>
      <c r="F312" s="34">
        <f t="shared" si="0"/>
        <v>2089.1999999999998</v>
      </c>
      <c r="G312" s="28">
        <f t="shared" si="7"/>
        <v>120</v>
      </c>
      <c r="H312" s="28">
        <f t="shared" si="1"/>
        <v>10</v>
      </c>
      <c r="I312" s="26">
        <f t="shared" si="2"/>
        <v>0</v>
      </c>
      <c r="J312" s="24">
        <f t="shared" si="3"/>
        <v>0</v>
      </c>
      <c r="K312" s="31">
        <f t="shared" si="4"/>
        <v>0</v>
      </c>
      <c r="L312" s="9">
        <v>0</v>
      </c>
      <c r="M312" s="9">
        <v>120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E312" s="6">
        <v>0</v>
      </c>
      <c r="AF312" s="6">
        <v>2089.1999999999998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93" t="s">
        <v>631</v>
      </c>
      <c r="AX312" s="76" t="s">
        <v>631</v>
      </c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 t="s">
        <v>631</v>
      </c>
      <c r="BP312" s="76" t="s">
        <v>631</v>
      </c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 t="s">
        <v>631</v>
      </c>
      <c r="DH312" s="96" t="s">
        <v>631</v>
      </c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95"/>
      <c r="DX312" s="90">
        <f t="shared" si="8"/>
        <v>6</v>
      </c>
      <c r="DY312" s="21"/>
      <c r="DZ312" s="21"/>
    </row>
    <row r="313" spans="1:130" hidden="1" outlineLevel="1" x14ac:dyDescent="0.3">
      <c r="A313" s="4"/>
      <c r="B313" s="4"/>
      <c r="C313" s="4" t="s">
        <v>893</v>
      </c>
      <c r="D313" s="4"/>
      <c r="E313" s="12"/>
      <c r="F313" s="34"/>
      <c r="G313" s="28"/>
      <c r="H313" s="28"/>
      <c r="I313" s="26"/>
      <c r="J313" s="24"/>
      <c r="K313" s="31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93"/>
      <c r="AX313" s="76" t="s">
        <v>631</v>
      </c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 t="s">
        <v>631</v>
      </c>
      <c r="BP313" s="76" t="s">
        <v>631</v>
      </c>
      <c r="BQ313" s="76"/>
      <c r="BR313" s="76"/>
      <c r="BS313" s="76"/>
      <c r="BT313" s="76"/>
      <c r="BU313" s="76"/>
      <c r="BV313" s="76"/>
      <c r="BW313" s="76"/>
      <c r="BX313" s="76"/>
      <c r="BY313" s="76"/>
      <c r="BZ313" s="76" t="s">
        <v>631</v>
      </c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9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95"/>
      <c r="DX313" s="90"/>
      <c r="DY313" s="21"/>
      <c r="DZ313" s="21"/>
    </row>
    <row r="314" spans="1:130" hidden="1" outlineLevel="1" x14ac:dyDescent="0.3">
      <c r="A314" s="4"/>
      <c r="B314" s="4"/>
      <c r="C314" s="4" t="s">
        <v>894</v>
      </c>
      <c r="D314" s="4"/>
      <c r="E314" s="12"/>
      <c r="F314" s="34"/>
      <c r="G314" s="28"/>
      <c r="H314" s="28"/>
      <c r="I314" s="26"/>
      <c r="J314" s="24"/>
      <c r="K314" s="31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93" t="s">
        <v>631</v>
      </c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 t="s">
        <v>631</v>
      </c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9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95"/>
      <c r="DX314" s="90"/>
      <c r="DY314" s="21"/>
      <c r="DZ314" s="21"/>
    </row>
    <row r="315" spans="1:130" hidden="1" outlineLevel="1" x14ac:dyDescent="0.3">
      <c r="A315" s="4"/>
      <c r="B315" s="4"/>
      <c r="C315" s="4" t="s">
        <v>895</v>
      </c>
      <c r="D315" s="4"/>
      <c r="E315" s="12"/>
      <c r="F315" s="34"/>
      <c r="G315" s="28"/>
      <c r="H315" s="28"/>
      <c r="I315" s="26"/>
      <c r="J315" s="24"/>
      <c r="K315" s="31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93" t="s">
        <v>631</v>
      </c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 t="s">
        <v>631</v>
      </c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9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95"/>
      <c r="DX315" s="90"/>
      <c r="DY315" s="21"/>
      <c r="DZ315" s="21"/>
    </row>
    <row r="316" spans="1:130" collapsed="1" x14ac:dyDescent="0.3">
      <c r="A316" s="4" t="s">
        <v>126</v>
      </c>
      <c r="B316" s="4" t="s">
        <v>282</v>
      </c>
      <c r="C316" s="91" t="s">
        <v>283</v>
      </c>
      <c r="D316" s="4" t="s">
        <v>277</v>
      </c>
      <c r="E316" s="12">
        <v>18.25</v>
      </c>
      <c r="F316" s="34">
        <f t="shared" si="0"/>
        <v>164414.25</v>
      </c>
      <c r="G316" s="28">
        <f t="shared" si="7"/>
        <v>9009</v>
      </c>
      <c r="H316" s="28">
        <f t="shared" si="1"/>
        <v>751</v>
      </c>
      <c r="I316" s="26">
        <f t="shared" si="2"/>
        <v>92746.5</v>
      </c>
      <c r="J316" s="24">
        <f t="shared" si="3"/>
        <v>5082</v>
      </c>
      <c r="K316" s="31">
        <f t="shared" si="4"/>
        <v>1017</v>
      </c>
      <c r="L316" s="9">
        <v>1000</v>
      </c>
      <c r="M316" s="9">
        <v>0</v>
      </c>
      <c r="N316" s="9">
        <v>0</v>
      </c>
      <c r="O316" s="9">
        <v>0</v>
      </c>
      <c r="P316" s="9">
        <v>924</v>
      </c>
      <c r="Q316" s="9">
        <v>1155</v>
      </c>
      <c r="R316" s="9">
        <v>924</v>
      </c>
      <c r="S316" s="9">
        <v>1155</v>
      </c>
      <c r="T316" s="9">
        <v>924</v>
      </c>
      <c r="U316" s="9">
        <v>924</v>
      </c>
      <c r="V316" s="9">
        <v>1155</v>
      </c>
      <c r="W316" s="9">
        <v>924</v>
      </c>
      <c r="X316" s="9">
        <v>924</v>
      </c>
      <c r="Y316" s="9">
        <v>1155</v>
      </c>
      <c r="Z316" s="9">
        <v>924</v>
      </c>
      <c r="AA316" s="9">
        <v>924</v>
      </c>
      <c r="AB316" s="9">
        <v>1155</v>
      </c>
      <c r="AC316" s="9">
        <v>924</v>
      </c>
      <c r="AE316" s="6">
        <v>16850</v>
      </c>
      <c r="AF316" s="6">
        <v>0</v>
      </c>
      <c r="AG316" s="6">
        <v>0</v>
      </c>
      <c r="AH316" s="6">
        <v>0</v>
      </c>
      <c r="AI316" s="6">
        <v>15855.84</v>
      </c>
      <c r="AJ316" s="6">
        <v>19819.8</v>
      </c>
      <c r="AK316" s="6">
        <v>15855.84</v>
      </c>
      <c r="AL316" s="6">
        <v>19461.75</v>
      </c>
      <c r="AM316" s="6">
        <v>15569.400000000001</v>
      </c>
      <c r="AN316" s="6">
        <v>15569.400000000001</v>
      </c>
      <c r="AO316" s="6">
        <v>19461.75</v>
      </c>
      <c r="AP316" s="6">
        <v>15569.400000000001</v>
      </c>
      <c r="AQ316" s="6">
        <v>15569.400000000001</v>
      </c>
      <c r="AR316" s="6">
        <v>19461.75</v>
      </c>
      <c r="AS316" s="6">
        <v>15569.400000000001</v>
      </c>
      <c r="AT316" s="6">
        <v>15569.400000000001</v>
      </c>
      <c r="AU316" s="6">
        <v>19461.75</v>
      </c>
      <c r="AV316" s="6">
        <v>15569.400000000001</v>
      </c>
      <c r="AW316" s="93" t="s">
        <v>631</v>
      </c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 t="s">
        <v>631</v>
      </c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 t="s">
        <v>631</v>
      </c>
      <c r="DH316" s="96" t="s">
        <v>631</v>
      </c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95"/>
      <c r="DX316" s="90">
        <f t="shared" si="8"/>
        <v>4</v>
      </c>
      <c r="DY316" s="21"/>
      <c r="DZ316" s="21"/>
    </row>
    <row r="317" spans="1:130" hidden="1" outlineLevel="1" x14ac:dyDescent="0.3">
      <c r="A317" s="4"/>
      <c r="B317" s="4"/>
      <c r="C317" s="4" t="s">
        <v>896</v>
      </c>
      <c r="D317" s="4"/>
      <c r="E317" s="12"/>
      <c r="F317" s="34"/>
      <c r="G317" s="28"/>
      <c r="H317" s="28"/>
      <c r="I317" s="26"/>
      <c r="J317" s="24"/>
      <c r="K317" s="31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93" t="s">
        <v>631</v>
      </c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 t="s">
        <v>631</v>
      </c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9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95"/>
      <c r="DX317" s="90"/>
      <c r="DY317" s="21"/>
      <c r="DZ317" s="21"/>
    </row>
    <row r="318" spans="1:130" hidden="1" outlineLevel="1" x14ac:dyDescent="0.3">
      <c r="A318" s="4"/>
      <c r="B318" s="4"/>
      <c r="C318" s="4" t="s">
        <v>897</v>
      </c>
      <c r="D318" s="4"/>
      <c r="E318" s="12"/>
      <c r="F318" s="34"/>
      <c r="G318" s="28"/>
      <c r="H318" s="28"/>
      <c r="I318" s="26"/>
      <c r="J318" s="24"/>
      <c r="K318" s="31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93" t="s">
        <v>631</v>
      </c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 t="s">
        <v>631</v>
      </c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9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95"/>
      <c r="DX318" s="90"/>
      <c r="DY318" s="21"/>
      <c r="DZ318" s="21"/>
    </row>
    <row r="319" spans="1:130" hidden="1" outlineLevel="1" x14ac:dyDescent="0.3">
      <c r="A319" s="4"/>
      <c r="B319" s="4"/>
      <c r="C319" s="4" t="s">
        <v>898</v>
      </c>
      <c r="D319" s="4"/>
      <c r="E319" s="12"/>
      <c r="F319" s="34"/>
      <c r="G319" s="28"/>
      <c r="H319" s="28"/>
      <c r="I319" s="26"/>
      <c r="J319" s="24"/>
      <c r="K319" s="31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93" t="s">
        <v>631</v>
      </c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 t="s">
        <v>631</v>
      </c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9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95"/>
      <c r="DX319" s="90"/>
      <c r="DY319" s="21"/>
      <c r="DZ319" s="21"/>
    </row>
    <row r="320" spans="1:130" hidden="1" outlineLevel="1" x14ac:dyDescent="0.3">
      <c r="A320" s="4"/>
      <c r="B320" s="4"/>
      <c r="C320" s="4" t="s">
        <v>899</v>
      </c>
      <c r="D320" s="4"/>
      <c r="E320" s="12"/>
      <c r="F320" s="34"/>
      <c r="G320" s="28"/>
      <c r="H320" s="28"/>
      <c r="I320" s="26"/>
      <c r="J320" s="24"/>
      <c r="K320" s="31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93" t="s">
        <v>631</v>
      </c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 t="s">
        <v>631</v>
      </c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9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95"/>
      <c r="DX320" s="90"/>
      <c r="DY320" s="21"/>
      <c r="DZ320" s="21"/>
    </row>
    <row r="321" spans="1:130" hidden="1" outlineLevel="1" x14ac:dyDescent="0.3">
      <c r="A321" s="4"/>
      <c r="B321" s="4"/>
      <c r="C321" s="4" t="s">
        <v>900</v>
      </c>
      <c r="D321" s="4"/>
      <c r="E321" s="12"/>
      <c r="F321" s="34"/>
      <c r="G321" s="28"/>
      <c r="H321" s="28"/>
      <c r="I321" s="26"/>
      <c r="J321" s="24"/>
      <c r="K321" s="31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93" t="s">
        <v>631</v>
      </c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 t="s">
        <v>631</v>
      </c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9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95"/>
      <c r="DX321" s="90"/>
      <c r="DY321" s="21"/>
      <c r="DZ321" s="21"/>
    </row>
    <row r="322" spans="1:130" hidden="1" outlineLevel="1" x14ac:dyDescent="0.3">
      <c r="A322" s="4"/>
      <c r="B322" s="4"/>
      <c r="C322" s="4" t="s">
        <v>901</v>
      </c>
      <c r="D322" s="4"/>
      <c r="E322" s="12"/>
      <c r="F322" s="34"/>
      <c r="G322" s="28"/>
      <c r="H322" s="28"/>
      <c r="I322" s="26"/>
      <c r="J322" s="24"/>
      <c r="K322" s="31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93" t="s">
        <v>631</v>
      </c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 t="s">
        <v>631</v>
      </c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9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95"/>
      <c r="DX322" s="90"/>
      <c r="DY322" s="21"/>
      <c r="DZ322" s="21"/>
    </row>
    <row r="323" spans="1:130" collapsed="1" x14ac:dyDescent="0.3">
      <c r="A323" s="4" t="s">
        <v>126</v>
      </c>
      <c r="B323" s="4" t="s">
        <v>282</v>
      </c>
      <c r="C323" s="91" t="s">
        <v>284</v>
      </c>
      <c r="D323" s="4" t="s">
        <v>220</v>
      </c>
      <c r="E323" s="12">
        <v>8.98</v>
      </c>
      <c r="F323" s="34">
        <f t="shared" si="0"/>
        <v>80900.820000000007</v>
      </c>
      <c r="G323" s="28">
        <f t="shared" si="7"/>
        <v>9009</v>
      </c>
      <c r="H323" s="28">
        <f t="shared" si="1"/>
        <v>751</v>
      </c>
      <c r="I323" s="26">
        <f t="shared" si="2"/>
        <v>45636.36</v>
      </c>
      <c r="J323" s="24">
        <f t="shared" si="3"/>
        <v>5082</v>
      </c>
      <c r="K323" s="31">
        <f t="shared" si="4"/>
        <v>1017</v>
      </c>
      <c r="L323" s="9">
        <v>0</v>
      </c>
      <c r="M323" s="9">
        <v>0</v>
      </c>
      <c r="N323" s="9">
        <v>0</v>
      </c>
      <c r="O323" s="9">
        <v>0</v>
      </c>
      <c r="P323" s="9">
        <v>924</v>
      </c>
      <c r="Q323" s="9">
        <v>1155</v>
      </c>
      <c r="R323" s="9">
        <v>924</v>
      </c>
      <c r="S323" s="9">
        <v>1155</v>
      </c>
      <c r="T323" s="9">
        <v>924</v>
      </c>
      <c r="U323" s="9">
        <v>924</v>
      </c>
      <c r="V323" s="9">
        <v>1155</v>
      </c>
      <c r="W323" s="9">
        <v>924</v>
      </c>
      <c r="X323" s="9">
        <v>924</v>
      </c>
      <c r="Y323" s="9">
        <v>1155</v>
      </c>
      <c r="Z323" s="9">
        <v>924</v>
      </c>
      <c r="AA323" s="9">
        <v>924</v>
      </c>
      <c r="AB323" s="9">
        <v>1155</v>
      </c>
      <c r="AC323" s="9">
        <v>924</v>
      </c>
      <c r="AE323" s="6">
        <v>0</v>
      </c>
      <c r="AF323" s="6">
        <v>0</v>
      </c>
      <c r="AG323" s="6">
        <v>0</v>
      </c>
      <c r="AH323" s="6">
        <v>0</v>
      </c>
      <c r="AI323" s="6">
        <v>7900.2000000000007</v>
      </c>
      <c r="AJ323" s="6">
        <v>9875.25</v>
      </c>
      <c r="AK323" s="6">
        <v>7900.2000000000007</v>
      </c>
      <c r="AL323" s="6">
        <v>9875.25</v>
      </c>
      <c r="AM323" s="6">
        <v>7900.2000000000007</v>
      </c>
      <c r="AN323" s="6">
        <v>7900.2000000000007</v>
      </c>
      <c r="AO323" s="6">
        <v>9875.25</v>
      </c>
      <c r="AP323" s="6">
        <v>7900.2000000000007</v>
      </c>
      <c r="AQ323" s="6">
        <v>7900.2000000000007</v>
      </c>
      <c r="AR323" s="6">
        <v>9875.25</v>
      </c>
      <c r="AS323" s="6">
        <v>7900.2000000000007</v>
      </c>
      <c r="AT323" s="6">
        <v>7900.2000000000007</v>
      </c>
      <c r="AU323" s="6">
        <v>9875.25</v>
      </c>
      <c r="AV323" s="6">
        <v>7900.2000000000007</v>
      </c>
      <c r="AW323" s="93" t="s">
        <v>631</v>
      </c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 t="s">
        <v>631</v>
      </c>
      <c r="BP323" s="76" t="s">
        <v>631</v>
      </c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 t="s">
        <v>631</v>
      </c>
      <c r="DH323" s="96" t="s">
        <v>631</v>
      </c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95"/>
      <c r="DX323" s="90">
        <f t="shared" si="8"/>
        <v>5</v>
      </c>
      <c r="DY323" s="21"/>
      <c r="DZ323" s="21"/>
    </row>
    <row r="324" spans="1:130" collapsed="1" x14ac:dyDescent="0.3">
      <c r="A324" s="4" t="s">
        <v>126</v>
      </c>
      <c r="B324" s="4" t="s">
        <v>282</v>
      </c>
      <c r="C324" s="91" t="s">
        <v>287</v>
      </c>
      <c r="D324" s="4" t="s">
        <v>288</v>
      </c>
      <c r="E324" s="12">
        <v>193.04</v>
      </c>
      <c r="F324" s="34">
        <f t="shared" si="0"/>
        <v>1592000.88</v>
      </c>
      <c r="G324" s="28">
        <f t="shared" si="7"/>
        <v>8247</v>
      </c>
      <c r="H324" s="28">
        <f t="shared" si="1"/>
        <v>688</v>
      </c>
      <c r="I324" s="26">
        <f t="shared" si="2"/>
        <v>734710.24</v>
      </c>
      <c r="J324" s="24">
        <f t="shared" si="3"/>
        <v>3806</v>
      </c>
      <c r="K324" s="31">
        <f t="shared" si="4"/>
        <v>762</v>
      </c>
      <c r="L324" s="9">
        <v>0</v>
      </c>
      <c r="M324" s="9">
        <v>0</v>
      </c>
      <c r="N324" s="9">
        <v>1000</v>
      </c>
      <c r="O324" s="9">
        <v>500</v>
      </c>
      <c r="P324" s="9">
        <v>692</v>
      </c>
      <c r="Q324" s="9">
        <v>865</v>
      </c>
      <c r="R324" s="9">
        <v>692</v>
      </c>
      <c r="S324" s="9">
        <v>865</v>
      </c>
      <c r="T324" s="9">
        <v>692</v>
      </c>
      <c r="U324" s="9">
        <v>692</v>
      </c>
      <c r="V324" s="9">
        <v>865</v>
      </c>
      <c r="W324" s="9">
        <v>692</v>
      </c>
      <c r="X324" s="9">
        <v>692</v>
      </c>
      <c r="Y324" s="9">
        <v>865</v>
      </c>
      <c r="Z324" s="9">
        <v>692</v>
      </c>
      <c r="AA324" s="9">
        <v>692</v>
      </c>
      <c r="AB324" s="9">
        <v>865</v>
      </c>
      <c r="AC324" s="9">
        <v>692</v>
      </c>
      <c r="AE324" s="6">
        <v>0</v>
      </c>
      <c r="AF324" s="6">
        <v>0</v>
      </c>
      <c r="AG324" s="6">
        <v>193040</v>
      </c>
      <c r="AH324" s="6">
        <v>96520</v>
      </c>
      <c r="AI324" s="6">
        <v>133583.67999999999</v>
      </c>
      <c r="AJ324" s="6">
        <v>166979.6</v>
      </c>
      <c r="AK324" s="6">
        <v>133583.67999999999</v>
      </c>
      <c r="AL324" s="6">
        <v>166979.6</v>
      </c>
      <c r="AM324" s="6">
        <v>133583.67999999999</v>
      </c>
      <c r="AN324" s="6">
        <v>133583.67999999999</v>
      </c>
      <c r="AO324" s="6">
        <v>166979.6</v>
      </c>
      <c r="AP324" s="6">
        <v>133583.67999999999</v>
      </c>
      <c r="AQ324" s="6">
        <v>133583.67999999999</v>
      </c>
      <c r="AR324" s="6">
        <v>166979.6</v>
      </c>
      <c r="AS324" s="6">
        <v>133583.67999999999</v>
      </c>
      <c r="AT324" s="6">
        <v>133583.67999999999</v>
      </c>
      <c r="AU324" s="6">
        <v>166979.6</v>
      </c>
      <c r="AV324" s="6">
        <v>133583.67999999999</v>
      </c>
      <c r="AW324" s="93" t="s">
        <v>631</v>
      </c>
      <c r="AX324" s="76" t="s">
        <v>631</v>
      </c>
      <c r="AY324" s="76"/>
      <c r="AZ324" s="76"/>
      <c r="BA324" s="76" t="s">
        <v>631</v>
      </c>
      <c r="BB324" s="76" t="s">
        <v>631</v>
      </c>
      <c r="BC324" s="76"/>
      <c r="BD324" s="76"/>
      <c r="BE324" s="76"/>
      <c r="BF324" s="76"/>
      <c r="BG324" s="76"/>
      <c r="BH324" s="76"/>
      <c r="BI324" s="76"/>
      <c r="BJ324" s="76" t="s">
        <v>631</v>
      </c>
      <c r="BK324" s="76" t="s">
        <v>631</v>
      </c>
      <c r="BL324" s="76"/>
      <c r="BM324" s="76"/>
      <c r="BN324" s="76"/>
      <c r="BO324" s="76" t="s">
        <v>631</v>
      </c>
      <c r="BP324" s="76" t="s">
        <v>631</v>
      </c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 t="s">
        <v>631</v>
      </c>
      <c r="DH324" s="96" t="s">
        <v>631</v>
      </c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95"/>
      <c r="DX324" s="90">
        <f t="shared" si="8"/>
        <v>10</v>
      </c>
      <c r="DY324" s="21"/>
      <c r="DZ324" s="21"/>
    </row>
    <row r="325" spans="1:130" hidden="1" outlineLevel="1" x14ac:dyDescent="0.3">
      <c r="A325" s="4"/>
      <c r="B325" s="4"/>
      <c r="C325" s="4" t="s">
        <v>902</v>
      </c>
      <c r="D325" s="4"/>
      <c r="E325" s="12"/>
      <c r="F325" s="34"/>
      <c r="G325" s="28"/>
      <c r="H325" s="28"/>
      <c r="I325" s="26"/>
      <c r="J325" s="24"/>
      <c r="K325" s="31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93"/>
      <c r="AX325" s="76" t="s">
        <v>631</v>
      </c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 t="s">
        <v>631</v>
      </c>
      <c r="BQ325" s="76"/>
      <c r="BR325" s="76"/>
      <c r="BS325" s="76"/>
      <c r="BT325" s="76"/>
      <c r="BU325" s="76"/>
      <c r="BV325" s="76"/>
      <c r="BW325" s="76"/>
      <c r="BX325" s="76"/>
      <c r="BY325" s="76"/>
      <c r="BZ325" s="76" t="s">
        <v>631</v>
      </c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9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95"/>
      <c r="DX325" s="90"/>
      <c r="DY325" s="21"/>
      <c r="DZ325" s="21"/>
    </row>
    <row r="326" spans="1:130" hidden="1" outlineLevel="1" x14ac:dyDescent="0.3">
      <c r="A326" s="4"/>
      <c r="B326" s="4"/>
      <c r="C326" s="4" t="s">
        <v>877</v>
      </c>
      <c r="D326" s="4"/>
      <c r="E326" s="12"/>
      <c r="F326" s="34"/>
      <c r="G326" s="28"/>
      <c r="H326" s="28"/>
      <c r="I326" s="26"/>
      <c r="J326" s="24"/>
      <c r="K326" s="31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93"/>
      <c r="AX326" s="76"/>
      <c r="AY326" s="76"/>
      <c r="AZ326" s="76"/>
      <c r="BA326" s="76" t="s">
        <v>631</v>
      </c>
      <c r="BB326" s="76" t="s">
        <v>631</v>
      </c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 t="s">
        <v>631</v>
      </c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9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95"/>
      <c r="DX326" s="90"/>
      <c r="DY326" s="21"/>
      <c r="DZ326" s="21"/>
    </row>
    <row r="327" spans="1:130" hidden="1" outlineLevel="1" x14ac:dyDescent="0.3">
      <c r="A327" s="4"/>
      <c r="B327" s="4"/>
      <c r="C327" s="4" t="s">
        <v>878</v>
      </c>
      <c r="D327" s="4"/>
      <c r="E327" s="12"/>
      <c r="F327" s="34"/>
      <c r="G327" s="28"/>
      <c r="H327" s="28"/>
      <c r="I327" s="26"/>
      <c r="J327" s="24"/>
      <c r="K327" s="31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93"/>
      <c r="AX327" s="76"/>
      <c r="AY327" s="76"/>
      <c r="AZ327" s="76"/>
      <c r="BA327" s="76" t="s">
        <v>631</v>
      </c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 t="s">
        <v>631</v>
      </c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9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95"/>
      <c r="DX327" s="90"/>
      <c r="DY327" s="21"/>
      <c r="DZ327" s="21"/>
    </row>
    <row r="328" spans="1:130" hidden="1" outlineLevel="1" x14ac:dyDescent="0.3">
      <c r="A328" s="4"/>
      <c r="B328" s="4"/>
      <c r="C328" s="4" t="s">
        <v>879</v>
      </c>
      <c r="D328" s="4"/>
      <c r="E328" s="12"/>
      <c r="F328" s="34"/>
      <c r="G328" s="28"/>
      <c r="H328" s="28"/>
      <c r="I328" s="26"/>
      <c r="J328" s="24"/>
      <c r="K328" s="31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93"/>
      <c r="AX328" s="76"/>
      <c r="AY328" s="76"/>
      <c r="AZ328" s="76"/>
      <c r="BA328" s="76" t="s">
        <v>631</v>
      </c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 t="s">
        <v>631</v>
      </c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9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95"/>
      <c r="DX328" s="90"/>
      <c r="DY328" s="21"/>
      <c r="DZ328" s="21"/>
    </row>
    <row r="329" spans="1:130" hidden="1" outlineLevel="1" x14ac:dyDescent="0.3">
      <c r="A329" s="4"/>
      <c r="B329" s="4"/>
      <c r="C329" s="4" t="s">
        <v>287</v>
      </c>
      <c r="D329" s="4"/>
      <c r="E329" s="12"/>
      <c r="F329" s="34"/>
      <c r="G329" s="28"/>
      <c r="H329" s="28"/>
      <c r="I329" s="26"/>
      <c r="J329" s="24"/>
      <c r="K329" s="31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93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 t="s">
        <v>631</v>
      </c>
      <c r="DD329" s="76"/>
      <c r="DE329" s="76"/>
      <c r="DF329" s="76"/>
      <c r="DG329" s="76"/>
      <c r="DH329" s="9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95"/>
      <c r="DX329" s="90"/>
      <c r="DY329" s="21"/>
      <c r="DZ329" s="21"/>
    </row>
    <row r="330" spans="1:130" hidden="1" outlineLevel="1" x14ac:dyDescent="0.3">
      <c r="A330" s="4"/>
      <c r="B330" s="4"/>
      <c r="C330" s="4" t="s">
        <v>881</v>
      </c>
      <c r="D330" s="4"/>
      <c r="E330" s="12"/>
      <c r="F330" s="34"/>
      <c r="G330" s="28"/>
      <c r="H330" s="28"/>
      <c r="I330" s="26"/>
      <c r="J330" s="24"/>
      <c r="K330" s="31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93"/>
      <c r="AX330" s="76"/>
      <c r="AY330" s="76" t="s">
        <v>631</v>
      </c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 t="s">
        <v>631</v>
      </c>
      <c r="BK330" s="76" t="s">
        <v>631</v>
      </c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 t="s">
        <v>631</v>
      </c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 t="s">
        <v>631</v>
      </c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 t="s">
        <v>631</v>
      </c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 t="s">
        <v>631</v>
      </c>
      <c r="DH330" s="9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95"/>
      <c r="DX330" s="90"/>
      <c r="DY330" s="21"/>
      <c r="DZ330" s="21"/>
    </row>
    <row r="331" spans="1:130" hidden="1" outlineLevel="1" x14ac:dyDescent="0.3">
      <c r="A331" s="4"/>
      <c r="B331" s="4"/>
      <c r="C331" s="4" t="s">
        <v>882</v>
      </c>
      <c r="D331" s="4"/>
      <c r="E331" s="12"/>
      <c r="F331" s="34"/>
      <c r="G331" s="28"/>
      <c r="H331" s="28"/>
      <c r="I331" s="26"/>
      <c r="J331" s="24"/>
      <c r="K331" s="31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93" t="s">
        <v>631</v>
      </c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 t="s">
        <v>631</v>
      </c>
      <c r="BQ331" s="76"/>
      <c r="BR331" s="76"/>
      <c r="BS331" s="76"/>
      <c r="BT331" s="76"/>
      <c r="BU331" s="76"/>
      <c r="BV331" s="76"/>
      <c r="BW331" s="76"/>
      <c r="BX331" s="76"/>
      <c r="BY331" s="76"/>
      <c r="BZ331" s="76" t="s">
        <v>631</v>
      </c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 t="s">
        <v>631</v>
      </c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9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95"/>
      <c r="DX331" s="90"/>
      <c r="DY331" s="21"/>
      <c r="DZ331" s="21"/>
    </row>
    <row r="332" spans="1:130" hidden="1" outlineLevel="1" x14ac:dyDescent="0.3">
      <c r="A332" s="4"/>
      <c r="B332" s="4"/>
      <c r="C332" s="4" t="s">
        <v>883</v>
      </c>
      <c r="D332" s="4"/>
      <c r="E332" s="12"/>
      <c r="F332" s="34"/>
      <c r="G332" s="28"/>
      <c r="H332" s="28"/>
      <c r="I332" s="26"/>
      <c r="J332" s="24"/>
      <c r="K332" s="31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93"/>
      <c r="AX332" s="76" t="s">
        <v>631</v>
      </c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 t="s">
        <v>631</v>
      </c>
      <c r="DE332" s="76"/>
      <c r="DF332" s="76"/>
      <c r="DG332" s="76"/>
      <c r="DH332" s="9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95"/>
      <c r="DX332" s="90"/>
      <c r="DY332" s="21"/>
      <c r="DZ332" s="21"/>
    </row>
    <row r="333" spans="1:130" hidden="1" outlineLevel="1" x14ac:dyDescent="0.3">
      <c r="A333" s="4"/>
      <c r="B333" s="4"/>
      <c r="C333" s="4" t="s">
        <v>884</v>
      </c>
      <c r="D333" s="4"/>
      <c r="E333" s="12"/>
      <c r="F333" s="34"/>
      <c r="G333" s="28"/>
      <c r="H333" s="28"/>
      <c r="I333" s="26"/>
      <c r="J333" s="24"/>
      <c r="K333" s="31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93" t="s">
        <v>631</v>
      </c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9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95"/>
      <c r="DX333" s="90"/>
      <c r="DY333" s="21"/>
      <c r="DZ333" s="21"/>
    </row>
    <row r="334" spans="1:130" hidden="1" outlineLevel="1" x14ac:dyDescent="0.3">
      <c r="A334" s="4"/>
      <c r="B334" s="4"/>
      <c r="C334" s="4" t="s">
        <v>885</v>
      </c>
      <c r="D334" s="4"/>
      <c r="E334" s="12"/>
      <c r="F334" s="34"/>
      <c r="G334" s="28"/>
      <c r="H334" s="28"/>
      <c r="I334" s="26"/>
      <c r="J334" s="24"/>
      <c r="K334" s="31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93"/>
      <c r="AX334" s="76"/>
      <c r="AY334" s="76"/>
      <c r="AZ334" s="76"/>
      <c r="BA334" s="76" t="s">
        <v>631</v>
      </c>
      <c r="BB334" s="76" t="s">
        <v>631</v>
      </c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9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95"/>
      <c r="DX334" s="90"/>
      <c r="DY334" s="21"/>
      <c r="DZ334" s="21"/>
    </row>
    <row r="335" spans="1:130" hidden="1" outlineLevel="1" x14ac:dyDescent="0.3">
      <c r="A335" s="4"/>
      <c r="B335" s="4"/>
      <c r="C335" s="4" t="s">
        <v>886</v>
      </c>
      <c r="D335" s="4"/>
      <c r="E335" s="12"/>
      <c r="F335" s="34"/>
      <c r="G335" s="28"/>
      <c r="H335" s="28"/>
      <c r="I335" s="26"/>
      <c r="J335" s="24"/>
      <c r="K335" s="31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93"/>
      <c r="AX335" s="76"/>
      <c r="AY335" s="76"/>
      <c r="AZ335" s="76"/>
      <c r="BA335" s="76" t="s">
        <v>631</v>
      </c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 t="s">
        <v>631</v>
      </c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9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95"/>
      <c r="DX335" s="90"/>
      <c r="DY335" s="21"/>
      <c r="DZ335" s="21"/>
    </row>
    <row r="336" spans="1:130" hidden="1" outlineLevel="1" x14ac:dyDescent="0.3">
      <c r="A336" s="4"/>
      <c r="B336" s="4"/>
      <c r="C336" s="4" t="s">
        <v>887</v>
      </c>
      <c r="D336" s="4"/>
      <c r="E336" s="12"/>
      <c r="F336" s="34"/>
      <c r="G336" s="28"/>
      <c r="H336" s="28"/>
      <c r="I336" s="26"/>
      <c r="J336" s="24"/>
      <c r="K336" s="31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93"/>
      <c r="AX336" s="76"/>
      <c r="AY336" s="76"/>
      <c r="AZ336" s="76"/>
      <c r="BA336" s="76" t="s">
        <v>631</v>
      </c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 t="s">
        <v>631</v>
      </c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9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95"/>
      <c r="DX336" s="90"/>
      <c r="DY336" s="21"/>
      <c r="DZ336" s="21"/>
    </row>
    <row r="337" spans="1:130" hidden="1" outlineLevel="1" x14ac:dyDescent="0.3">
      <c r="A337" s="4"/>
      <c r="B337" s="4"/>
      <c r="C337" s="4" t="s">
        <v>888</v>
      </c>
      <c r="D337" s="4"/>
      <c r="E337" s="12"/>
      <c r="F337" s="34"/>
      <c r="G337" s="28"/>
      <c r="H337" s="28"/>
      <c r="I337" s="26"/>
      <c r="J337" s="24"/>
      <c r="K337" s="31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93"/>
      <c r="AX337" s="76"/>
      <c r="AY337" s="76"/>
      <c r="AZ337" s="76"/>
      <c r="BA337" s="76" t="s">
        <v>631</v>
      </c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 t="s">
        <v>631</v>
      </c>
      <c r="BM337" s="76"/>
      <c r="BN337" s="76"/>
      <c r="BO337" s="76"/>
      <c r="BP337" s="76" t="s">
        <v>631</v>
      </c>
      <c r="BQ337" s="76"/>
      <c r="BR337" s="76"/>
      <c r="BS337" s="76"/>
      <c r="BT337" s="76"/>
      <c r="BU337" s="76"/>
      <c r="BV337" s="76" t="s">
        <v>631</v>
      </c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9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95"/>
      <c r="DX337" s="90"/>
      <c r="DY337" s="21"/>
      <c r="DZ337" s="21"/>
    </row>
    <row r="338" spans="1:130" hidden="1" outlineLevel="1" x14ac:dyDescent="0.3">
      <c r="A338" s="4"/>
      <c r="B338" s="4"/>
      <c r="C338" s="4" t="s">
        <v>889</v>
      </c>
      <c r="D338" s="4"/>
      <c r="E338" s="12"/>
      <c r="F338" s="34"/>
      <c r="G338" s="28"/>
      <c r="H338" s="28"/>
      <c r="I338" s="26"/>
      <c r="J338" s="24"/>
      <c r="K338" s="31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93"/>
      <c r="AX338" s="76"/>
      <c r="AY338" s="76"/>
      <c r="AZ338" s="76"/>
      <c r="BA338" s="76" t="s">
        <v>631</v>
      </c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 t="s">
        <v>631</v>
      </c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9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95"/>
      <c r="DX338" s="90"/>
      <c r="DY338" s="21"/>
      <c r="DZ338" s="21"/>
    </row>
    <row r="339" spans="1:130" hidden="1" outlineLevel="1" x14ac:dyDescent="0.3">
      <c r="A339" s="4"/>
      <c r="B339" s="4"/>
      <c r="C339" s="4" t="s">
        <v>890</v>
      </c>
      <c r="D339" s="4"/>
      <c r="E339" s="12"/>
      <c r="F339" s="34"/>
      <c r="G339" s="28"/>
      <c r="H339" s="28"/>
      <c r="I339" s="26"/>
      <c r="J339" s="24"/>
      <c r="K339" s="31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93"/>
      <c r="AX339" s="76"/>
      <c r="AY339" s="76"/>
      <c r="AZ339" s="76" t="s">
        <v>631</v>
      </c>
      <c r="BA339" s="76" t="s">
        <v>631</v>
      </c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9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95"/>
      <c r="DX339" s="90"/>
      <c r="DY339" s="21"/>
      <c r="DZ339" s="21"/>
    </row>
    <row r="340" spans="1:130" hidden="1" outlineLevel="1" x14ac:dyDescent="0.3">
      <c r="A340" s="4"/>
      <c r="B340" s="4"/>
      <c r="C340" s="4" t="s">
        <v>891</v>
      </c>
      <c r="D340" s="4"/>
      <c r="E340" s="12"/>
      <c r="F340" s="34"/>
      <c r="G340" s="28"/>
      <c r="H340" s="28"/>
      <c r="I340" s="26"/>
      <c r="J340" s="24"/>
      <c r="K340" s="31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93"/>
      <c r="AX340" s="76"/>
      <c r="AY340" s="76" t="s">
        <v>631</v>
      </c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 t="s">
        <v>631</v>
      </c>
      <c r="BK340" s="76" t="s">
        <v>631</v>
      </c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 t="s">
        <v>631</v>
      </c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 t="s">
        <v>631</v>
      </c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9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95"/>
      <c r="DX340" s="90"/>
      <c r="DY340" s="21"/>
      <c r="DZ340" s="21"/>
    </row>
    <row r="341" spans="1:130" hidden="1" outlineLevel="1" x14ac:dyDescent="0.3">
      <c r="A341" s="4"/>
      <c r="B341" s="4"/>
      <c r="C341" s="4" t="s">
        <v>892</v>
      </c>
      <c r="D341" s="4"/>
      <c r="E341" s="12"/>
      <c r="F341" s="34"/>
      <c r="G341" s="28"/>
      <c r="H341" s="28"/>
      <c r="I341" s="26"/>
      <c r="J341" s="24"/>
      <c r="K341" s="31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93"/>
      <c r="AX341" s="76"/>
      <c r="AY341" s="76"/>
      <c r="AZ341" s="76"/>
      <c r="BA341" s="76" t="s">
        <v>631</v>
      </c>
      <c r="BB341" s="76"/>
      <c r="BC341" s="76"/>
      <c r="BD341" s="76"/>
      <c r="BE341" s="76"/>
      <c r="BF341" s="76"/>
      <c r="BG341" s="76"/>
      <c r="BH341" s="76"/>
      <c r="BI341" s="76" t="s">
        <v>631</v>
      </c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9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95"/>
      <c r="DX341" s="90"/>
      <c r="DY341" s="21"/>
      <c r="DZ341" s="21"/>
    </row>
    <row r="342" spans="1:130" collapsed="1" x14ac:dyDescent="0.3">
      <c r="A342" s="4" t="s">
        <v>126</v>
      </c>
      <c r="B342" s="4" t="s">
        <v>282</v>
      </c>
      <c r="C342" s="91" t="s">
        <v>289</v>
      </c>
      <c r="D342" s="4" t="s">
        <v>290</v>
      </c>
      <c r="E342" s="12">
        <v>14.15</v>
      </c>
      <c r="F342" s="34">
        <f t="shared" si="0"/>
        <v>141627.35</v>
      </c>
      <c r="G342" s="28">
        <f t="shared" si="7"/>
        <v>10009</v>
      </c>
      <c r="H342" s="28">
        <f t="shared" si="1"/>
        <v>835</v>
      </c>
      <c r="I342" s="26">
        <f t="shared" si="2"/>
        <v>71910.3</v>
      </c>
      <c r="J342" s="24">
        <f t="shared" si="3"/>
        <v>5082</v>
      </c>
      <c r="K342" s="31">
        <f t="shared" si="4"/>
        <v>1017</v>
      </c>
      <c r="L342" s="9">
        <v>0</v>
      </c>
      <c r="M342" s="9">
        <v>1000</v>
      </c>
      <c r="N342" s="9">
        <v>0</v>
      </c>
      <c r="O342" s="9">
        <v>0</v>
      </c>
      <c r="P342" s="9">
        <v>924</v>
      </c>
      <c r="Q342" s="9">
        <v>1155</v>
      </c>
      <c r="R342" s="9">
        <v>924</v>
      </c>
      <c r="S342" s="9">
        <v>1155</v>
      </c>
      <c r="T342" s="9">
        <v>924</v>
      </c>
      <c r="U342" s="9">
        <v>924</v>
      </c>
      <c r="V342" s="9">
        <v>1155</v>
      </c>
      <c r="W342" s="9">
        <v>924</v>
      </c>
      <c r="X342" s="9">
        <v>924</v>
      </c>
      <c r="Y342" s="9">
        <v>1155</v>
      </c>
      <c r="Z342" s="9">
        <v>924</v>
      </c>
      <c r="AA342" s="9">
        <v>924</v>
      </c>
      <c r="AB342" s="9">
        <v>1155</v>
      </c>
      <c r="AC342" s="9">
        <v>924</v>
      </c>
      <c r="AE342" s="6">
        <v>0</v>
      </c>
      <c r="AF342" s="6">
        <v>13360</v>
      </c>
      <c r="AG342" s="6">
        <v>0</v>
      </c>
      <c r="AH342" s="6">
        <v>0</v>
      </c>
      <c r="AI342" s="6">
        <v>12326.16</v>
      </c>
      <c r="AJ342" s="6">
        <v>15407.7</v>
      </c>
      <c r="AK342" s="6">
        <v>12326.16</v>
      </c>
      <c r="AL342" s="6">
        <v>15430.8</v>
      </c>
      <c r="AM342" s="6">
        <v>12344.64</v>
      </c>
      <c r="AN342" s="6">
        <v>12344.64</v>
      </c>
      <c r="AO342" s="6">
        <v>15430.8</v>
      </c>
      <c r="AP342" s="6">
        <v>12344.64</v>
      </c>
      <c r="AQ342" s="6">
        <v>12344.64</v>
      </c>
      <c r="AR342" s="6">
        <v>15430.8</v>
      </c>
      <c r="AS342" s="6">
        <v>12344.64</v>
      </c>
      <c r="AT342" s="6">
        <v>12344.64</v>
      </c>
      <c r="AU342" s="6">
        <v>15430.8</v>
      </c>
      <c r="AV342" s="6">
        <v>12344.64</v>
      </c>
      <c r="AW342" s="93"/>
      <c r="AX342" s="76"/>
      <c r="AY342" s="76"/>
      <c r="AZ342" s="76"/>
      <c r="BA342" s="76" t="s">
        <v>631</v>
      </c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 t="s">
        <v>631</v>
      </c>
      <c r="DH342" s="96" t="s">
        <v>631</v>
      </c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95"/>
      <c r="DX342" s="90">
        <f t="shared" si="8"/>
        <v>3</v>
      </c>
      <c r="DY342" s="21"/>
      <c r="DZ342" s="21"/>
    </row>
    <row r="343" spans="1:130" hidden="1" outlineLevel="1" x14ac:dyDescent="0.3">
      <c r="A343" s="4"/>
      <c r="B343" s="4"/>
      <c r="C343" s="4" t="s">
        <v>903</v>
      </c>
      <c r="D343" s="4"/>
      <c r="E343" s="12"/>
      <c r="F343" s="34"/>
      <c r="G343" s="28"/>
      <c r="H343" s="28"/>
      <c r="I343" s="26"/>
      <c r="J343" s="24"/>
      <c r="K343" s="31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93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 t="s">
        <v>631</v>
      </c>
      <c r="BP343" s="76" t="s">
        <v>631</v>
      </c>
      <c r="BQ343" s="76"/>
      <c r="BR343" s="76"/>
      <c r="BS343" s="76"/>
      <c r="BT343" s="76"/>
      <c r="BU343" s="76"/>
      <c r="BV343" s="76"/>
      <c r="BW343" s="76"/>
      <c r="BX343" s="76"/>
      <c r="BY343" s="76"/>
      <c r="BZ343" s="76" t="s">
        <v>631</v>
      </c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9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95"/>
      <c r="DX343" s="90"/>
      <c r="DY343" s="21"/>
      <c r="DZ343" s="21"/>
    </row>
    <row r="344" spans="1:130" hidden="1" outlineLevel="1" x14ac:dyDescent="0.3">
      <c r="A344" s="4"/>
      <c r="B344" s="4"/>
      <c r="C344" s="4" t="s">
        <v>904</v>
      </c>
      <c r="D344" s="4"/>
      <c r="E344" s="12"/>
      <c r="F344" s="34"/>
      <c r="G344" s="28"/>
      <c r="H344" s="28"/>
      <c r="I344" s="26"/>
      <c r="J344" s="24"/>
      <c r="K344" s="31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93"/>
      <c r="AX344" s="76"/>
      <c r="AY344" s="76"/>
      <c r="AZ344" s="76"/>
      <c r="BA344" s="76" t="s">
        <v>631</v>
      </c>
      <c r="BB344" s="76"/>
      <c r="BC344" s="76"/>
      <c r="BD344" s="76" t="s">
        <v>631</v>
      </c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9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95"/>
      <c r="DX344" s="90"/>
      <c r="DY344" s="21"/>
      <c r="DZ344" s="21"/>
    </row>
    <row r="345" spans="1:130" hidden="1" outlineLevel="1" x14ac:dyDescent="0.3">
      <c r="A345" s="4"/>
      <c r="B345" s="4"/>
      <c r="C345" s="4" t="s">
        <v>905</v>
      </c>
      <c r="D345" s="4"/>
      <c r="E345" s="12"/>
      <c r="F345" s="34"/>
      <c r="G345" s="28"/>
      <c r="H345" s="28"/>
      <c r="I345" s="26"/>
      <c r="J345" s="24"/>
      <c r="K345" s="31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93"/>
      <c r="AX345" s="76"/>
      <c r="AY345" s="76"/>
      <c r="AZ345" s="76"/>
      <c r="BA345" s="76" t="s">
        <v>631</v>
      </c>
      <c r="BB345" s="76"/>
      <c r="BC345" s="76"/>
      <c r="BD345" s="76" t="s">
        <v>631</v>
      </c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9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95"/>
      <c r="DX345" s="90"/>
      <c r="DY345" s="21"/>
      <c r="DZ345" s="21"/>
    </row>
    <row r="346" spans="1:130" hidden="1" outlineLevel="1" x14ac:dyDescent="0.3">
      <c r="A346" s="4"/>
      <c r="B346" s="4"/>
      <c r="C346" s="4" t="s">
        <v>906</v>
      </c>
      <c r="D346" s="4"/>
      <c r="E346" s="12"/>
      <c r="F346" s="34"/>
      <c r="G346" s="28"/>
      <c r="H346" s="28"/>
      <c r="I346" s="26"/>
      <c r="J346" s="24"/>
      <c r="K346" s="31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93"/>
      <c r="AX346" s="76"/>
      <c r="AY346" s="76"/>
      <c r="AZ346" s="76"/>
      <c r="BA346" s="76" t="s">
        <v>631</v>
      </c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9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95"/>
      <c r="DX346" s="90"/>
      <c r="DY346" s="21"/>
      <c r="DZ346" s="21"/>
    </row>
    <row r="347" spans="1:130" hidden="1" outlineLevel="1" x14ac:dyDescent="0.3">
      <c r="A347" s="4"/>
      <c r="B347" s="4"/>
      <c r="C347" s="4" t="s">
        <v>907</v>
      </c>
      <c r="D347" s="4"/>
      <c r="E347" s="12"/>
      <c r="F347" s="34"/>
      <c r="G347" s="28"/>
      <c r="H347" s="28"/>
      <c r="I347" s="26"/>
      <c r="J347" s="24"/>
      <c r="K347" s="31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93"/>
      <c r="AX347" s="76"/>
      <c r="AY347" s="76"/>
      <c r="AZ347" s="76"/>
      <c r="BA347" s="76" t="s">
        <v>631</v>
      </c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 t="s">
        <v>631</v>
      </c>
      <c r="BQ347" s="76"/>
      <c r="BR347" s="76"/>
      <c r="BS347" s="76"/>
      <c r="BT347" s="76" t="s">
        <v>631</v>
      </c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9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95"/>
      <c r="DX347" s="90"/>
      <c r="DY347" s="21"/>
      <c r="DZ347" s="21"/>
    </row>
    <row r="348" spans="1:130" collapsed="1" x14ac:dyDescent="0.3">
      <c r="A348" s="4" t="s">
        <v>126</v>
      </c>
      <c r="B348" s="4" t="s">
        <v>282</v>
      </c>
      <c r="C348" s="91" t="s">
        <v>291</v>
      </c>
      <c r="D348" s="4" t="s">
        <v>292</v>
      </c>
      <c r="E348" s="12">
        <v>17.71</v>
      </c>
      <c r="F348" s="34">
        <f t="shared" si="0"/>
        <v>79429.350000000006</v>
      </c>
      <c r="G348" s="28">
        <f t="shared" si="7"/>
        <v>4485</v>
      </c>
      <c r="H348" s="28">
        <f t="shared" si="1"/>
        <v>374</v>
      </c>
      <c r="I348" s="26">
        <f t="shared" si="2"/>
        <v>44806.3</v>
      </c>
      <c r="J348" s="24">
        <f t="shared" si="3"/>
        <v>2530</v>
      </c>
      <c r="K348" s="31">
        <f t="shared" si="4"/>
        <v>506</v>
      </c>
      <c r="L348" s="9">
        <v>0</v>
      </c>
      <c r="M348" s="9">
        <v>0</v>
      </c>
      <c r="N348" s="9">
        <v>0</v>
      </c>
      <c r="O348" s="9">
        <v>0</v>
      </c>
      <c r="P348" s="9">
        <v>460</v>
      </c>
      <c r="Q348" s="9">
        <v>575</v>
      </c>
      <c r="R348" s="9">
        <v>460</v>
      </c>
      <c r="S348" s="9">
        <v>575</v>
      </c>
      <c r="T348" s="9">
        <v>460</v>
      </c>
      <c r="U348" s="9">
        <v>460</v>
      </c>
      <c r="V348" s="9">
        <v>575</v>
      </c>
      <c r="W348" s="9">
        <v>460</v>
      </c>
      <c r="X348" s="9">
        <v>460</v>
      </c>
      <c r="Y348" s="9">
        <v>575</v>
      </c>
      <c r="Z348" s="9">
        <v>460</v>
      </c>
      <c r="AA348" s="9">
        <v>460</v>
      </c>
      <c r="AB348" s="9">
        <v>575</v>
      </c>
      <c r="AC348" s="9">
        <v>460</v>
      </c>
      <c r="AE348" s="6">
        <v>0</v>
      </c>
      <c r="AF348" s="6">
        <v>0</v>
      </c>
      <c r="AG348" s="6">
        <v>0</v>
      </c>
      <c r="AH348" s="6">
        <v>0</v>
      </c>
      <c r="AI348" s="6">
        <v>7410.5999999999995</v>
      </c>
      <c r="AJ348" s="6">
        <v>9263.25</v>
      </c>
      <c r="AK348" s="6">
        <v>7410.5999999999995</v>
      </c>
      <c r="AL348" s="6">
        <v>9263.25</v>
      </c>
      <c r="AM348" s="6">
        <v>7410.5999999999995</v>
      </c>
      <c r="AN348" s="6">
        <v>7410.5999999999995</v>
      </c>
      <c r="AO348" s="6">
        <v>9263.25</v>
      </c>
      <c r="AP348" s="6">
        <v>7410.5999999999995</v>
      </c>
      <c r="AQ348" s="6">
        <v>7410.5999999999995</v>
      </c>
      <c r="AR348" s="6">
        <v>9263.25</v>
      </c>
      <c r="AS348" s="6">
        <v>7410.5999999999995</v>
      </c>
      <c r="AT348" s="6">
        <v>7410.5999999999995</v>
      </c>
      <c r="AU348" s="6">
        <v>9263.25</v>
      </c>
      <c r="AV348" s="6">
        <v>7410.5999999999995</v>
      </c>
      <c r="AW348" s="93" t="s">
        <v>631</v>
      </c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 t="s">
        <v>631</v>
      </c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 t="s">
        <v>631</v>
      </c>
      <c r="DH348" s="76" t="s">
        <v>631</v>
      </c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95"/>
      <c r="DX348" s="90">
        <f t="shared" si="8"/>
        <v>4</v>
      </c>
      <c r="DY348" s="21"/>
      <c r="DZ348" s="21"/>
    </row>
    <row r="349" spans="1:130" hidden="1" outlineLevel="1" x14ac:dyDescent="0.3">
      <c r="A349" s="4"/>
      <c r="B349" s="4"/>
      <c r="C349" s="4" t="s">
        <v>897</v>
      </c>
      <c r="D349" s="4"/>
      <c r="E349" s="12"/>
      <c r="F349" s="34"/>
      <c r="G349" s="28"/>
      <c r="H349" s="28"/>
      <c r="I349" s="26"/>
      <c r="J349" s="24"/>
      <c r="K349" s="31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93" t="s">
        <v>631</v>
      </c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 t="s">
        <v>631</v>
      </c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95"/>
      <c r="DX349" s="90"/>
      <c r="DY349" s="21"/>
      <c r="DZ349" s="21"/>
    </row>
    <row r="350" spans="1:130" hidden="1" outlineLevel="1" x14ac:dyDescent="0.3">
      <c r="A350" s="4"/>
      <c r="B350" s="4"/>
      <c r="C350" s="4" t="s">
        <v>898</v>
      </c>
      <c r="D350" s="4"/>
      <c r="E350" s="12"/>
      <c r="F350" s="34"/>
      <c r="G350" s="28"/>
      <c r="H350" s="28"/>
      <c r="I350" s="26"/>
      <c r="J350" s="24"/>
      <c r="K350" s="31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93" t="s">
        <v>631</v>
      </c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 t="s">
        <v>631</v>
      </c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95"/>
      <c r="DX350" s="90"/>
      <c r="DY350" s="21"/>
      <c r="DZ350" s="21"/>
    </row>
    <row r="351" spans="1:130" hidden="1" outlineLevel="1" x14ac:dyDescent="0.3">
      <c r="A351" s="4"/>
      <c r="B351" s="4"/>
      <c r="C351" s="4" t="s">
        <v>899</v>
      </c>
      <c r="D351" s="4"/>
      <c r="E351" s="12"/>
      <c r="F351" s="34"/>
      <c r="G351" s="28"/>
      <c r="H351" s="28"/>
      <c r="I351" s="26"/>
      <c r="J351" s="24"/>
      <c r="K351" s="31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93" t="s">
        <v>631</v>
      </c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 t="s">
        <v>631</v>
      </c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95"/>
      <c r="DX351" s="90"/>
      <c r="DY351" s="21"/>
      <c r="DZ351" s="21"/>
    </row>
    <row r="352" spans="1:130" hidden="1" outlineLevel="1" x14ac:dyDescent="0.3">
      <c r="A352" s="4"/>
      <c r="B352" s="4"/>
      <c r="C352" s="4" t="s">
        <v>900</v>
      </c>
      <c r="D352" s="4"/>
      <c r="E352" s="12"/>
      <c r="F352" s="34"/>
      <c r="G352" s="28"/>
      <c r="H352" s="28"/>
      <c r="I352" s="26"/>
      <c r="J352" s="24"/>
      <c r="K352" s="31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93" t="s">
        <v>631</v>
      </c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 t="s">
        <v>631</v>
      </c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95"/>
      <c r="DX352" s="90"/>
      <c r="DY352" s="21"/>
      <c r="DZ352" s="21"/>
    </row>
    <row r="353" spans="1:130" hidden="1" outlineLevel="1" x14ac:dyDescent="0.3">
      <c r="A353" s="4"/>
      <c r="B353" s="4"/>
      <c r="C353" s="4" t="s">
        <v>901</v>
      </c>
      <c r="D353" s="4"/>
      <c r="E353" s="12"/>
      <c r="F353" s="34"/>
      <c r="G353" s="28"/>
      <c r="H353" s="28"/>
      <c r="I353" s="26"/>
      <c r="J353" s="24"/>
      <c r="K353" s="31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93" t="s">
        <v>631</v>
      </c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 t="s">
        <v>631</v>
      </c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95"/>
      <c r="DX353" s="90"/>
      <c r="DY353" s="21"/>
      <c r="DZ353" s="21"/>
    </row>
    <row r="354" spans="1:130" hidden="1" outlineLevel="1" x14ac:dyDescent="0.3">
      <c r="A354" s="4"/>
      <c r="B354" s="4"/>
      <c r="C354" s="4" t="s">
        <v>908</v>
      </c>
      <c r="D354" s="4"/>
      <c r="E354" s="12"/>
      <c r="F354" s="34"/>
      <c r="G354" s="28"/>
      <c r="H354" s="28"/>
      <c r="I354" s="26"/>
      <c r="J354" s="24"/>
      <c r="K354" s="31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93" t="s">
        <v>631</v>
      </c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 t="s">
        <v>631</v>
      </c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95"/>
      <c r="DX354" s="90"/>
      <c r="DY354" s="21"/>
      <c r="DZ354" s="21"/>
    </row>
    <row r="355" spans="1:130" hidden="1" outlineLevel="1" x14ac:dyDescent="0.3">
      <c r="A355" s="4"/>
      <c r="B355" s="4"/>
      <c r="C355" s="4" t="s">
        <v>909</v>
      </c>
      <c r="D355" s="4"/>
      <c r="E355" s="12"/>
      <c r="F355" s="34"/>
      <c r="G355" s="28"/>
      <c r="H355" s="28"/>
      <c r="I355" s="26"/>
      <c r="J355" s="24"/>
      <c r="K355" s="31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93" t="s">
        <v>631</v>
      </c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 t="s">
        <v>631</v>
      </c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95"/>
      <c r="DX355" s="90"/>
      <c r="DY355" s="21"/>
      <c r="DZ355" s="21"/>
    </row>
    <row r="356" spans="1:130" x14ac:dyDescent="0.3">
      <c r="A356" s="4" t="s">
        <v>126</v>
      </c>
      <c r="B356" s="4" t="s">
        <v>298</v>
      </c>
      <c r="C356" s="91" t="s">
        <v>305</v>
      </c>
      <c r="D356" s="4" t="s">
        <v>306</v>
      </c>
      <c r="E356" s="12">
        <v>6.21</v>
      </c>
      <c r="F356" s="34">
        <f t="shared" si="0"/>
        <v>310.5</v>
      </c>
      <c r="G356" s="28">
        <f t="shared" si="7"/>
        <v>50</v>
      </c>
      <c r="H356" s="28">
        <f t="shared" si="1"/>
        <v>5</v>
      </c>
      <c r="I356" s="26">
        <f t="shared" si="2"/>
        <v>0</v>
      </c>
      <c r="J356" s="24">
        <f t="shared" si="3"/>
        <v>0</v>
      </c>
      <c r="K356" s="31">
        <f t="shared" si="4"/>
        <v>0</v>
      </c>
      <c r="L356" s="9">
        <v>0</v>
      </c>
      <c r="M356" s="9">
        <v>50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E356" s="6">
        <v>0</v>
      </c>
      <c r="AF356" s="6">
        <v>310.5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93"/>
      <c r="AX356" s="76"/>
      <c r="AY356" s="76" t="s">
        <v>631</v>
      </c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 t="s">
        <v>631</v>
      </c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 t="s">
        <v>631</v>
      </c>
      <c r="DH356" s="96" t="s">
        <v>631</v>
      </c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95"/>
      <c r="DX356" s="90">
        <f t="shared" si="8"/>
        <v>4</v>
      </c>
      <c r="DY356" s="21"/>
      <c r="DZ356" s="21"/>
    </row>
    <row r="357" spans="1:130" collapsed="1" x14ac:dyDescent="0.3">
      <c r="A357" s="4" t="s">
        <v>126</v>
      </c>
      <c r="B357" s="4" t="s">
        <v>307</v>
      </c>
      <c r="C357" s="91" t="s">
        <v>308</v>
      </c>
      <c r="D357" s="4" t="s">
        <v>309</v>
      </c>
      <c r="E357" s="12">
        <v>9689.93</v>
      </c>
      <c r="F357" s="34">
        <f t="shared" si="0"/>
        <v>4360468.5</v>
      </c>
      <c r="G357" s="28">
        <f t="shared" si="7"/>
        <v>450</v>
      </c>
      <c r="H357" s="28">
        <f t="shared" si="1"/>
        <v>38</v>
      </c>
      <c r="I357" s="26">
        <f t="shared" si="2"/>
        <v>0</v>
      </c>
      <c r="J357" s="24">
        <f t="shared" si="3"/>
        <v>0</v>
      </c>
      <c r="K357" s="31">
        <f t="shared" si="4"/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200</v>
      </c>
      <c r="V357" s="9">
        <v>200</v>
      </c>
      <c r="W357" s="9">
        <v>50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1839943.9999999998</v>
      </c>
      <c r="AO357" s="6">
        <v>1839943.9999999998</v>
      </c>
      <c r="AP357" s="6">
        <v>459985.99999999994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93" t="s">
        <v>631</v>
      </c>
      <c r="AX357" s="76" t="s">
        <v>631</v>
      </c>
      <c r="AY357" s="76" t="s">
        <v>631</v>
      </c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 t="s">
        <v>631</v>
      </c>
      <c r="BK357" s="76"/>
      <c r="BL357" s="76"/>
      <c r="BM357" s="76"/>
      <c r="BN357" s="76"/>
      <c r="BO357" s="76" t="s">
        <v>631</v>
      </c>
      <c r="BP357" s="76" t="s">
        <v>631</v>
      </c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 t="s">
        <v>631</v>
      </c>
      <c r="CX357" s="76"/>
      <c r="CY357" s="76"/>
      <c r="CZ357" s="76"/>
      <c r="DA357" s="76"/>
      <c r="DB357" s="76"/>
      <c r="DC357" s="76"/>
      <c r="DD357" s="76"/>
      <c r="DE357" s="76"/>
      <c r="DF357" s="76"/>
      <c r="DG357" s="76" t="s">
        <v>631</v>
      </c>
      <c r="DH357" s="96" t="s">
        <v>631</v>
      </c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95"/>
      <c r="DX357" s="90">
        <f t="shared" si="8"/>
        <v>9</v>
      </c>
      <c r="DY357" s="21"/>
      <c r="DZ357" s="21"/>
    </row>
    <row r="358" spans="1:130" hidden="1" outlineLevel="1" x14ac:dyDescent="0.3">
      <c r="A358" s="4"/>
      <c r="B358" s="4"/>
      <c r="C358" s="4" t="s">
        <v>910</v>
      </c>
      <c r="D358" s="4"/>
      <c r="E358" s="12"/>
      <c r="F358" s="34"/>
      <c r="G358" s="28"/>
      <c r="H358" s="28"/>
      <c r="I358" s="26"/>
      <c r="J358" s="24"/>
      <c r="K358" s="31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93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 t="s">
        <v>631</v>
      </c>
      <c r="DH358" s="9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95"/>
      <c r="DX358" s="90"/>
      <c r="DY358" s="21"/>
      <c r="DZ358" s="21"/>
    </row>
    <row r="359" spans="1:130" hidden="1" outlineLevel="1" x14ac:dyDescent="0.3">
      <c r="A359" s="4"/>
      <c r="B359" s="4"/>
      <c r="C359" s="4" t="s">
        <v>911</v>
      </c>
      <c r="D359" s="4"/>
      <c r="E359" s="12"/>
      <c r="F359" s="34"/>
      <c r="G359" s="28"/>
      <c r="H359" s="28"/>
      <c r="I359" s="26"/>
      <c r="J359" s="24"/>
      <c r="K359" s="31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93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 t="s">
        <v>631</v>
      </c>
      <c r="DH359" s="9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95"/>
      <c r="DX359" s="90"/>
      <c r="DY359" s="21"/>
      <c r="DZ359" s="21"/>
    </row>
    <row r="360" spans="1:130" hidden="1" outlineLevel="1" x14ac:dyDescent="0.3">
      <c r="A360" s="4"/>
      <c r="B360" s="4"/>
      <c r="C360" s="4" t="s">
        <v>912</v>
      </c>
      <c r="D360" s="4"/>
      <c r="E360" s="12"/>
      <c r="F360" s="34"/>
      <c r="G360" s="28"/>
      <c r="H360" s="28"/>
      <c r="I360" s="26"/>
      <c r="J360" s="24"/>
      <c r="K360" s="31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93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 t="s">
        <v>631</v>
      </c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9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95"/>
      <c r="DX360" s="90"/>
      <c r="DY360" s="21"/>
      <c r="DZ360" s="21"/>
    </row>
    <row r="361" spans="1:130" hidden="1" outlineLevel="1" x14ac:dyDescent="0.3">
      <c r="A361" s="4"/>
      <c r="B361" s="4"/>
      <c r="C361" s="4" t="s">
        <v>913</v>
      </c>
      <c r="D361" s="4"/>
      <c r="E361" s="12"/>
      <c r="F361" s="34"/>
      <c r="G361" s="28"/>
      <c r="H361" s="28"/>
      <c r="I361" s="26"/>
      <c r="J361" s="24"/>
      <c r="K361" s="31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93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 t="s">
        <v>631</v>
      </c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 t="s">
        <v>631</v>
      </c>
      <c r="DH361" s="9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95"/>
      <c r="DX361" s="90"/>
      <c r="DY361" s="21"/>
      <c r="DZ361" s="21"/>
    </row>
    <row r="362" spans="1:130" hidden="1" outlineLevel="1" x14ac:dyDescent="0.3">
      <c r="A362" s="4"/>
      <c r="B362" s="4"/>
      <c r="C362" s="4" t="s">
        <v>914</v>
      </c>
      <c r="D362" s="4"/>
      <c r="E362" s="12"/>
      <c r="F362" s="34"/>
      <c r="G362" s="28"/>
      <c r="H362" s="28"/>
      <c r="I362" s="26"/>
      <c r="J362" s="24"/>
      <c r="K362" s="31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93" t="s">
        <v>631</v>
      </c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 t="s">
        <v>631</v>
      </c>
      <c r="BQ362" s="76"/>
      <c r="BR362" s="76"/>
      <c r="BS362" s="76"/>
      <c r="BT362" s="76"/>
      <c r="BU362" s="76"/>
      <c r="BV362" s="76"/>
      <c r="BW362" s="76"/>
      <c r="BX362" s="76"/>
      <c r="BY362" s="76"/>
      <c r="BZ362" s="76" t="s">
        <v>631</v>
      </c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9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95"/>
      <c r="DX362" s="90"/>
      <c r="DY362" s="21"/>
      <c r="DZ362" s="21"/>
    </row>
    <row r="363" spans="1:130" hidden="1" outlineLevel="1" x14ac:dyDescent="0.3">
      <c r="A363" s="4"/>
      <c r="B363" s="4"/>
      <c r="C363" s="4" t="s">
        <v>915</v>
      </c>
      <c r="D363" s="4"/>
      <c r="E363" s="12"/>
      <c r="F363" s="34"/>
      <c r="G363" s="28"/>
      <c r="H363" s="28"/>
      <c r="I363" s="26"/>
      <c r="J363" s="24"/>
      <c r="K363" s="31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93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 t="s">
        <v>631</v>
      </c>
      <c r="DA363" s="76"/>
      <c r="DB363" s="76"/>
      <c r="DC363" s="76"/>
      <c r="DD363" s="76"/>
      <c r="DE363" s="76"/>
      <c r="DF363" s="76"/>
      <c r="DG363" s="76"/>
      <c r="DH363" s="9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95"/>
      <c r="DX363" s="90"/>
      <c r="DY363" s="21"/>
      <c r="DZ363" s="21"/>
    </row>
    <row r="364" spans="1:130" hidden="1" outlineLevel="1" x14ac:dyDescent="0.3">
      <c r="A364" s="4"/>
      <c r="B364" s="4"/>
      <c r="C364" s="4" t="s">
        <v>916</v>
      </c>
      <c r="D364" s="4"/>
      <c r="E364" s="12"/>
      <c r="F364" s="34"/>
      <c r="G364" s="28"/>
      <c r="H364" s="28"/>
      <c r="I364" s="26"/>
      <c r="J364" s="24"/>
      <c r="K364" s="31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93"/>
      <c r="AX364" s="76" t="s">
        <v>631</v>
      </c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 t="s">
        <v>631</v>
      </c>
      <c r="BR364" s="76"/>
      <c r="BS364" s="76"/>
      <c r="BT364" s="76"/>
      <c r="BU364" s="76"/>
      <c r="BV364" s="76"/>
      <c r="BW364" s="76"/>
      <c r="BX364" s="76"/>
      <c r="BY364" s="76"/>
      <c r="BZ364" s="76" t="s">
        <v>631</v>
      </c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9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95"/>
      <c r="DX364" s="90"/>
      <c r="DY364" s="21"/>
      <c r="DZ364" s="21"/>
    </row>
    <row r="365" spans="1:130" hidden="1" outlineLevel="1" x14ac:dyDescent="0.3">
      <c r="A365" s="4"/>
      <c r="B365" s="4"/>
      <c r="C365" s="4" t="s">
        <v>917</v>
      </c>
      <c r="D365" s="4"/>
      <c r="E365" s="12"/>
      <c r="F365" s="34"/>
      <c r="G365" s="28"/>
      <c r="H365" s="28"/>
      <c r="I365" s="26"/>
      <c r="J365" s="24"/>
      <c r="K365" s="31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93" t="s">
        <v>631</v>
      </c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 t="s">
        <v>631</v>
      </c>
      <c r="BQ365" s="76"/>
      <c r="BR365" s="76"/>
      <c r="BS365" s="76"/>
      <c r="BT365" s="76"/>
      <c r="BU365" s="76"/>
      <c r="BV365" s="76"/>
      <c r="BW365" s="76"/>
      <c r="BX365" s="76"/>
      <c r="BY365" s="76"/>
      <c r="BZ365" s="76" t="s">
        <v>631</v>
      </c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9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95"/>
      <c r="DX365" s="90"/>
      <c r="DY365" s="21"/>
      <c r="DZ365" s="21"/>
    </row>
    <row r="366" spans="1:130" hidden="1" outlineLevel="1" x14ac:dyDescent="0.3">
      <c r="A366" s="4"/>
      <c r="B366" s="4"/>
      <c r="C366" s="4" t="s">
        <v>918</v>
      </c>
      <c r="D366" s="4"/>
      <c r="E366" s="12"/>
      <c r="F366" s="34"/>
      <c r="G366" s="28"/>
      <c r="H366" s="28"/>
      <c r="I366" s="26"/>
      <c r="J366" s="24"/>
      <c r="K366" s="31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93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 t="s">
        <v>631</v>
      </c>
      <c r="DH366" s="9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95"/>
      <c r="DX366" s="90"/>
      <c r="DY366" s="21"/>
      <c r="DZ366" s="21"/>
    </row>
    <row r="367" spans="1:130" hidden="1" outlineLevel="1" x14ac:dyDescent="0.3">
      <c r="A367" s="4"/>
      <c r="B367" s="4"/>
      <c r="C367" s="4" t="s">
        <v>919</v>
      </c>
      <c r="D367" s="4"/>
      <c r="E367" s="12"/>
      <c r="F367" s="34"/>
      <c r="G367" s="28"/>
      <c r="H367" s="28"/>
      <c r="I367" s="26"/>
      <c r="J367" s="24"/>
      <c r="K367" s="31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93" t="s">
        <v>631</v>
      </c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 t="s">
        <v>631</v>
      </c>
      <c r="BQ367" s="76"/>
      <c r="BR367" s="76"/>
      <c r="BS367" s="76"/>
      <c r="BT367" s="76"/>
      <c r="BU367" s="76"/>
      <c r="BV367" s="76"/>
      <c r="BW367" s="76"/>
      <c r="BX367" s="76"/>
      <c r="BY367" s="76"/>
      <c r="BZ367" s="76" t="s">
        <v>631</v>
      </c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9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95"/>
      <c r="DX367" s="90"/>
      <c r="DY367" s="21"/>
      <c r="DZ367" s="21"/>
    </row>
    <row r="368" spans="1:130" hidden="1" outlineLevel="1" x14ac:dyDescent="0.3">
      <c r="A368" s="4"/>
      <c r="B368" s="4"/>
      <c r="C368" s="4" t="s">
        <v>920</v>
      </c>
      <c r="D368" s="4"/>
      <c r="E368" s="12"/>
      <c r="F368" s="34"/>
      <c r="G368" s="28"/>
      <c r="H368" s="28"/>
      <c r="I368" s="26"/>
      <c r="J368" s="24"/>
      <c r="K368" s="31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93" t="s">
        <v>631</v>
      </c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 t="s">
        <v>631</v>
      </c>
      <c r="BQ368" s="76"/>
      <c r="BR368" s="76"/>
      <c r="BS368" s="76"/>
      <c r="BT368" s="76"/>
      <c r="BU368" s="76"/>
      <c r="BV368" s="76"/>
      <c r="BW368" s="76"/>
      <c r="BX368" s="76"/>
      <c r="BY368" s="76"/>
      <c r="BZ368" s="76" t="s">
        <v>631</v>
      </c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9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95"/>
      <c r="DX368" s="90"/>
      <c r="DY368" s="21"/>
      <c r="DZ368" s="21"/>
    </row>
    <row r="369" spans="1:130" hidden="1" outlineLevel="1" x14ac:dyDescent="0.3">
      <c r="A369" s="4"/>
      <c r="B369" s="4"/>
      <c r="C369" s="4" t="s">
        <v>921</v>
      </c>
      <c r="D369" s="4"/>
      <c r="E369" s="12"/>
      <c r="F369" s="34"/>
      <c r="G369" s="28"/>
      <c r="H369" s="28"/>
      <c r="I369" s="26"/>
      <c r="J369" s="24"/>
      <c r="K369" s="31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93" t="s">
        <v>631</v>
      </c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 t="s">
        <v>631</v>
      </c>
      <c r="BQ369" s="76"/>
      <c r="BR369" s="76"/>
      <c r="BS369" s="76"/>
      <c r="BT369" s="76"/>
      <c r="BU369" s="76"/>
      <c r="BV369" s="76"/>
      <c r="BW369" s="76"/>
      <c r="BX369" s="76"/>
      <c r="BY369" s="76"/>
      <c r="BZ369" s="76" t="s">
        <v>631</v>
      </c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 t="s">
        <v>631</v>
      </c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9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95"/>
      <c r="DX369" s="90"/>
      <c r="DY369" s="21"/>
      <c r="DZ369" s="21"/>
    </row>
    <row r="370" spans="1:130" hidden="1" outlineLevel="1" x14ac:dyDescent="0.3">
      <c r="A370" s="4"/>
      <c r="B370" s="4"/>
      <c r="C370" s="4" t="s">
        <v>922</v>
      </c>
      <c r="D370" s="4"/>
      <c r="E370" s="12"/>
      <c r="F370" s="34"/>
      <c r="G370" s="28"/>
      <c r="H370" s="28"/>
      <c r="I370" s="26"/>
      <c r="J370" s="24"/>
      <c r="K370" s="31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93" t="s">
        <v>631</v>
      </c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 t="s">
        <v>631</v>
      </c>
      <c r="BQ370" s="76"/>
      <c r="BR370" s="76"/>
      <c r="BS370" s="76"/>
      <c r="BT370" s="76"/>
      <c r="BU370" s="76"/>
      <c r="BV370" s="76"/>
      <c r="BW370" s="76"/>
      <c r="BX370" s="76"/>
      <c r="BY370" s="76"/>
      <c r="BZ370" s="76" t="s">
        <v>631</v>
      </c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 t="s">
        <v>631</v>
      </c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9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95"/>
      <c r="DX370" s="90"/>
      <c r="DY370" s="21"/>
      <c r="DZ370" s="21"/>
    </row>
    <row r="371" spans="1:130" hidden="1" outlineLevel="1" x14ac:dyDescent="0.3">
      <c r="A371" s="4"/>
      <c r="B371" s="4"/>
      <c r="C371" s="4" t="s">
        <v>923</v>
      </c>
      <c r="D371" s="4"/>
      <c r="E371" s="12"/>
      <c r="F371" s="34"/>
      <c r="G371" s="28"/>
      <c r="H371" s="28"/>
      <c r="I371" s="26"/>
      <c r="J371" s="24"/>
      <c r="K371" s="31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93" t="s">
        <v>631</v>
      </c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 t="s">
        <v>631</v>
      </c>
      <c r="BQ371" s="76"/>
      <c r="BR371" s="76"/>
      <c r="BS371" s="76"/>
      <c r="BT371" s="76"/>
      <c r="BU371" s="76"/>
      <c r="BV371" s="76"/>
      <c r="BW371" s="76"/>
      <c r="BX371" s="76"/>
      <c r="BY371" s="76"/>
      <c r="BZ371" s="76" t="s">
        <v>631</v>
      </c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9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95"/>
      <c r="DX371" s="90"/>
      <c r="DY371" s="21"/>
      <c r="DZ371" s="21"/>
    </row>
    <row r="372" spans="1:130" hidden="1" outlineLevel="1" x14ac:dyDescent="0.3">
      <c r="A372" s="4"/>
      <c r="B372" s="4"/>
      <c r="C372" s="4" t="s">
        <v>924</v>
      </c>
      <c r="D372" s="4"/>
      <c r="E372" s="12"/>
      <c r="F372" s="34"/>
      <c r="G372" s="28"/>
      <c r="H372" s="28"/>
      <c r="I372" s="26"/>
      <c r="J372" s="24"/>
      <c r="K372" s="31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93" t="s">
        <v>631</v>
      </c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 t="s">
        <v>631</v>
      </c>
      <c r="BQ372" s="76"/>
      <c r="BR372" s="76"/>
      <c r="BS372" s="76"/>
      <c r="BT372" s="76"/>
      <c r="BU372" s="76"/>
      <c r="BV372" s="76"/>
      <c r="BW372" s="76"/>
      <c r="BX372" s="76"/>
      <c r="BY372" s="76"/>
      <c r="BZ372" s="76" t="s">
        <v>631</v>
      </c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9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95"/>
      <c r="DX372" s="90"/>
      <c r="DY372" s="21"/>
      <c r="DZ372" s="21"/>
    </row>
    <row r="373" spans="1:130" hidden="1" outlineLevel="1" x14ac:dyDescent="0.3">
      <c r="A373" s="4"/>
      <c r="B373" s="4"/>
      <c r="C373" s="4" t="s">
        <v>925</v>
      </c>
      <c r="D373" s="4"/>
      <c r="E373" s="12"/>
      <c r="F373" s="34"/>
      <c r="G373" s="28"/>
      <c r="H373" s="28"/>
      <c r="I373" s="26"/>
      <c r="J373" s="24"/>
      <c r="K373" s="31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93" t="s">
        <v>631</v>
      </c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 t="s">
        <v>631</v>
      </c>
      <c r="BQ373" s="76"/>
      <c r="BR373" s="76"/>
      <c r="BS373" s="76"/>
      <c r="BT373" s="76"/>
      <c r="BU373" s="76"/>
      <c r="BV373" s="76"/>
      <c r="BW373" s="76"/>
      <c r="BX373" s="76"/>
      <c r="BY373" s="76"/>
      <c r="BZ373" s="76" t="s">
        <v>631</v>
      </c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9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95"/>
      <c r="DX373" s="90"/>
      <c r="DY373" s="21"/>
      <c r="DZ373" s="21"/>
    </row>
    <row r="374" spans="1:130" hidden="1" outlineLevel="1" x14ac:dyDescent="0.3">
      <c r="A374" s="4"/>
      <c r="B374" s="4"/>
      <c r="C374" s="4" t="s">
        <v>926</v>
      </c>
      <c r="D374" s="4"/>
      <c r="E374" s="12"/>
      <c r="F374" s="34"/>
      <c r="G374" s="28"/>
      <c r="H374" s="28"/>
      <c r="I374" s="26"/>
      <c r="J374" s="24"/>
      <c r="K374" s="31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93" t="s">
        <v>631</v>
      </c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 t="s">
        <v>631</v>
      </c>
      <c r="BQ374" s="76"/>
      <c r="BR374" s="76"/>
      <c r="BS374" s="76"/>
      <c r="BT374" s="76"/>
      <c r="BU374" s="76"/>
      <c r="BV374" s="76"/>
      <c r="BW374" s="76"/>
      <c r="BX374" s="76"/>
      <c r="BY374" s="76"/>
      <c r="BZ374" s="76" t="s">
        <v>631</v>
      </c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9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95"/>
      <c r="DX374" s="90"/>
      <c r="DY374" s="21"/>
      <c r="DZ374" s="21"/>
    </row>
    <row r="375" spans="1:130" hidden="1" outlineLevel="1" x14ac:dyDescent="0.3">
      <c r="A375" s="4"/>
      <c r="B375" s="4"/>
      <c r="C375" s="4" t="s">
        <v>927</v>
      </c>
      <c r="D375" s="4"/>
      <c r="E375" s="12"/>
      <c r="F375" s="34"/>
      <c r="G375" s="28"/>
      <c r="H375" s="28"/>
      <c r="I375" s="26"/>
      <c r="J375" s="24"/>
      <c r="K375" s="31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93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 t="s">
        <v>631</v>
      </c>
      <c r="DH375" s="9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95"/>
      <c r="DX375" s="90"/>
      <c r="DY375" s="21"/>
      <c r="DZ375" s="21"/>
    </row>
    <row r="376" spans="1:130" hidden="1" outlineLevel="1" x14ac:dyDescent="0.3">
      <c r="A376" s="4"/>
      <c r="B376" s="4"/>
      <c r="C376" s="4" t="s">
        <v>928</v>
      </c>
      <c r="D376" s="4"/>
      <c r="E376" s="12"/>
      <c r="F376" s="34"/>
      <c r="G376" s="28"/>
      <c r="H376" s="28"/>
      <c r="I376" s="26"/>
      <c r="J376" s="24"/>
      <c r="K376" s="31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93" t="s">
        <v>631</v>
      </c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 t="s">
        <v>631</v>
      </c>
      <c r="BQ376" s="76"/>
      <c r="BR376" s="76"/>
      <c r="BS376" s="76"/>
      <c r="BT376" s="76"/>
      <c r="BU376" s="76"/>
      <c r="BV376" s="76"/>
      <c r="BW376" s="76"/>
      <c r="BX376" s="76"/>
      <c r="BY376" s="76"/>
      <c r="BZ376" s="76" t="s">
        <v>631</v>
      </c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9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95"/>
      <c r="DX376" s="90"/>
      <c r="DY376" s="21"/>
      <c r="DZ376" s="21"/>
    </row>
    <row r="377" spans="1:130" hidden="1" outlineLevel="1" x14ac:dyDescent="0.3">
      <c r="A377" s="4"/>
      <c r="B377" s="4"/>
      <c r="C377" s="4" t="s">
        <v>929</v>
      </c>
      <c r="D377" s="4"/>
      <c r="E377" s="12"/>
      <c r="F377" s="34"/>
      <c r="G377" s="28"/>
      <c r="H377" s="28"/>
      <c r="I377" s="26"/>
      <c r="J377" s="24"/>
      <c r="K377" s="31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93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9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95"/>
      <c r="DX377" s="90"/>
      <c r="DY377" s="21"/>
      <c r="DZ377" s="21"/>
    </row>
    <row r="378" spans="1:130" hidden="1" outlineLevel="1" x14ac:dyDescent="0.3">
      <c r="A378" s="4"/>
      <c r="B378" s="4"/>
      <c r="C378" s="4" t="s">
        <v>930</v>
      </c>
      <c r="D378" s="4"/>
      <c r="E378" s="12"/>
      <c r="F378" s="34"/>
      <c r="G378" s="28"/>
      <c r="H378" s="28"/>
      <c r="I378" s="26"/>
      <c r="J378" s="24"/>
      <c r="K378" s="31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93" t="s">
        <v>631</v>
      </c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 t="s">
        <v>631</v>
      </c>
      <c r="BQ378" s="76"/>
      <c r="BR378" s="76"/>
      <c r="BS378" s="76"/>
      <c r="BT378" s="76"/>
      <c r="BU378" s="76"/>
      <c r="BV378" s="76"/>
      <c r="BW378" s="76"/>
      <c r="BX378" s="76"/>
      <c r="BY378" s="76"/>
      <c r="BZ378" s="76" t="s">
        <v>631</v>
      </c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9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95"/>
      <c r="DX378" s="90"/>
      <c r="DY378" s="21"/>
      <c r="DZ378" s="21"/>
    </row>
    <row r="379" spans="1:130" hidden="1" outlineLevel="1" x14ac:dyDescent="0.3">
      <c r="A379" s="4"/>
      <c r="B379" s="4"/>
      <c r="C379" s="4" t="s">
        <v>931</v>
      </c>
      <c r="D379" s="4"/>
      <c r="E379" s="12"/>
      <c r="F379" s="34"/>
      <c r="G379" s="28"/>
      <c r="H379" s="28"/>
      <c r="I379" s="26"/>
      <c r="J379" s="24"/>
      <c r="K379" s="31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93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 t="s">
        <v>631</v>
      </c>
      <c r="DH379" s="9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95"/>
      <c r="DX379" s="90"/>
      <c r="DY379" s="21"/>
      <c r="DZ379" s="21"/>
    </row>
    <row r="380" spans="1:130" hidden="1" outlineLevel="1" x14ac:dyDescent="0.3">
      <c r="A380" s="4"/>
      <c r="B380" s="4"/>
      <c r="C380" s="4" t="s">
        <v>932</v>
      </c>
      <c r="D380" s="4"/>
      <c r="E380" s="12"/>
      <c r="F380" s="34"/>
      <c r="G380" s="28"/>
      <c r="H380" s="28"/>
      <c r="I380" s="26"/>
      <c r="J380" s="24"/>
      <c r="K380" s="31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93" t="s">
        <v>631</v>
      </c>
      <c r="AX380" s="76"/>
      <c r="AY380" s="76"/>
      <c r="AZ380" s="76"/>
      <c r="BA380" s="76"/>
      <c r="BB380" s="76"/>
      <c r="BC380" s="76"/>
      <c r="BD380" s="76"/>
      <c r="BE380" s="76" t="s">
        <v>631</v>
      </c>
      <c r="BF380" s="76"/>
      <c r="BG380" s="76"/>
      <c r="BH380" s="76"/>
      <c r="BI380" s="76"/>
      <c r="BJ380" s="76"/>
      <c r="BK380" s="76"/>
      <c r="BL380" s="76"/>
      <c r="BM380" s="76"/>
      <c r="BN380" s="76"/>
      <c r="BO380" s="76" t="s">
        <v>631</v>
      </c>
      <c r="BP380" s="76"/>
      <c r="BQ380" s="76" t="s">
        <v>631</v>
      </c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9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95"/>
      <c r="DX380" s="90"/>
      <c r="DY380" s="21"/>
      <c r="DZ380" s="21"/>
    </row>
    <row r="381" spans="1:130" hidden="1" outlineLevel="1" x14ac:dyDescent="0.3">
      <c r="A381" s="4"/>
      <c r="B381" s="4"/>
      <c r="C381" s="4" t="s">
        <v>933</v>
      </c>
      <c r="D381" s="4"/>
      <c r="E381" s="12"/>
      <c r="F381" s="34"/>
      <c r="G381" s="28"/>
      <c r="H381" s="28"/>
      <c r="I381" s="26"/>
      <c r="J381" s="24"/>
      <c r="K381" s="31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93" t="s">
        <v>631</v>
      </c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 t="s">
        <v>631</v>
      </c>
      <c r="BQ381" s="76"/>
      <c r="BR381" s="76"/>
      <c r="BS381" s="76"/>
      <c r="BT381" s="76"/>
      <c r="BU381" s="76"/>
      <c r="BV381" s="76"/>
      <c r="BW381" s="76"/>
      <c r="BX381" s="76"/>
      <c r="BY381" s="76"/>
      <c r="BZ381" s="76" t="s">
        <v>631</v>
      </c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 t="s">
        <v>631</v>
      </c>
      <c r="DH381" s="9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95"/>
      <c r="DX381" s="90"/>
      <c r="DY381" s="21"/>
      <c r="DZ381" s="21"/>
    </row>
    <row r="382" spans="1:130" hidden="1" outlineLevel="1" x14ac:dyDescent="0.3">
      <c r="A382" s="4"/>
      <c r="B382" s="4"/>
      <c r="C382" s="4" t="s">
        <v>934</v>
      </c>
      <c r="D382" s="4"/>
      <c r="E382" s="12"/>
      <c r="F382" s="34"/>
      <c r="G382" s="28"/>
      <c r="H382" s="28"/>
      <c r="I382" s="26"/>
      <c r="J382" s="24"/>
      <c r="K382" s="31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93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 t="s">
        <v>631</v>
      </c>
      <c r="BP382" s="76" t="s">
        <v>631</v>
      </c>
      <c r="BQ382" s="76"/>
      <c r="BR382" s="76"/>
      <c r="BS382" s="76"/>
      <c r="BT382" s="76"/>
      <c r="BU382" s="76"/>
      <c r="BV382" s="76"/>
      <c r="BW382" s="76"/>
      <c r="BX382" s="76"/>
      <c r="BY382" s="76"/>
      <c r="BZ382" s="76" t="s">
        <v>631</v>
      </c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9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95"/>
      <c r="DX382" s="90"/>
      <c r="DY382" s="21"/>
      <c r="DZ382" s="21"/>
    </row>
    <row r="383" spans="1:130" hidden="1" outlineLevel="1" x14ac:dyDescent="0.3">
      <c r="A383" s="4"/>
      <c r="B383" s="4"/>
      <c r="C383" s="4" t="s">
        <v>935</v>
      </c>
      <c r="D383" s="4"/>
      <c r="E383" s="12"/>
      <c r="F383" s="34"/>
      <c r="G383" s="28"/>
      <c r="H383" s="28"/>
      <c r="I383" s="26"/>
      <c r="J383" s="24"/>
      <c r="K383" s="31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93"/>
      <c r="AX383" s="76" t="s">
        <v>631</v>
      </c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 t="s">
        <v>631</v>
      </c>
      <c r="BP383" s="76" t="s">
        <v>631</v>
      </c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9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95"/>
      <c r="DX383" s="90"/>
      <c r="DY383" s="21"/>
      <c r="DZ383" s="21"/>
    </row>
    <row r="384" spans="1:130" hidden="1" outlineLevel="1" x14ac:dyDescent="0.3">
      <c r="A384" s="4"/>
      <c r="B384" s="4"/>
      <c r="C384" s="4" t="s">
        <v>936</v>
      </c>
      <c r="D384" s="4"/>
      <c r="E384" s="12"/>
      <c r="F384" s="34"/>
      <c r="G384" s="28"/>
      <c r="H384" s="28"/>
      <c r="I384" s="26"/>
      <c r="J384" s="24"/>
      <c r="K384" s="31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93" t="s">
        <v>631</v>
      </c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 t="s">
        <v>631</v>
      </c>
      <c r="BQ384" s="76"/>
      <c r="BR384" s="76"/>
      <c r="BS384" s="76"/>
      <c r="BT384" s="76"/>
      <c r="BU384" s="76"/>
      <c r="BV384" s="76"/>
      <c r="BW384" s="76"/>
      <c r="BX384" s="76"/>
      <c r="BY384" s="76"/>
      <c r="BZ384" s="76" t="s">
        <v>631</v>
      </c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9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95"/>
      <c r="DX384" s="90"/>
      <c r="DY384" s="21"/>
      <c r="DZ384" s="21"/>
    </row>
    <row r="385" spans="1:130" hidden="1" outlineLevel="1" x14ac:dyDescent="0.3">
      <c r="A385" s="4"/>
      <c r="B385" s="4"/>
      <c r="C385" s="4" t="s">
        <v>937</v>
      </c>
      <c r="D385" s="4"/>
      <c r="E385" s="12"/>
      <c r="F385" s="34"/>
      <c r="G385" s="28"/>
      <c r="H385" s="28"/>
      <c r="I385" s="26"/>
      <c r="J385" s="24"/>
      <c r="K385" s="31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93"/>
      <c r="AX385" s="76" t="s">
        <v>631</v>
      </c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 t="s">
        <v>631</v>
      </c>
      <c r="BQ385" s="76"/>
      <c r="BR385" s="76"/>
      <c r="BS385" s="76"/>
      <c r="BT385" s="76"/>
      <c r="BU385" s="76"/>
      <c r="BV385" s="76"/>
      <c r="BW385" s="76"/>
      <c r="BX385" s="76"/>
      <c r="BY385" s="76"/>
      <c r="BZ385" s="76" t="s">
        <v>631</v>
      </c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9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95"/>
      <c r="DX385" s="90"/>
      <c r="DY385" s="21"/>
      <c r="DZ385" s="21"/>
    </row>
    <row r="386" spans="1:130" hidden="1" outlineLevel="1" x14ac:dyDescent="0.3">
      <c r="A386" s="4"/>
      <c r="B386" s="4"/>
      <c r="C386" s="4" t="s">
        <v>938</v>
      </c>
      <c r="D386" s="4"/>
      <c r="E386" s="12"/>
      <c r="F386" s="34"/>
      <c r="G386" s="28"/>
      <c r="H386" s="28"/>
      <c r="I386" s="26"/>
      <c r="J386" s="24"/>
      <c r="K386" s="31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93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 t="s">
        <v>631</v>
      </c>
      <c r="DH386" s="9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95"/>
      <c r="DX386" s="90"/>
      <c r="DY386" s="21"/>
      <c r="DZ386" s="21"/>
    </row>
    <row r="387" spans="1:130" hidden="1" outlineLevel="1" x14ac:dyDescent="0.3">
      <c r="A387" s="4"/>
      <c r="B387" s="4"/>
      <c r="C387" s="4" t="s">
        <v>939</v>
      </c>
      <c r="D387" s="4"/>
      <c r="E387" s="12"/>
      <c r="F387" s="34"/>
      <c r="G387" s="28"/>
      <c r="H387" s="28"/>
      <c r="I387" s="26"/>
      <c r="J387" s="24"/>
      <c r="K387" s="31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93"/>
      <c r="AX387" s="76" t="s">
        <v>631</v>
      </c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 t="s">
        <v>631</v>
      </c>
      <c r="BQ387" s="76"/>
      <c r="BR387" s="76"/>
      <c r="BS387" s="76"/>
      <c r="BT387" s="76"/>
      <c r="BU387" s="76"/>
      <c r="BV387" s="76"/>
      <c r="BW387" s="76"/>
      <c r="BX387" s="76"/>
      <c r="BY387" s="76"/>
      <c r="BZ387" s="76" t="s">
        <v>631</v>
      </c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 t="s">
        <v>631</v>
      </c>
      <c r="DH387" s="9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95"/>
      <c r="DX387" s="90"/>
      <c r="DY387" s="21"/>
      <c r="DZ387" s="21"/>
    </row>
    <row r="388" spans="1:130" hidden="1" outlineLevel="1" x14ac:dyDescent="0.3">
      <c r="A388" s="4"/>
      <c r="B388" s="4"/>
      <c r="C388" s="4" t="s">
        <v>940</v>
      </c>
      <c r="D388" s="4"/>
      <c r="E388" s="12"/>
      <c r="F388" s="34"/>
      <c r="G388" s="28"/>
      <c r="H388" s="28"/>
      <c r="I388" s="26"/>
      <c r="J388" s="24"/>
      <c r="K388" s="31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93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 t="s">
        <v>631</v>
      </c>
      <c r="DH388" s="9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95"/>
      <c r="DX388" s="90"/>
      <c r="DY388" s="21"/>
      <c r="DZ388" s="21"/>
    </row>
    <row r="389" spans="1:130" hidden="1" outlineLevel="1" x14ac:dyDescent="0.3">
      <c r="A389" s="4"/>
      <c r="B389" s="4"/>
      <c r="C389" s="4" t="s">
        <v>941</v>
      </c>
      <c r="D389" s="4"/>
      <c r="E389" s="12"/>
      <c r="F389" s="34"/>
      <c r="G389" s="28"/>
      <c r="H389" s="28"/>
      <c r="I389" s="26"/>
      <c r="J389" s="24"/>
      <c r="K389" s="31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93" t="s">
        <v>631</v>
      </c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 t="s">
        <v>631</v>
      </c>
      <c r="BR389" s="76"/>
      <c r="BS389" s="76"/>
      <c r="BT389" s="76"/>
      <c r="BU389" s="76"/>
      <c r="BV389" s="76"/>
      <c r="BW389" s="76"/>
      <c r="BX389" s="76"/>
      <c r="BY389" s="76"/>
      <c r="BZ389" s="76" t="s">
        <v>631</v>
      </c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9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95"/>
      <c r="DX389" s="90"/>
      <c r="DY389" s="21"/>
      <c r="DZ389" s="21"/>
    </row>
    <row r="390" spans="1:130" hidden="1" outlineLevel="1" x14ac:dyDescent="0.3">
      <c r="A390" s="4"/>
      <c r="B390" s="4"/>
      <c r="C390" s="4" t="s">
        <v>942</v>
      </c>
      <c r="D390" s="4"/>
      <c r="E390" s="12"/>
      <c r="F390" s="34"/>
      <c r="G390" s="28"/>
      <c r="H390" s="28"/>
      <c r="I390" s="26"/>
      <c r="J390" s="24"/>
      <c r="K390" s="31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93"/>
      <c r="AX390" s="76" t="s">
        <v>631</v>
      </c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 t="s">
        <v>631</v>
      </c>
      <c r="BQ390" s="76"/>
      <c r="BR390" s="76"/>
      <c r="BS390" s="76"/>
      <c r="BT390" s="76"/>
      <c r="BU390" s="76"/>
      <c r="BV390" s="76"/>
      <c r="BW390" s="76"/>
      <c r="BX390" s="76"/>
      <c r="BY390" s="76"/>
      <c r="BZ390" s="76" t="s">
        <v>631</v>
      </c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 t="s">
        <v>631</v>
      </c>
      <c r="DH390" s="9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95"/>
      <c r="DX390" s="90"/>
      <c r="DY390" s="21"/>
      <c r="DZ390" s="21"/>
    </row>
    <row r="391" spans="1:130" hidden="1" outlineLevel="1" x14ac:dyDescent="0.3">
      <c r="A391" s="4"/>
      <c r="B391" s="4"/>
      <c r="C391" s="4" t="s">
        <v>943</v>
      </c>
      <c r="D391" s="4"/>
      <c r="E391" s="12"/>
      <c r="F391" s="34"/>
      <c r="G391" s="28"/>
      <c r="H391" s="28"/>
      <c r="I391" s="26"/>
      <c r="J391" s="24"/>
      <c r="K391" s="31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93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 t="s">
        <v>631</v>
      </c>
      <c r="DH391" s="9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95"/>
      <c r="DX391" s="90"/>
      <c r="DY391" s="21"/>
      <c r="DZ391" s="21"/>
    </row>
    <row r="392" spans="1:130" hidden="1" outlineLevel="1" x14ac:dyDescent="0.3">
      <c r="A392" s="4"/>
      <c r="B392" s="4"/>
      <c r="C392" s="4" t="s">
        <v>944</v>
      </c>
      <c r="D392" s="4"/>
      <c r="E392" s="12"/>
      <c r="F392" s="34"/>
      <c r="G392" s="28"/>
      <c r="H392" s="28"/>
      <c r="I392" s="26"/>
      <c r="J392" s="24"/>
      <c r="K392" s="31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93"/>
      <c r="AX392" s="76"/>
      <c r="AY392" s="76" t="s">
        <v>631</v>
      </c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 t="s">
        <v>631</v>
      </c>
      <c r="BQ392" s="76"/>
      <c r="BR392" s="76" t="s">
        <v>631</v>
      </c>
      <c r="BS392" s="76"/>
      <c r="BT392" s="76"/>
      <c r="BU392" s="76"/>
      <c r="BV392" s="76"/>
      <c r="BW392" s="76"/>
      <c r="BX392" s="76"/>
      <c r="BY392" s="76"/>
      <c r="BZ392" s="76" t="s">
        <v>631</v>
      </c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 t="s">
        <v>631</v>
      </c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9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95"/>
      <c r="DX392" s="90"/>
      <c r="DY392" s="21"/>
      <c r="DZ392" s="21"/>
    </row>
    <row r="393" spans="1:130" hidden="1" outlineLevel="1" x14ac:dyDescent="0.3">
      <c r="A393" s="4"/>
      <c r="B393" s="4"/>
      <c r="C393" s="4" t="s">
        <v>945</v>
      </c>
      <c r="D393" s="4"/>
      <c r="E393" s="12"/>
      <c r="F393" s="34"/>
      <c r="G393" s="28"/>
      <c r="H393" s="28"/>
      <c r="I393" s="26"/>
      <c r="J393" s="24"/>
      <c r="K393" s="31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93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 t="s">
        <v>631</v>
      </c>
      <c r="DH393" s="9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95"/>
      <c r="DX393" s="90"/>
      <c r="DY393" s="21"/>
      <c r="DZ393" s="21"/>
    </row>
    <row r="394" spans="1:130" hidden="1" outlineLevel="1" x14ac:dyDescent="0.3">
      <c r="A394" s="4"/>
      <c r="B394" s="4"/>
      <c r="C394" s="4" t="s">
        <v>946</v>
      </c>
      <c r="D394" s="4"/>
      <c r="E394" s="12"/>
      <c r="F394" s="34"/>
      <c r="G394" s="28"/>
      <c r="H394" s="28"/>
      <c r="I394" s="26"/>
      <c r="J394" s="24"/>
      <c r="K394" s="31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93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 t="s">
        <v>631</v>
      </c>
      <c r="DH394" s="9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95"/>
      <c r="DX394" s="90"/>
      <c r="DY394" s="21"/>
      <c r="DZ394" s="21"/>
    </row>
    <row r="395" spans="1:130" hidden="1" outlineLevel="1" x14ac:dyDescent="0.3">
      <c r="A395" s="4"/>
      <c r="B395" s="4"/>
      <c r="C395" s="4" t="s">
        <v>947</v>
      </c>
      <c r="D395" s="4"/>
      <c r="E395" s="12"/>
      <c r="F395" s="34"/>
      <c r="G395" s="28"/>
      <c r="H395" s="28"/>
      <c r="I395" s="26"/>
      <c r="J395" s="24"/>
      <c r="K395" s="31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93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 t="s">
        <v>631</v>
      </c>
      <c r="DH395" s="9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95"/>
      <c r="DX395" s="90"/>
      <c r="DY395" s="21"/>
      <c r="DZ395" s="21"/>
    </row>
    <row r="396" spans="1:130" hidden="1" outlineLevel="1" x14ac:dyDescent="0.3">
      <c r="A396" s="4"/>
      <c r="B396" s="4"/>
      <c r="C396" s="4" t="s">
        <v>948</v>
      </c>
      <c r="D396" s="4"/>
      <c r="E396" s="12"/>
      <c r="F396" s="34"/>
      <c r="G396" s="28"/>
      <c r="H396" s="28"/>
      <c r="I396" s="26"/>
      <c r="J396" s="24"/>
      <c r="K396" s="31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93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 t="s">
        <v>631</v>
      </c>
      <c r="DH396" s="9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95"/>
      <c r="DX396" s="90"/>
      <c r="DY396" s="21"/>
      <c r="DZ396" s="21"/>
    </row>
    <row r="397" spans="1:130" hidden="1" outlineLevel="1" x14ac:dyDescent="0.3">
      <c r="A397" s="4"/>
      <c r="B397" s="4"/>
      <c r="C397" s="4" t="s">
        <v>949</v>
      </c>
      <c r="D397" s="4"/>
      <c r="E397" s="12"/>
      <c r="F397" s="34"/>
      <c r="G397" s="28"/>
      <c r="H397" s="28"/>
      <c r="I397" s="26"/>
      <c r="J397" s="24"/>
      <c r="K397" s="31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93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 t="s">
        <v>631</v>
      </c>
      <c r="DH397" s="9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95"/>
      <c r="DX397" s="90"/>
      <c r="DY397" s="21"/>
      <c r="DZ397" s="21"/>
    </row>
    <row r="398" spans="1:130" hidden="1" outlineLevel="1" x14ac:dyDescent="0.3">
      <c r="A398" s="4"/>
      <c r="B398" s="4"/>
      <c r="C398" s="4" t="s">
        <v>950</v>
      </c>
      <c r="D398" s="4"/>
      <c r="E398" s="12"/>
      <c r="F398" s="34"/>
      <c r="G398" s="28"/>
      <c r="H398" s="28"/>
      <c r="I398" s="26"/>
      <c r="J398" s="24"/>
      <c r="K398" s="31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93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 t="s">
        <v>631</v>
      </c>
      <c r="DH398" s="9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95"/>
      <c r="DX398" s="90"/>
      <c r="DY398" s="21"/>
      <c r="DZ398" s="21"/>
    </row>
    <row r="399" spans="1:130" hidden="1" outlineLevel="1" x14ac:dyDescent="0.3">
      <c r="A399" s="4"/>
      <c r="B399" s="4"/>
      <c r="C399" s="4" t="s">
        <v>951</v>
      </c>
      <c r="D399" s="4"/>
      <c r="E399" s="12"/>
      <c r="F399" s="34"/>
      <c r="G399" s="28"/>
      <c r="H399" s="28"/>
      <c r="I399" s="26"/>
      <c r="J399" s="24"/>
      <c r="K399" s="31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93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 t="s">
        <v>631</v>
      </c>
      <c r="DH399" s="9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95"/>
      <c r="DX399" s="90"/>
      <c r="DY399" s="21"/>
      <c r="DZ399" s="21"/>
    </row>
    <row r="400" spans="1:130" hidden="1" outlineLevel="1" x14ac:dyDescent="0.3">
      <c r="A400" s="4"/>
      <c r="B400" s="4"/>
      <c r="C400" s="4" t="s">
        <v>952</v>
      </c>
      <c r="D400" s="4"/>
      <c r="E400" s="12"/>
      <c r="F400" s="34"/>
      <c r="G400" s="28"/>
      <c r="H400" s="28"/>
      <c r="I400" s="26"/>
      <c r="J400" s="24"/>
      <c r="K400" s="31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93" t="s">
        <v>631</v>
      </c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 t="s">
        <v>631</v>
      </c>
      <c r="BQ400" s="76"/>
      <c r="BR400" s="76"/>
      <c r="BS400" s="76"/>
      <c r="BT400" s="76"/>
      <c r="BU400" s="76"/>
      <c r="BV400" s="76"/>
      <c r="BW400" s="76"/>
      <c r="BX400" s="76"/>
      <c r="BY400" s="76"/>
      <c r="BZ400" s="76" t="s">
        <v>631</v>
      </c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9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95"/>
      <c r="DX400" s="90"/>
      <c r="DY400" s="21"/>
      <c r="DZ400" s="21"/>
    </row>
    <row r="401" spans="1:130" hidden="1" outlineLevel="1" x14ac:dyDescent="0.3">
      <c r="A401" s="4"/>
      <c r="B401" s="4"/>
      <c r="C401" s="4" t="s">
        <v>953</v>
      </c>
      <c r="D401" s="4"/>
      <c r="E401" s="12"/>
      <c r="F401" s="34"/>
      <c r="G401" s="28"/>
      <c r="H401" s="28"/>
      <c r="I401" s="26"/>
      <c r="J401" s="24"/>
      <c r="K401" s="31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93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 t="s">
        <v>631</v>
      </c>
      <c r="DH401" s="9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95"/>
      <c r="DX401" s="90"/>
      <c r="DY401" s="21"/>
      <c r="DZ401" s="21"/>
    </row>
    <row r="402" spans="1:130" hidden="1" outlineLevel="1" x14ac:dyDescent="0.3">
      <c r="A402" s="4"/>
      <c r="B402" s="4"/>
      <c r="C402" s="4" t="s">
        <v>954</v>
      </c>
      <c r="D402" s="4"/>
      <c r="E402" s="12"/>
      <c r="F402" s="34"/>
      <c r="G402" s="28"/>
      <c r="H402" s="28"/>
      <c r="I402" s="26"/>
      <c r="J402" s="24"/>
      <c r="K402" s="31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93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 t="s">
        <v>631</v>
      </c>
      <c r="DH402" s="9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95"/>
      <c r="DX402" s="90"/>
      <c r="DY402" s="21"/>
      <c r="DZ402" s="21"/>
    </row>
    <row r="403" spans="1:130" hidden="1" outlineLevel="1" x14ac:dyDescent="0.3">
      <c r="A403" s="4"/>
      <c r="B403" s="4"/>
      <c r="C403" s="4" t="s">
        <v>955</v>
      </c>
      <c r="D403" s="4"/>
      <c r="E403" s="12"/>
      <c r="F403" s="34"/>
      <c r="G403" s="28"/>
      <c r="H403" s="28"/>
      <c r="I403" s="26"/>
      <c r="J403" s="24"/>
      <c r="K403" s="31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93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 t="s">
        <v>631</v>
      </c>
      <c r="DH403" s="9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95"/>
      <c r="DX403" s="90"/>
      <c r="DY403" s="21"/>
      <c r="DZ403" s="21"/>
    </row>
    <row r="404" spans="1:130" hidden="1" outlineLevel="1" x14ac:dyDescent="0.3">
      <c r="A404" s="4"/>
      <c r="B404" s="4"/>
      <c r="C404" s="4" t="s">
        <v>956</v>
      </c>
      <c r="D404" s="4"/>
      <c r="E404" s="12"/>
      <c r="F404" s="34"/>
      <c r="G404" s="28"/>
      <c r="H404" s="28"/>
      <c r="I404" s="26"/>
      <c r="J404" s="24"/>
      <c r="K404" s="31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93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 t="s">
        <v>631</v>
      </c>
      <c r="DH404" s="9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95"/>
      <c r="DX404" s="90"/>
      <c r="DY404" s="21"/>
      <c r="DZ404" s="21"/>
    </row>
    <row r="405" spans="1:130" hidden="1" outlineLevel="1" x14ac:dyDescent="0.3">
      <c r="A405" s="4"/>
      <c r="B405" s="4"/>
      <c r="C405" s="4" t="s">
        <v>957</v>
      </c>
      <c r="D405" s="4"/>
      <c r="E405" s="12"/>
      <c r="F405" s="34"/>
      <c r="G405" s="28"/>
      <c r="H405" s="28"/>
      <c r="I405" s="26"/>
      <c r="J405" s="24"/>
      <c r="K405" s="31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93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 t="s">
        <v>631</v>
      </c>
      <c r="DA405" s="76"/>
      <c r="DB405" s="76"/>
      <c r="DC405" s="76"/>
      <c r="DD405" s="76"/>
      <c r="DE405" s="76"/>
      <c r="DF405" s="76"/>
      <c r="DG405" s="76"/>
      <c r="DH405" s="9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95"/>
      <c r="DX405" s="90"/>
      <c r="DY405" s="21"/>
      <c r="DZ405" s="21"/>
    </row>
    <row r="406" spans="1:130" hidden="1" outlineLevel="1" x14ac:dyDescent="0.3">
      <c r="A406" s="4"/>
      <c r="B406" s="4"/>
      <c r="C406" s="4" t="s">
        <v>958</v>
      </c>
      <c r="D406" s="4"/>
      <c r="E406" s="12"/>
      <c r="F406" s="34"/>
      <c r="G406" s="28"/>
      <c r="H406" s="28"/>
      <c r="I406" s="26"/>
      <c r="J406" s="24"/>
      <c r="K406" s="31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93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 t="s">
        <v>631</v>
      </c>
      <c r="DH406" s="9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95"/>
      <c r="DX406" s="90"/>
      <c r="DY406" s="21"/>
      <c r="DZ406" s="21"/>
    </row>
    <row r="407" spans="1:130" hidden="1" outlineLevel="1" x14ac:dyDescent="0.3">
      <c r="A407" s="4"/>
      <c r="B407" s="4"/>
      <c r="C407" s="4" t="s">
        <v>959</v>
      </c>
      <c r="D407" s="4"/>
      <c r="E407" s="12"/>
      <c r="F407" s="34"/>
      <c r="G407" s="28"/>
      <c r="H407" s="28"/>
      <c r="I407" s="26"/>
      <c r="J407" s="24"/>
      <c r="K407" s="31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93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 t="s">
        <v>631</v>
      </c>
      <c r="DH407" s="9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95"/>
      <c r="DX407" s="90"/>
      <c r="DY407" s="21"/>
      <c r="DZ407" s="21"/>
    </row>
    <row r="408" spans="1:130" hidden="1" outlineLevel="1" x14ac:dyDescent="0.3">
      <c r="A408" s="4"/>
      <c r="B408" s="4"/>
      <c r="C408" s="4" t="s">
        <v>960</v>
      </c>
      <c r="D408" s="4"/>
      <c r="E408" s="12"/>
      <c r="F408" s="34"/>
      <c r="G408" s="28"/>
      <c r="H408" s="28"/>
      <c r="I408" s="26"/>
      <c r="J408" s="24"/>
      <c r="K408" s="31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93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 t="s">
        <v>631</v>
      </c>
      <c r="DH408" s="9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95"/>
      <c r="DX408" s="90"/>
      <c r="DY408" s="21"/>
      <c r="DZ408" s="21"/>
    </row>
    <row r="409" spans="1:130" hidden="1" outlineLevel="1" x14ac:dyDescent="0.3">
      <c r="A409" s="4"/>
      <c r="B409" s="4"/>
      <c r="C409" s="4" t="s">
        <v>961</v>
      </c>
      <c r="D409" s="4"/>
      <c r="E409" s="12"/>
      <c r="F409" s="34"/>
      <c r="G409" s="28"/>
      <c r="H409" s="28"/>
      <c r="I409" s="26"/>
      <c r="J409" s="24"/>
      <c r="K409" s="31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93" t="s">
        <v>631</v>
      </c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 t="s">
        <v>631</v>
      </c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 t="s">
        <v>631</v>
      </c>
      <c r="DH409" s="9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95"/>
      <c r="DX409" s="90"/>
      <c r="DY409" s="21"/>
      <c r="DZ409" s="21"/>
    </row>
    <row r="410" spans="1:130" hidden="1" outlineLevel="1" x14ac:dyDescent="0.3">
      <c r="A410" s="4"/>
      <c r="B410" s="4"/>
      <c r="C410" s="4" t="s">
        <v>962</v>
      </c>
      <c r="D410" s="4"/>
      <c r="E410" s="12"/>
      <c r="F410" s="34"/>
      <c r="G410" s="28"/>
      <c r="H410" s="28"/>
      <c r="I410" s="26"/>
      <c r="J410" s="24"/>
      <c r="K410" s="31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93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 t="s">
        <v>631</v>
      </c>
      <c r="DA410" s="76"/>
      <c r="DB410" s="76"/>
      <c r="DC410" s="76"/>
      <c r="DD410" s="76"/>
      <c r="DE410" s="76"/>
      <c r="DF410" s="76"/>
      <c r="DG410" s="76"/>
      <c r="DH410" s="9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95"/>
      <c r="DX410" s="90"/>
      <c r="DY410" s="21"/>
      <c r="DZ410" s="21"/>
    </row>
    <row r="411" spans="1:130" hidden="1" outlineLevel="1" x14ac:dyDescent="0.3">
      <c r="A411" s="4"/>
      <c r="B411" s="4"/>
      <c r="C411" s="4" t="s">
        <v>963</v>
      </c>
      <c r="D411" s="4"/>
      <c r="E411" s="12"/>
      <c r="F411" s="34"/>
      <c r="G411" s="28"/>
      <c r="H411" s="28"/>
      <c r="I411" s="26"/>
      <c r="J411" s="24"/>
      <c r="K411" s="31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93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 t="s">
        <v>631</v>
      </c>
      <c r="DH411" s="9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95"/>
      <c r="DX411" s="90"/>
      <c r="DY411" s="21"/>
      <c r="DZ411" s="21"/>
    </row>
    <row r="412" spans="1:130" hidden="1" outlineLevel="1" x14ac:dyDescent="0.3">
      <c r="A412" s="4"/>
      <c r="B412" s="4"/>
      <c r="C412" s="4" t="s">
        <v>964</v>
      </c>
      <c r="D412" s="4"/>
      <c r="E412" s="12"/>
      <c r="F412" s="34"/>
      <c r="G412" s="28"/>
      <c r="H412" s="28"/>
      <c r="I412" s="26"/>
      <c r="J412" s="24"/>
      <c r="K412" s="31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93" t="s">
        <v>631</v>
      </c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 t="s">
        <v>631</v>
      </c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 t="s">
        <v>631</v>
      </c>
      <c r="DH412" s="9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95"/>
      <c r="DX412" s="90"/>
      <c r="DY412" s="21"/>
      <c r="DZ412" s="21"/>
    </row>
    <row r="413" spans="1:130" hidden="1" outlineLevel="1" x14ac:dyDescent="0.3">
      <c r="A413" s="4"/>
      <c r="B413" s="4"/>
      <c r="C413" s="4" t="s">
        <v>965</v>
      </c>
      <c r="D413" s="4"/>
      <c r="E413" s="12"/>
      <c r="F413" s="34"/>
      <c r="G413" s="28"/>
      <c r="H413" s="28"/>
      <c r="I413" s="26"/>
      <c r="J413" s="24"/>
      <c r="K413" s="31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93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 t="s">
        <v>631</v>
      </c>
      <c r="DH413" s="9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95"/>
      <c r="DX413" s="90"/>
      <c r="DY413" s="21"/>
      <c r="DZ413" s="21"/>
    </row>
    <row r="414" spans="1:130" hidden="1" outlineLevel="1" x14ac:dyDescent="0.3">
      <c r="A414" s="4"/>
      <c r="B414" s="4"/>
      <c r="C414" s="4" t="s">
        <v>966</v>
      </c>
      <c r="D414" s="4"/>
      <c r="E414" s="12"/>
      <c r="F414" s="34"/>
      <c r="G414" s="28"/>
      <c r="H414" s="28"/>
      <c r="I414" s="26"/>
      <c r="J414" s="24"/>
      <c r="K414" s="31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93"/>
      <c r="AX414" s="76" t="s">
        <v>631</v>
      </c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 t="s">
        <v>631</v>
      </c>
      <c r="BP414" s="76" t="s">
        <v>631</v>
      </c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9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95"/>
      <c r="DX414" s="90"/>
      <c r="DY414" s="21"/>
      <c r="DZ414" s="21"/>
    </row>
    <row r="415" spans="1:130" hidden="1" outlineLevel="1" x14ac:dyDescent="0.3">
      <c r="A415" s="4"/>
      <c r="B415" s="4"/>
      <c r="C415" s="4" t="s">
        <v>967</v>
      </c>
      <c r="D415" s="4"/>
      <c r="E415" s="12"/>
      <c r="F415" s="34"/>
      <c r="G415" s="28"/>
      <c r="H415" s="28"/>
      <c r="I415" s="26"/>
      <c r="J415" s="24"/>
      <c r="K415" s="31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93" t="s">
        <v>631</v>
      </c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 t="s">
        <v>631</v>
      </c>
      <c r="BQ415" s="76"/>
      <c r="BR415" s="76"/>
      <c r="BS415" s="76"/>
      <c r="BT415" s="76"/>
      <c r="BU415" s="76"/>
      <c r="BV415" s="76"/>
      <c r="BW415" s="76"/>
      <c r="BX415" s="76"/>
      <c r="BY415" s="76"/>
      <c r="BZ415" s="76" t="s">
        <v>631</v>
      </c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9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95"/>
      <c r="DX415" s="90"/>
      <c r="DY415" s="21"/>
      <c r="DZ415" s="21"/>
    </row>
    <row r="416" spans="1:130" hidden="1" outlineLevel="1" x14ac:dyDescent="0.3">
      <c r="A416" s="4"/>
      <c r="B416" s="4"/>
      <c r="C416" s="4" t="s">
        <v>968</v>
      </c>
      <c r="D416" s="4"/>
      <c r="E416" s="12"/>
      <c r="F416" s="34"/>
      <c r="G416" s="28"/>
      <c r="H416" s="28"/>
      <c r="I416" s="26"/>
      <c r="J416" s="24"/>
      <c r="K416" s="31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93" t="s">
        <v>631</v>
      </c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 t="s">
        <v>631</v>
      </c>
      <c r="BQ416" s="76"/>
      <c r="BR416" s="76"/>
      <c r="BS416" s="76"/>
      <c r="BT416" s="76"/>
      <c r="BU416" s="76"/>
      <c r="BV416" s="76"/>
      <c r="BW416" s="76"/>
      <c r="BX416" s="76"/>
      <c r="BY416" s="76"/>
      <c r="BZ416" s="76" t="s">
        <v>631</v>
      </c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9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95"/>
      <c r="DX416" s="90"/>
      <c r="DY416" s="21"/>
      <c r="DZ416" s="21"/>
    </row>
    <row r="417" spans="1:130" hidden="1" outlineLevel="1" x14ac:dyDescent="0.3">
      <c r="A417" s="4"/>
      <c r="B417" s="4"/>
      <c r="C417" s="4" t="s">
        <v>308</v>
      </c>
      <c r="D417" s="4"/>
      <c r="E417" s="12"/>
      <c r="F417" s="34"/>
      <c r="G417" s="28"/>
      <c r="H417" s="28"/>
      <c r="I417" s="26"/>
      <c r="J417" s="24"/>
      <c r="K417" s="31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93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 t="s">
        <v>631</v>
      </c>
      <c r="DH417" s="9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95"/>
      <c r="DX417" s="90"/>
      <c r="DY417" s="21"/>
      <c r="DZ417" s="21"/>
    </row>
    <row r="418" spans="1:130" hidden="1" outlineLevel="1" x14ac:dyDescent="0.3">
      <c r="A418" s="4"/>
      <c r="B418" s="4"/>
      <c r="C418" s="4" t="s">
        <v>969</v>
      </c>
      <c r="D418" s="4"/>
      <c r="E418" s="12"/>
      <c r="F418" s="34"/>
      <c r="G418" s="28"/>
      <c r="H418" s="28"/>
      <c r="I418" s="26"/>
      <c r="J418" s="24"/>
      <c r="K418" s="31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93"/>
      <c r="AX418" s="76"/>
      <c r="AY418" s="76" t="s">
        <v>631</v>
      </c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 t="s">
        <v>631</v>
      </c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9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95"/>
      <c r="DX418" s="90"/>
      <c r="DY418" s="21"/>
      <c r="DZ418" s="21"/>
    </row>
    <row r="419" spans="1:130" hidden="1" outlineLevel="1" x14ac:dyDescent="0.3">
      <c r="A419" s="4"/>
      <c r="B419" s="4"/>
      <c r="C419" s="4" t="s">
        <v>970</v>
      </c>
      <c r="D419" s="4"/>
      <c r="E419" s="12"/>
      <c r="F419" s="34"/>
      <c r="G419" s="28"/>
      <c r="H419" s="28"/>
      <c r="I419" s="26"/>
      <c r="J419" s="24"/>
      <c r="K419" s="31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93"/>
      <c r="AX419" s="76"/>
      <c r="AY419" s="76" t="s">
        <v>631</v>
      </c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 t="s">
        <v>631</v>
      </c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9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95"/>
      <c r="DX419" s="90"/>
      <c r="DY419" s="21"/>
      <c r="DZ419" s="21"/>
    </row>
    <row r="420" spans="1:130" hidden="1" outlineLevel="1" x14ac:dyDescent="0.3">
      <c r="A420" s="4"/>
      <c r="B420" s="4"/>
      <c r="C420" s="4" t="s">
        <v>971</v>
      </c>
      <c r="D420" s="4"/>
      <c r="E420" s="12"/>
      <c r="F420" s="34"/>
      <c r="G420" s="28"/>
      <c r="H420" s="28"/>
      <c r="I420" s="26"/>
      <c r="J420" s="24"/>
      <c r="K420" s="31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93"/>
      <c r="AX420" s="76"/>
      <c r="AY420" s="76" t="s">
        <v>631</v>
      </c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 t="s">
        <v>631</v>
      </c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9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95"/>
      <c r="DX420" s="90"/>
      <c r="DY420" s="21"/>
      <c r="DZ420" s="21"/>
    </row>
    <row r="421" spans="1:130" hidden="1" outlineLevel="1" x14ac:dyDescent="0.3">
      <c r="A421" s="4"/>
      <c r="B421" s="4"/>
      <c r="C421" s="4" t="s">
        <v>972</v>
      </c>
      <c r="D421" s="4"/>
      <c r="E421" s="12"/>
      <c r="F421" s="34"/>
      <c r="G421" s="28"/>
      <c r="H421" s="28"/>
      <c r="I421" s="26"/>
      <c r="J421" s="24"/>
      <c r="K421" s="31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93"/>
      <c r="AX421" s="76"/>
      <c r="AY421" s="76"/>
      <c r="AZ421" s="76"/>
      <c r="BA421" s="76"/>
      <c r="BB421" s="76" t="s">
        <v>631</v>
      </c>
      <c r="BC421" s="76"/>
      <c r="BD421" s="76" t="s">
        <v>631</v>
      </c>
      <c r="BE421" s="76"/>
      <c r="BF421" s="76"/>
      <c r="BG421" s="76" t="s">
        <v>631</v>
      </c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9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95"/>
      <c r="DX421" s="90"/>
      <c r="DY421" s="21"/>
      <c r="DZ421" s="21"/>
    </row>
    <row r="422" spans="1:130" hidden="1" outlineLevel="1" x14ac:dyDescent="0.3">
      <c r="A422" s="4"/>
      <c r="B422" s="4"/>
      <c r="C422" s="4" t="s">
        <v>973</v>
      </c>
      <c r="D422" s="4"/>
      <c r="E422" s="12"/>
      <c r="F422" s="34"/>
      <c r="G422" s="28"/>
      <c r="H422" s="28"/>
      <c r="I422" s="26"/>
      <c r="J422" s="24"/>
      <c r="K422" s="31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93" t="s">
        <v>631</v>
      </c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 t="s">
        <v>631</v>
      </c>
      <c r="BQ422" s="76"/>
      <c r="BR422" s="76"/>
      <c r="BS422" s="76"/>
      <c r="BT422" s="76" t="s">
        <v>631</v>
      </c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9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95"/>
      <c r="DX422" s="90"/>
      <c r="DY422" s="21"/>
      <c r="DZ422" s="21"/>
    </row>
    <row r="423" spans="1:130" hidden="1" outlineLevel="1" x14ac:dyDescent="0.3">
      <c r="A423" s="4"/>
      <c r="B423" s="4"/>
      <c r="C423" s="4" t="s">
        <v>974</v>
      </c>
      <c r="D423" s="4"/>
      <c r="E423" s="12"/>
      <c r="F423" s="34"/>
      <c r="G423" s="28"/>
      <c r="H423" s="28"/>
      <c r="I423" s="26"/>
      <c r="J423" s="24"/>
      <c r="K423" s="31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93" t="s">
        <v>631</v>
      </c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 t="s">
        <v>631</v>
      </c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9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95"/>
      <c r="DX423" s="90"/>
      <c r="DY423" s="21"/>
      <c r="DZ423" s="21"/>
    </row>
    <row r="424" spans="1:130" hidden="1" outlineLevel="1" x14ac:dyDescent="0.3">
      <c r="A424" s="4"/>
      <c r="B424" s="4"/>
      <c r="C424" s="4" t="s">
        <v>975</v>
      </c>
      <c r="D424" s="4"/>
      <c r="E424" s="12"/>
      <c r="F424" s="34"/>
      <c r="G424" s="28"/>
      <c r="H424" s="28"/>
      <c r="I424" s="26"/>
      <c r="J424" s="24"/>
      <c r="K424" s="31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93"/>
      <c r="AX424" s="76"/>
      <c r="AY424" s="76"/>
      <c r="AZ424" s="76"/>
      <c r="BA424" s="76" t="s">
        <v>631</v>
      </c>
      <c r="BB424" s="76"/>
      <c r="BC424" s="76"/>
      <c r="BD424" s="76" t="s">
        <v>631</v>
      </c>
      <c r="BE424" s="76"/>
      <c r="BF424" s="76"/>
      <c r="BG424" s="76" t="s">
        <v>631</v>
      </c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9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95"/>
      <c r="DX424" s="90"/>
      <c r="DY424" s="21"/>
      <c r="DZ424" s="21"/>
    </row>
    <row r="425" spans="1:130" hidden="1" outlineLevel="1" x14ac:dyDescent="0.3">
      <c r="A425" s="4"/>
      <c r="B425" s="4"/>
      <c r="C425" s="4" t="s">
        <v>976</v>
      </c>
      <c r="D425" s="4"/>
      <c r="E425" s="12"/>
      <c r="F425" s="34"/>
      <c r="G425" s="28"/>
      <c r="H425" s="28"/>
      <c r="I425" s="26"/>
      <c r="J425" s="24"/>
      <c r="K425" s="31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93"/>
      <c r="AX425" s="76"/>
      <c r="AY425" s="76"/>
      <c r="AZ425" s="76"/>
      <c r="BA425" s="76" t="s">
        <v>631</v>
      </c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9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95"/>
      <c r="DX425" s="90"/>
      <c r="DY425" s="21"/>
      <c r="DZ425" s="21"/>
    </row>
    <row r="426" spans="1:130" hidden="1" outlineLevel="1" x14ac:dyDescent="0.3">
      <c r="A426" s="4"/>
      <c r="B426" s="4"/>
      <c r="C426" s="4" t="s">
        <v>977</v>
      </c>
      <c r="D426" s="4"/>
      <c r="E426" s="12"/>
      <c r="F426" s="34"/>
      <c r="G426" s="28"/>
      <c r="H426" s="28"/>
      <c r="I426" s="26"/>
      <c r="J426" s="24"/>
      <c r="K426" s="31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93" t="s">
        <v>631</v>
      </c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 t="s">
        <v>631</v>
      </c>
      <c r="BQ426" s="76"/>
      <c r="BR426" s="76"/>
      <c r="BS426" s="76"/>
      <c r="BT426" s="76" t="s">
        <v>631</v>
      </c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9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95"/>
      <c r="DX426" s="90"/>
      <c r="DY426" s="21"/>
      <c r="DZ426" s="21"/>
    </row>
    <row r="427" spans="1:130" hidden="1" outlineLevel="1" x14ac:dyDescent="0.3">
      <c r="A427" s="4"/>
      <c r="B427" s="4"/>
      <c r="C427" s="4" t="s">
        <v>978</v>
      </c>
      <c r="D427" s="4"/>
      <c r="E427" s="12"/>
      <c r="F427" s="34"/>
      <c r="G427" s="28"/>
      <c r="H427" s="28"/>
      <c r="I427" s="26"/>
      <c r="J427" s="24"/>
      <c r="K427" s="31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93" t="s">
        <v>631</v>
      </c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 t="s">
        <v>631</v>
      </c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9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95"/>
      <c r="DX427" s="90"/>
      <c r="DY427" s="21"/>
      <c r="DZ427" s="21"/>
    </row>
    <row r="428" spans="1:130" hidden="1" outlineLevel="1" x14ac:dyDescent="0.3">
      <c r="A428" s="4"/>
      <c r="B428" s="4"/>
      <c r="C428" s="4" t="s">
        <v>979</v>
      </c>
      <c r="D428" s="4"/>
      <c r="E428" s="12"/>
      <c r="F428" s="34"/>
      <c r="G428" s="28"/>
      <c r="H428" s="28"/>
      <c r="I428" s="26"/>
      <c r="J428" s="24"/>
      <c r="K428" s="31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93"/>
      <c r="AX428" s="76"/>
      <c r="AY428" s="76"/>
      <c r="AZ428" s="76"/>
      <c r="BA428" s="76" t="s">
        <v>631</v>
      </c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 t="s">
        <v>631</v>
      </c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9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95"/>
      <c r="DX428" s="90"/>
      <c r="DY428" s="21"/>
      <c r="DZ428" s="21"/>
    </row>
    <row r="429" spans="1:130" hidden="1" outlineLevel="1" x14ac:dyDescent="0.3">
      <c r="A429" s="4"/>
      <c r="B429" s="4"/>
      <c r="C429" s="4" t="s">
        <v>980</v>
      </c>
      <c r="D429" s="4"/>
      <c r="E429" s="12"/>
      <c r="F429" s="34"/>
      <c r="G429" s="28"/>
      <c r="H429" s="28"/>
      <c r="I429" s="26"/>
      <c r="J429" s="24"/>
      <c r="K429" s="31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93"/>
      <c r="AX429" s="76"/>
      <c r="AY429" s="76"/>
      <c r="AZ429" s="76"/>
      <c r="BA429" s="76" t="s">
        <v>631</v>
      </c>
      <c r="BB429" s="76"/>
      <c r="BC429" s="76"/>
      <c r="BD429" s="76" t="s">
        <v>631</v>
      </c>
      <c r="BE429" s="76"/>
      <c r="BF429" s="76"/>
      <c r="BG429" s="76"/>
      <c r="BH429" s="76"/>
      <c r="BI429" s="76" t="s">
        <v>631</v>
      </c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9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95"/>
      <c r="DX429" s="90"/>
      <c r="DY429" s="21"/>
      <c r="DZ429" s="21"/>
    </row>
    <row r="430" spans="1:130" hidden="1" outlineLevel="1" x14ac:dyDescent="0.3">
      <c r="A430" s="4"/>
      <c r="B430" s="4"/>
      <c r="C430" s="4" t="s">
        <v>866</v>
      </c>
      <c r="D430" s="4"/>
      <c r="E430" s="12"/>
      <c r="F430" s="34"/>
      <c r="G430" s="28"/>
      <c r="H430" s="28"/>
      <c r="I430" s="26"/>
      <c r="J430" s="24"/>
      <c r="K430" s="31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93"/>
      <c r="AX430" s="76"/>
      <c r="AY430" s="76"/>
      <c r="AZ430" s="76"/>
      <c r="BA430" s="76" t="s">
        <v>631</v>
      </c>
      <c r="BB430" s="76"/>
      <c r="BC430" s="76"/>
      <c r="BD430" s="76"/>
      <c r="BE430" s="76"/>
      <c r="BF430" s="76"/>
      <c r="BG430" s="76" t="s">
        <v>631</v>
      </c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9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95"/>
      <c r="DX430" s="90"/>
      <c r="DY430" s="21"/>
      <c r="DZ430" s="21"/>
    </row>
    <row r="431" spans="1:130" hidden="1" outlineLevel="1" x14ac:dyDescent="0.3">
      <c r="A431" s="4"/>
      <c r="B431" s="4"/>
      <c r="C431" s="4" t="s">
        <v>867</v>
      </c>
      <c r="D431" s="4"/>
      <c r="E431" s="12"/>
      <c r="F431" s="34"/>
      <c r="G431" s="28"/>
      <c r="H431" s="28"/>
      <c r="I431" s="26"/>
      <c r="J431" s="24"/>
      <c r="K431" s="31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93"/>
      <c r="AX431" s="76"/>
      <c r="AY431" s="76"/>
      <c r="AZ431" s="76"/>
      <c r="BA431" s="76" t="s">
        <v>631</v>
      </c>
      <c r="BB431" s="76" t="s">
        <v>631</v>
      </c>
      <c r="BC431" s="76"/>
      <c r="BD431" s="76"/>
      <c r="BE431" s="76"/>
      <c r="BF431" s="76"/>
      <c r="BG431" s="76" t="s">
        <v>631</v>
      </c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9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95"/>
      <c r="DX431" s="90"/>
      <c r="DY431" s="21"/>
      <c r="DZ431" s="21"/>
    </row>
    <row r="432" spans="1:130" hidden="1" outlineLevel="1" x14ac:dyDescent="0.3">
      <c r="A432" s="4"/>
      <c r="B432" s="4"/>
      <c r="C432" s="4" t="s">
        <v>868</v>
      </c>
      <c r="D432" s="4"/>
      <c r="E432" s="12"/>
      <c r="F432" s="34"/>
      <c r="G432" s="28"/>
      <c r="H432" s="28"/>
      <c r="I432" s="26"/>
      <c r="J432" s="24"/>
      <c r="K432" s="31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93" t="s">
        <v>631</v>
      </c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 t="s">
        <v>631</v>
      </c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9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95"/>
      <c r="DX432" s="90"/>
      <c r="DY432" s="21"/>
      <c r="DZ432" s="21"/>
    </row>
    <row r="433" spans="1:130" hidden="1" outlineLevel="1" x14ac:dyDescent="0.3">
      <c r="A433" s="4"/>
      <c r="B433" s="4"/>
      <c r="C433" s="4" t="s">
        <v>869</v>
      </c>
      <c r="D433" s="4"/>
      <c r="E433" s="12"/>
      <c r="F433" s="34"/>
      <c r="G433" s="28"/>
      <c r="H433" s="28"/>
      <c r="I433" s="26"/>
      <c r="J433" s="24"/>
      <c r="K433" s="31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93" t="s">
        <v>631</v>
      </c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 t="s">
        <v>631</v>
      </c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9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95"/>
      <c r="DX433" s="90"/>
      <c r="DY433" s="21"/>
      <c r="DZ433" s="21"/>
    </row>
    <row r="434" spans="1:130" hidden="1" outlineLevel="1" x14ac:dyDescent="0.3">
      <c r="A434" s="4"/>
      <c r="B434" s="4"/>
      <c r="C434" s="4" t="s">
        <v>981</v>
      </c>
      <c r="D434" s="4"/>
      <c r="E434" s="12"/>
      <c r="F434" s="34"/>
      <c r="G434" s="28"/>
      <c r="H434" s="28"/>
      <c r="I434" s="26"/>
      <c r="J434" s="24"/>
      <c r="K434" s="31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93" t="s">
        <v>631</v>
      </c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 t="s">
        <v>631</v>
      </c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9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95"/>
      <c r="DX434" s="90"/>
      <c r="DY434" s="21"/>
      <c r="DZ434" s="21"/>
    </row>
    <row r="435" spans="1:130" hidden="1" outlineLevel="1" x14ac:dyDescent="0.3">
      <c r="A435" s="4"/>
      <c r="B435" s="4"/>
      <c r="C435" s="4" t="s">
        <v>982</v>
      </c>
      <c r="D435" s="4"/>
      <c r="E435" s="12"/>
      <c r="F435" s="34"/>
      <c r="G435" s="28"/>
      <c r="H435" s="28"/>
      <c r="I435" s="26"/>
      <c r="J435" s="24"/>
      <c r="K435" s="31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93" t="s">
        <v>631</v>
      </c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 t="s">
        <v>631</v>
      </c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9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95"/>
      <c r="DX435" s="90"/>
      <c r="DY435" s="21"/>
      <c r="DZ435" s="21"/>
    </row>
    <row r="436" spans="1:130" hidden="1" outlineLevel="1" x14ac:dyDescent="0.3">
      <c r="A436" s="4"/>
      <c r="B436" s="4"/>
      <c r="C436" s="4" t="s">
        <v>983</v>
      </c>
      <c r="D436" s="4"/>
      <c r="E436" s="12"/>
      <c r="F436" s="34"/>
      <c r="G436" s="28"/>
      <c r="H436" s="28"/>
      <c r="I436" s="26"/>
      <c r="J436" s="24"/>
      <c r="K436" s="31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93"/>
      <c r="AX436" s="76"/>
      <c r="AY436" s="76" t="s">
        <v>631</v>
      </c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 t="s">
        <v>631</v>
      </c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9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95"/>
      <c r="DX436" s="90"/>
      <c r="DY436" s="21"/>
      <c r="DZ436" s="21"/>
    </row>
    <row r="437" spans="1:130" hidden="1" outlineLevel="1" x14ac:dyDescent="0.3">
      <c r="A437" s="4"/>
      <c r="B437" s="4"/>
      <c r="C437" s="4" t="s">
        <v>984</v>
      </c>
      <c r="D437" s="4"/>
      <c r="E437" s="12"/>
      <c r="F437" s="34"/>
      <c r="G437" s="28"/>
      <c r="H437" s="28"/>
      <c r="I437" s="26"/>
      <c r="J437" s="24"/>
      <c r="K437" s="31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93" t="s">
        <v>631</v>
      </c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 t="s">
        <v>631</v>
      </c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9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95"/>
      <c r="DX437" s="90"/>
      <c r="DY437" s="21"/>
      <c r="DZ437" s="21"/>
    </row>
    <row r="438" spans="1:130" hidden="1" outlineLevel="1" x14ac:dyDescent="0.3">
      <c r="A438" s="4"/>
      <c r="B438" s="4"/>
      <c r="C438" s="4" t="s">
        <v>985</v>
      </c>
      <c r="D438" s="4"/>
      <c r="E438" s="12"/>
      <c r="F438" s="34"/>
      <c r="G438" s="28"/>
      <c r="H438" s="28"/>
      <c r="I438" s="26"/>
      <c r="J438" s="24"/>
      <c r="K438" s="31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93" t="s">
        <v>631</v>
      </c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 t="s">
        <v>631</v>
      </c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9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95"/>
      <c r="DX438" s="90"/>
      <c r="DY438" s="21"/>
      <c r="DZ438" s="21"/>
    </row>
    <row r="439" spans="1:130" hidden="1" outlineLevel="1" x14ac:dyDescent="0.3">
      <c r="A439" s="4"/>
      <c r="B439" s="4"/>
      <c r="C439" s="4" t="s">
        <v>986</v>
      </c>
      <c r="D439" s="4"/>
      <c r="E439" s="12"/>
      <c r="F439" s="34"/>
      <c r="G439" s="28"/>
      <c r="H439" s="28"/>
      <c r="I439" s="26"/>
      <c r="J439" s="24"/>
      <c r="K439" s="31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93" t="s">
        <v>631</v>
      </c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 t="s">
        <v>631</v>
      </c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9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95"/>
      <c r="DX439" s="90"/>
      <c r="DY439" s="21"/>
      <c r="DZ439" s="21"/>
    </row>
    <row r="440" spans="1:130" hidden="1" outlineLevel="1" x14ac:dyDescent="0.3">
      <c r="A440" s="4"/>
      <c r="B440" s="4"/>
      <c r="C440" s="4" t="s">
        <v>987</v>
      </c>
      <c r="D440" s="4"/>
      <c r="E440" s="12"/>
      <c r="F440" s="34"/>
      <c r="G440" s="28"/>
      <c r="H440" s="28"/>
      <c r="I440" s="26"/>
      <c r="J440" s="24"/>
      <c r="K440" s="31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93" t="s">
        <v>631</v>
      </c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 t="s">
        <v>631</v>
      </c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9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95"/>
      <c r="DX440" s="90"/>
      <c r="DY440" s="21"/>
      <c r="DZ440" s="21"/>
    </row>
    <row r="441" spans="1:130" hidden="1" outlineLevel="1" x14ac:dyDescent="0.3">
      <c r="A441" s="4"/>
      <c r="B441" s="4"/>
      <c r="C441" s="4" t="s">
        <v>988</v>
      </c>
      <c r="D441" s="4"/>
      <c r="E441" s="12"/>
      <c r="F441" s="34"/>
      <c r="G441" s="28"/>
      <c r="H441" s="28"/>
      <c r="I441" s="26"/>
      <c r="J441" s="24"/>
      <c r="K441" s="31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93" t="s">
        <v>631</v>
      </c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 t="s">
        <v>631</v>
      </c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9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95"/>
      <c r="DX441" s="90"/>
      <c r="DY441" s="21"/>
      <c r="DZ441" s="21"/>
    </row>
    <row r="442" spans="1:130" hidden="1" outlineLevel="1" x14ac:dyDescent="0.3">
      <c r="A442" s="4"/>
      <c r="B442" s="4"/>
      <c r="C442" s="4" t="s">
        <v>989</v>
      </c>
      <c r="D442" s="4"/>
      <c r="E442" s="12"/>
      <c r="F442" s="34"/>
      <c r="G442" s="28"/>
      <c r="H442" s="28"/>
      <c r="I442" s="26"/>
      <c r="J442" s="24"/>
      <c r="K442" s="31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93" t="s">
        <v>631</v>
      </c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 t="s">
        <v>631</v>
      </c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9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95"/>
      <c r="DX442" s="90"/>
      <c r="DY442" s="21"/>
      <c r="DZ442" s="21"/>
    </row>
    <row r="443" spans="1:130" hidden="1" outlineLevel="1" x14ac:dyDescent="0.3">
      <c r="A443" s="4"/>
      <c r="B443" s="4"/>
      <c r="C443" s="4" t="s">
        <v>990</v>
      </c>
      <c r="D443" s="4"/>
      <c r="E443" s="12"/>
      <c r="F443" s="34"/>
      <c r="G443" s="28"/>
      <c r="H443" s="28"/>
      <c r="I443" s="26"/>
      <c r="J443" s="24"/>
      <c r="K443" s="31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93" t="s">
        <v>631</v>
      </c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 t="s">
        <v>631</v>
      </c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9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95"/>
      <c r="DX443" s="90"/>
      <c r="DY443" s="21"/>
      <c r="DZ443" s="21"/>
    </row>
    <row r="444" spans="1:130" hidden="1" outlineLevel="1" x14ac:dyDescent="0.3">
      <c r="A444" s="4"/>
      <c r="B444" s="4"/>
      <c r="C444" s="4" t="s">
        <v>991</v>
      </c>
      <c r="D444" s="4"/>
      <c r="E444" s="12"/>
      <c r="F444" s="34"/>
      <c r="G444" s="28"/>
      <c r="H444" s="28"/>
      <c r="I444" s="26"/>
      <c r="J444" s="24"/>
      <c r="K444" s="31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93"/>
      <c r="AX444" s="76" t="s">
        <v>631</v>
      </c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 t="s">
        <v>631</v>
      </c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9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95"/>
      <c r="DX444" s="90"/>
      <c r="DY444" s="21"/>
      <c r="DZ444" s="21"/>
    </row>
    <row r="445" spans="1:130" hidden="1" outlineLevel="1" x14ac:dyDescent="0.3">
      <c r="A445" s="4"/>
      <c r="B445" s="4"/>
      <c r="C445" s="4" t="s">
        <v>992</v>
      </c>
      <c r="D445" s="4"/>
      <c r="E445" s="12"/>
      <c r="F445" s="34"/>
      <c r="G445" s="28"/>
      <c r="H445" s="28"/>
      <c r="I445" s="26"/>
      <c r="J445" s="24"/>
      <c r="K445" s="31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93" t="s">
        <v>631</v>
      </c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 t="s">
        <v>631</v>
      </c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9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95"/>
      <c r="DX445" s="90"/>
      <c r="DY445" s="21"/>
      <c r="DZ445" s="21"/>
    </row>
    <row r="446" spans="1:130" hidden="1" outlineLevel="1" x14ac:dyDescent="0.3">
      <c r="A446" s="4"/>
      <c r="B446" s="4"/>
      <c r="C446" s="4" t="s">
        <v>993</v>
      </c>
      <c r="D446" s="4"/>
      <c r="E446" s="12"/>
      <c r="F446" s="34"/>
      <c r="G446" s="28"/>
      <c r="H446" s="28"/>
      <c r="I446" s="26"/>
      <c r="J446" s="24"/>
      <c r="K446" s="31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93" t="s">
        <v>631</v>
      </c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 t="s">
        <v>631</v>
      </c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9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95"/>
      <c r="DX446" s="90"/>
      <c r="DY446" s="21"/>
      <c r="DZ446" s="21"/>
    </row>
    <row r="447" spans="1:130" hidden="1" outlineLevel="1" x14ac:dyDescent="0.3">
      <c r="A447" s="4"/>
      <c r="B447" s="4"/>
      <c r="C447" s="4" t="s">
        <v>994</v>
      </c>
      <c r="D447" s="4"/>
      <c r="E447" s="12"/>
      <c r="F447" s="34"/>
      <c r="G447" s="28"/>
      <c r="H447" s="28"/>
      <c r="I447" s="26"/>
      <c r="J447" s="24"/>
      <c r="K447" s="31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93" t="s">
        <v>631</v>
      </c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 t="s">
        <v>631</v>
      </c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9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95"/>
      <c r="DX447" s="90"/>
      <c r="DY447" s="21"/>
      <c r="DZ447" s="21"/>
    </row>
    <row r="448" spans="1:130" hidden="1" outlineLevel="1" x14ac:dyDescent="0.3">
      <c r="A448" s="4"/>
      <c r="B448" s="4"/>
      <c r="C448" s="4" t="s">
        <v>995</v>
      </c>
      <c r="D448" s="4"/>
      <c r="E448" s="12"/>
      <c r="F448" s="34"/>
      <c r="G448" s="28"/>
      <c r="H448" s="28"/>
      <c r="I448" s="26"/>
      <c r="J448" s="24"/>
      <c r="K448" s="31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93"/>
      <c r="AX448" s="76" t="s">
        <v>631</v>
      </c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 t="s">
        <v>631</v>
      </c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9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95"/>
      <c r="DX448" s="90"/>
      <c r="DY448" s="21"/>
      <c r="DZ448" s="21"/>
    </row>
    <row r="449" spans="1:130" hidden="1" outlineLevel="1" x14ac:dyDescent="0.3">
      <c r="A449" s="4"/>
      <c r="B449" s="4"/>
      <c r="C449" s="4" t="s">
        <v>996</v>
      </c>
      <c r="D449" s="4"/>
      <c r="E449" s="12"/>
      <c r="F449" s="34"/>
      <c r="G449" s="28"/>
      <c r="H449" s="28"/>
      <c r="I449" s="26"/>
      <c r="J449" s="24"/>
      <c r="K449" s="31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93"/>
      <c r="AX449" s="76"/>
      <c r="AY449" s="76" t="s">
        <v>631</v>
      </c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 t="s">
        <v>631</v>
      </c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9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95"/>
      <c r="DX449" s="90"/>
      <c r="DY449" s="21"/>
      <c r="DZ449" s="21"/>
    </row>
    <row r="450" spans="1:130" hidden="1" outlineLevel="1" x14ac:dyDescent="0.3">
      <c r="A450" s="4"/>
      <c r="B450" s="4"/>
      <c r="C450" s="4" t="s">
        <v>997</v>
      </c>
      <c r="D450" s="4"/>
      <c r="E450" s="12"/>
      <c r="F450" s="34"/>
      <c r="G450" s="28"/>
      <c r="H450" s="28"/>
      <c r="I450" s="26"/>
      <c r="J450" s="24"/>
      <c r="K450" s="31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93" t="s">
        <v>631</v>
      </c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 t="s">
        <v>631</v>
      </c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9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95"/>
      <c r="DX450" s="90"/>
      <c r="DY450" s="21"/>
      <c r="DZ450" s="21"/>
    </row>
    <row r="451" spans="1:130" hidden="1" outlineLevel="1" x14ac:dyDescent="0.3">
      <c r="A451" s="4"/>
      <c r="B451" s="4"/>
      <c r="C451" s="4" t="s">
        <v>998</v>
      </c>
      <c r="D451" s="4"/>
      <c r="E451" s="12"/>
      <c r="F451" s="34"/>
      <c r="G451" s="28"/>
      <c r="H451" s="28"/>
      <c r="I451" s="26"/>
      <c r="J451" s="24"/>
      <c r="K451" s="31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93"/>
      <c r="AX451" s="76" t="s">
        <v>631</v>
      </c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 t="s">
        <v>631</v>
      </c>
      <c r="BQ451" s="76"/>
      <c r="BR451" s="76"/>
      <c r="BS451" s="76"/>
      <c r="BT451" s="76"/>
      <c r="BU451" s="76"/>
      <c r="BV451" s="76" t="s">
        <v>631</v>
      </c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9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95"/>
      <c r="DX451" s="90"/>
      <c r="DY451" s="21"/>
      <c r="DZ451" s="21"/>
    </row>
    <row r="452" spans="1:130" hidden="1" outlineLevel="1" x14ac:dyDescent="0.3">
      <c r="A452" s="4"/>
      <c r="B452" s="4"/>
      <c r="C452" s="4" t="s">
        <v>999</v>
      </c>
      <c r="D452" s="4"/>
      <c r="E452" s="12"/>
      <c r="F452" s="34"/>
      <c r="G452" s="28"/>
      <c r="H452" s="28"/>
      <c r="I452" s="26"/>
      <c r="J452" s="24"/>
      <c r="K452" s="31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93" t="s">
        <v>631</v>
      </c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 t="s">
        <v>631</v>
      </c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9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95"/>
      <c r="DX452" s="90"/>
      <c r="DY452" s="21"/>
      <c r="DZ452" s="21"/>
    </row>
    <row r="453" spans="1:130" hidden="1" outlineLevel="1" x14ac:dyDescent="0.3">
      <c r="A453" s="4"/>
      <c r="B453" s="4"/>
      <c r="C453" s="4" t="s">
        <v>1000</v>
      </c>
      <c r="D453" s="4"/>
      <c r="E453" s="12"/>
      <c r="F453" s="34"/>
      <c r="G453" s="28"/>
      <c r="H453" s="28"/>
      <c r="I453" s="26"/>
      <c r="J453" s="24"/>
      <c r="K453" s="31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93"/>
      <c r="AX453" s="76" t="s">
        <v>631</v>
      </c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 t="s">
        <v>631</v>
      </c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9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95"/>
      <c r="DX453" s="90"/>
      <c r="DY453" s="21"/>
      <c r="DZ453" s="21"/>
    </row>
    <row r="454" spans="1:130" hidden="1" outlineLevel="1" x14ac:dyDescent="0.3">
      <c r="A454" s="4"/>
      <c r="B454" s="4"/>
      <c r="C454" s="4" t="s">
        <v>1001</v>
      </c>
      <c r="D454" s="4"/>
      <c r="E454" s="12"/>
      <c r="F454" s="34"/>
      <c r="G454" s="28"/>
      <c r="H454" s="28"/>
      <c r="I454" s="26"/>
      <c r="J454" s="24"/>
      <c r="K454" s="31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93"/>
      <c r="AX454" s="76"/>
      <c r="AY454" s="76" t="s">
        <v>631</v>
      </c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 t="s">
        <v>631</v>
      </c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9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95"/>
      <c r="DX454" s="90"/>
      <c r="DY454" s="21"/>
      <c r="DZ454" s="21"/>
    </row>
    <row r="455" spans="1:130" hidden="1" outlineLevel="1" x14ac:dyDescent="0.3">
      <c r="A455" s="4"/>
      <c r="B455" s="4"/>
      <c r="C455" s="4" t="s">
        <v>1002</v>
      </c>
      <c r="D455" s="4"/>
      <c r="E455" s="12"/>
      <c r="F455" s="34"/>
      <c r="G455" s="28"/>
      <c r="H455" s="28"/>
      <c r="I455" s="26"/>
      <c r="J455" s="24"/>
      <c r="K455" s="31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93" t="s">
        <v>631</v>
      </c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 t="s">
        <v>631</v>
      </c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9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95"/>
      <c r="DX455" s="90"/>
      <c r="DY455" s="21"/>
      <c r="DZ455" s="21"/>
    </row>
    <row r="456" spans="1:130" hidden="1" outlineLevel="1" x14ac:dyDescent="0.3">
      <c r="A456" s="4"/>
      <c r="B456" s="4"/>
      <c r="C456" s="4" t="s">
        <v>1003</v>
      </c>
      <c r="D456" s="4"/>
      <c r="E456" s="12"/>
      <c r="F456" s="34"/>
      <c r="G456" s="28"/>
      <c r="H456" s="28"/>
      <c r="I456" s="26"/>
      <c r="J456" s="24"/>
      <c r="K456" s="31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93" t="s">
        <v>631</v>
      </c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 t="s">
        <v>631</v>
      </c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9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95"/>
      <c r="DX456" s="90"/>
      <c r="DY456" s="21"/>
      <c r="DZ456" s="21"/>
    </row>
    <row r="457" spans="1:130" hidden="1" outlineLevel="1" x14ac:dyDescent="0.3">
      <c r="A457" s="4"/>
      <c r="B457" s="4"/>
      <c r="C457" s="4" t="s">
        <v>1004</v>
      </c>
      <c r="D457" s="4"/>
      <c r="E457" s="12"/>
      <c r="F457" s="34"/>
      <c r="G457" s="28"/>
      <c r="H457" s="28"/>
      <c r="I457" s="26"/>
      <c r="J457" s="24"/>
      <c r="K457" s="31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93" t="s">
        <v>631</v>
      </c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 t="s">
        <v>631</v>
      </c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9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95"/>
      <c r="DX457" s="90"/>
      <c r="DY457" s="21"/>
      <c r="DZ457" s="21"/>
    </row>
    <row r="458" spans="1:130" hidden="1" outlineLevel="1" x14ac:dyDescent="0.3">
      <c r="A458" s="4"/>
      <c r="B458" s="4"/>
      <c r="C458" s="4" t="s">
        <v>1005</v>
      </c>
      <c r="D458" s="4"/>
      <c r="E458" s="12"/>
      <c r="F458" s="34"/>
      <c r="G458" s="28"/>
      <c r="H458" s="28"/>
      <c r="I458" s="26"/>
      <c r="J458" s="24"/>
      <c r="K458" s="31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93" t="s">
        <v>631</v>
      </c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 t="s">
        <v>631</v>
      </c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9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95"/>
      <c r="DX458" s="90"/>
      <c r="DY458" s="21"/>
      <c r="DZ458" s="21"/>
    </row>
    <row r="459" spans="1:130" hidden="1" outlineLevel="1" x14ac:dyDescent="0.3">
      <c r="A459" s="4"/>
      <c r="B459" s="4"/>
      <c r="C459" s="4" t="s">
        <v>1006</v>
      </c>
      <c r="D459" s="4"/>
      <c r="E459" s="12"/>
      <c r="F459" s="34"/>
      <c r="G459" s="28"/>
      <c r="H459" s="28"/>
      <c r="I459" s="26"/>
      <c r="J459" s="24"/>
      <c r="K459" s="31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93" t="s">
        <v>631</v>
      </c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 t="s">
        <v>631</v>
      </c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9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95"/>
      <c r="DX459" s="90"/>
      <c r="DY459" s="21"/>
      <c r="DZ459" s="21"/>
    </row>
    <row r="460" spans="1:130" hidden="1" outlineLevel="1" x14ac:dyDescent="0.3">
      <c r="A460" s="4"/>
      <c r="B460" s="4"/>
      <c r="C460" s="4" t="s">
        <v>1007</v>
      </c>
      <c r="D460" s="4"/>
      <c r="E460" s="12"/>
      <c r="F460" s="34"/>
      <c r="G460" s="28"/>
      <c r="H460" s="28"/>
      <c r="I460" s="26"/>
      <c r="J460" s="24"/>
      <c r="K460" s="31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93"/>
      <c r="AX460" s="76" t="s">
        <v>631</v>
      </c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 t="s">
        <v>631</v>
      </c>
      <c r="BQ460" s="76"/>
      <c r="BR460" s="76"/>
      <c r="BS460" s="76"/>
      <c r="BT460" s="76"/>
      <c r="BU460" s="76"/>
      <c r="BV460" s="76" t="s">
        <v>631</v>
      </c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9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95"/>
      <c r="DX460" s="90"/>
      <c r="DY460" s="21"/>
      <c r="DZ460" s="21"/>
    </row>
    <row r="461" spans="1:130" hidden="1" outlineLevel="1" x14ac:dyDescent="0.3">
      <c r="A461" s="4"/>
      <c r="B461" s="4"/>
      <c r="C461" s="4" t="s">
        <v>1008</v>
      </c>
      <c r="D461" s="4"/>
      <c r="E461" s="12"/>
      <c r="F461" s="34"/>
      <c r="G461" s="28"/>
      <c r="H461" s="28"/>
      <c r="I461" s="26"/>
      <c r="J461" s="24"/>
      <c r="K461" s="31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93"/>
      <c r="AX461" s="76" t="s">
        <v>631</v>
      </c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 t="s">
        <v>631</v>
      </c>
      <c r="BQ461" s="76"/>
      <c r="BR461" s="76"/>
      <c r="BS461" s="76"/>
      <c r="BT461" s="76" t="s">
        <v>631</v>
      </c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9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95"/>
      <c r="DX461" s="90"/>
      <c r="DY461" s="21"/>
      <c r="DZ461" s="21"/>
    </row>
    <row r="462" spans="1:130" hidden="1" outlineLevel="1" x14ac:dyDescent="0.3">
      <c r="A462" s="4"/>
      <c r="B462" s="4"/>
      <c r="C462" s="4" t="s">
        <v>1009</v>
      </c>
      <c r="D462" s="4"/>
      <c r="E462" s="12"/>
      <c r="F462" s="34"/>
      <c r="G462" s="28"/>
      <c r="H462" s="28"/>
      <c r="I462" s="26"/>
      <c r="J462" s="24"/>
      <c r="K462" s="31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93"/>
      <c r="AX462" s="76"/>
      <c r="AY462" s="76" t="s">
        <v>631</v>
      </c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 t="s">
        <v>631</v>
      </c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9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95"/>
      <c r="DX462" s="90"/>
      <c r="DY462" s="21"/>
      <c r="DZ462" s="21"/>
    </row>
    <row r="463" spans="1:130" hidden="1" outlineLevel="1" x14ac:dyDescent="0.3">
      <c r="A463" s="4"/>
      <c r="B463" s="4"/>
      <c r="C463" s="4" t="s">
        <v>1010</v>
      </c>
      <c r="D463" s="4"/>
      <c r="E463" s="12"/>
      <c r="F463" s="34"/>
      <c r="G463" s="28"/>
      <c r="H463" s="28"/>
      <c r="I463" s="26"/>
      <c r="J463" s="24"/>
      <c r="K463" s="31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93" t="s">
        <v>631</v>
      </c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 t="s">
        <v>631</v>
      </c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9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95"/>
      <c r="DX463" s="90"/>
      <c r="DY463" s="21"/>
      <c r="DZ463" s="21"/>
    </row>
    <row r="464" spans="1:130" x14ac:dyDescent="0.3">
      <c r="A464" s="4" t="s">
        <v>126</v>
      </c>
      <c r="B464" s="4" t="s">
        <v>310</v>
      </c>
      <c r="C464" s="91" t="s">
        <v>311</v>
      </c>
      <c r="D464" s="4" t="s">
        <v>312</v>
      </c>
      <c r="E464" s="12">
        <v>13.08</v>
      </c>
      <c r="F464" s="34">
        <f t="shared" ref="F464:F796" si="9">E464*G464</f>
        <v>6121.44</v>
      </c>
      <c r="G464" s="28">
        <f t="shared" si="7"/>
        <v>468</v>
      </c>
      <c r="H464" s="28">
        <f t="shared" ref="H464:H796" si="10">ROUNDUP(G464/12,0)</f>
        <v>39</v>
      </c>
      <c r="I464" s="26">
        <f t="shared" ref="I464:I796" si="11">J464*E464</f>
        <v>3453.12</v>
      </c>
      <c r="J464" s="24">
        <f t="shared" ref="J464:J796" si="12">SUM(Y464:AC464)</f>
        <v>264</v>
      </c>
      <c r="K464" s="31">
        <f t="shared" ref="K464:K796" si="13">ROUNDUP(J464/5,0)</f>
        <v>53</v>
      </c>
      <c r="L464" s="9">
        <v>0</v>
      </c>
      <c r="M464" s="9">
        <v>0</v>
      </c>
      <c r="N464" s="9">
        <v>0</v>
      </c>
      <c r="O464" s="9">
        <v>0</v>
      </c>
      <c r="P464" s="9">
        <v>48</v>
      </c>
      <c r="Q464" s="9">
        <v>60</v>
      </c>
      <c r="R464" s="9">
        <v>48</v>
      </c>
      <c r="S464" s="9">
        <v>60</v>
      </c>
      <c r="T464" s="9">
        <v>48</v>
      </c>
      <c r="U464" s="9">
        <v>48</v>
      </c>
      <c r="V464" s="9">
        <v>60</v>
      </c>
      <c r="W464" s="9">
        <v>48</v>
      </c>
      <c r="X464" s="9">
        <v>48</v>
      </c>
      <c r="Y464" s="9">
        <v>60</v>
      </c>
      <c r="Z464" s="9">
        <v>48</v>
      </c>
      <c r="AA464" s="9">
        <v>48</v>
      </c>
      <c r="AB464" s="9">
        <v>60</v>
      </c>
      <c r="AC464" s="9">
        <v>48</v>
      </c>
      <c r="AE464" s="6">
        <v>0</v>
      </c>
      <c r="AF464" s="6">
        <v>0</v>
      </c>
      <c r="AG464" s="6">
        <v>0</v>
      </c>
      <c r="AH464" s="6">
        <v>0</v>
      </c>
      <c r="AI464" s="6">
        <v>627.84</v>
      </c>
      <c r="AJ464" s="6">
        <v>784.8</v>
      </c>
      <c r="AK464" s="6">
        <v>627.84</v>
      </c>
      <c r="AL464" s="6">
        <v>784.8</v>
      </c>
      <c r="AM464" s="6">
        <v>627.84</v>
      </c>
      <c r="AN464" s="6">
        <v>627.84</v>
      </c>
      <c r="AO464" s="6">
        <v>784.8</v>
      </c>
      <c r="AP464" s="6">
        <v>627.84</v>
      </c>
      <c r="AQ464" s="6">
        <v>627.84</v>
      </c>
      <c r="AR464" s="6">
        <v>784.8</v>
      </c>
      <c r="AS464" s="6">
        <v>627.84</v>
      </c>
      <c r="AT464" s="6">
        <v>627.84</v>
      </c>
      <c r="AU464" s="6">
        <v>784.8</v>
      </c>
      <c r="AV464" s="6">
        <v>627.84</v>
      </c>
      <c r="AW464" s="93" t="s">
        <v>631</v>
      </c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 t="s">
        <v>631</v>
      </c>
      <c r="BP464" s="76" t="s">
        <v>631</v>
      </c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96" t="s">
        <v>631</v>
      </c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95"/>
      <c r="DX464" s="90">
        <f t="shared" si="8"/>
        <v>4</v>
      </c>
      <c r="DY464" s="21"/>
      <c r="DZ464" s="21"/>
    </row>
    <row r="465" spans="1:130" x14ac:dyDescent="0.3">
      <c r="A465" s="4" t="s">
        <v>126</v>
      </c>
      <c r="B465" s="4" t="s">
        <v>310</v>
      </c>
      <c r="C465" s="91" t="s">
        <v>313</v>
      </c>
      <c r="D465" s="4" t="s">
        <v>314</v>
      </c>
      <c r="E465" s="12">
        <v>27.5</v>
      </c>
      <c r="F465" s="34">
        <f t="shared" si="9"/>
        <v>16830</v>
      </c>
      <c r="G465" s="28">
        <f t="shared" si="7"/>
        <v>612</v>
      </c>
      <c r="H465" s="28">
        <f t="shared" si="10"/>
        <v>51</v>
      </c>
      <c r="I465" s="26">
        <f t="shared" si="11"/>
        <v>7260</v>
      </c>
      <c r="J465" s="24">
        <f t="shared" si="12"/>
        <v>264</v>
      </c>
      <c r="K465" s="31">
        <f t="shared" si="13"/>
        <v>53</v>
      </c>
      <c r="L465" s="9">
        <v>0</v>
      </c>
      <c r="M465" s="9">
        <v>0</v>
      </c>
      <c r="N465" s="9">
        <v>0</v>
      </c>
      <c r="O465" s="9">
        <v>0</v>
      </c>
      <c r="P465" s="9">
        <v>100</v>
      </c>
      <c r="Q465" s="9">
        <v>100</v>
      </c>
      <c r="R465" s="9">
        <v>100</v>
      </c>
      <c r="S465" s="9">
        <v>60</v>
      </c>
      <c r="T465" s="9">
        <v>48</v>
      </c>
      <c r="U465" s="9">
        <v>48</v>
      </c>
      <c r="V465" s="9">
        <v>60</v>
      </c>
      <c r="W465" s="9">
        <v>48</v>
      </c>
      <c r="X465" s="9">
        <v>48</v>
      </c>
      <c r="Y465" s="9">
        <v>60</v>
      </c>
      <c r="Z465" s="9">
        <v>48</v>
      </c>
      <c r="AA465" s="9">
        <v>48</v>
      </c>
      <c r="AB465" s="9">
        <v>60</v>
      </c>
      <c r="AC465" s="9">
        <v>48</v>
      </c>
      <c r="AE465" s="6">
        <v>0</v>
      </c>
      <c r="AF465" s="6">
        <v>0</v>
      </c>
      <c r="AG465" s="6">
        <v>0</v>
      </c>
      <c r="AH465" s="6">
        <v>0</v>
      </c>
      <c r="AI465" s="6">
        <v>2600</v>
      </c>
      <c r="AJ465" s="6">
        <v>2750</v>
      </c>
      <c r="AK465" s="6">
        <v>2750</v>
      </c>
      <c r="AL465" s="6">
        <v>1560</v>
      </c>
      <c r="AM465" s="6">
        <v>1248</v>
      </c>
      <c r="AN465" s="6">
        <v>1248</v>
      </c>
      <c r="AO465" s="6">
        <v>1560</v>
      </c>
      <c r="AP465" s="6">
        <v>1248</v>
      </c>
      <c r="AQ465" s="6">
        <v>1248</v>
      </c>
      <c r="AR465" s="6">
        <v>1560</v>
      </c>
      <c r="AS465" s="6">
        <v>1248</v>
      </c>
      <c r="AT465" s="6">
        <v>1248</v>
      </c>
      <c r="AU465" s="6">
        <v>1560</v>
      </c>
      <c r="AV465" s="6">
        <v>1248</v>
      </c>
      <c r="AW465" s="93" t="s">
        <v>631</v>
      </c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 t="s">
        <v>631</v>
      </c>
      <c r="BP465" s="76" t="s">
        <v>631</v>
      </c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 t="s">
        <v>631</v>
      </c>
      <c r="DH465" s="96" t="s">
        <v>631</v>
      </c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95"/>
      <c r="DX465" s="90">
        <f t="shared" si="8"/>
        <v>5</v>
      </c>
      <c r="DY465" s="21"/>
      <c r="DZ465" s="21"/>
    </row>
    <row r="466" spans="1:130" x14ac:dyDescent="0.3">
      <c r="A466" s="4" t="s">
        <v>126</v>
      </c>
      <c r="B466" s="4" t="s">
        <v>310</v>
      </c>
      <c r="C466" s="91" t="s">
        <v>315</v>
      </c>
      <c r="D466" s="4" t="s">
        <v>316</v>
      </c>
      <c r="E466" s="12">
        <v>17.510000000000002</v>
      </c>
      <c r="F466" s="34">
        <f t="shared" si="9"/>
        <v>9805.6</v>
      </c>
      <c r="G466" s="28">
        <f t="shared" si="7"/>
        <v>560</v>
      </c>
      <c r="H466" s="28">
        <f t="shared" si="10"/>
        <v>47</v>
      </c>
      <c r="I466" s="26">
        <f t="shared" si="11"/>
        <v>4622.6400000000003</v>
      </c>
      <c r="J466" s="24">
        <f t="shared" si="12"/>
        <v>264</v>
      </c>
      <c r="K466" s="31">
        <f t="shared" si="13"/>
        <v>53</v>
      </c>
      <c r="L466" s="9">
        <v>0</v>
      </c>
      <c r="M466" s="9">
        <v>0</v>
      </c>
      <c r="N466" s="9">
        <v>0</v>
      </c>
      <c r="O466" s="9">
        <v>0</v>
      </c>
      <c r="P466" s="9">
        <v>100</v>
      </c>
      <c r="Q466" s="9">
        <v>100</v>
      </c>
      <c r="R466" s="9">
        <v>48</v>
      </c>
      <c r="S466" s="9">
        <v>60</v>
      </c>
      <c r="T466" s="9">
        <v>48</v>
      </c>
      <c r="U466" s="9">
        <v>48</v>
      </c>
      <c r="V466" s="9">
        <v>60</v>
      </c>
      <c r="W466" s="9">
        <v>48</v>
      </c>
      <c r="X466" s="9">
        <v>48</v>
      </c>
      <c r="Y466" s="9">
        <v>60</v>
      </c>
      <c r="Z466" s="9">
        <v>48</v>
      </c>
      <c r="AA466" s="9">
        <v>48</v>
      </c>
      <c r="AB466" s="9">
        <v>60</v>
      </c>
      <c r="AC466" s="9">
        <v>48</v>
      </c>
      <c r="AE466" s="6">
        <v>0</v>
      </c>
      <c r="AF466" s="6">
        <v>0</v>
      </c>
      <c r="AG466" s="6">
        <v>0</v>
      </c>
      <c r="AH466" s="6">
        <v>0</v>
      </c>
      <c r="AI466" s="6">
        <v>1622</v>
      </c>
      <c r="AJ466" s="6">
        <v>1751.0000000000002</v>
      </c>
      <c r="AK466" s="6">
        <v>840.48</v>
      </c>
      <c r="AL466" s="6">
        <v>973.19999999999993</v>
      </c>
      <c r="AM466" s="6">
        <v>778.56</v>
      </c>
      <c r="AN466" s="6">
        <v>778.56</v>
      </c>
      <c r="AO466" s="6">
        <v>973.19999999999993</v>
      </c>
      <c r="AP466" s="6">
        <v>778.56</v>
      </c>
      <c r="AQ466" s="6">
        <v>778.56</v>
      </c>
      <c r="AR466" s="6">
        <v>973.19999999999993</v>
      </c>
      <c r="AS466" s="6">
        <v>778.56</v>
      </c>
      <c r="AT466" s="6">
        <v>778.56</v>
      </c>
      <c r="AU466" s="6">
        <v>973.19999999999993</v>
      </c>
      <c r="AV466" s="6">
        <v>778.56</v>
      </c>
      <c r="AW466" s="93"/>
      <c r="AX466" s="76" t="s">
        <v>631</v>
      </c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 t="s">
        <v>631</v>
      </c>
      <c r="BP466" s="76" t="s">
        <v>631</v>
      </c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 t="s">
        <v>631</v>
      </c>
      <c r="DH466" s="96" t="s">
        <v>631</v>
      </c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95"/>
      <c r="DX466" s="90">
        <f t="shared" si="8"/>
        <v>5</v>
      </c>
      <c r="DY466" s="21"/>
      <c r="DZ466" s="21"/>
    </row>
    <row r="467" spans="1:130" collapsed="1" x14ac:dyDescent="0.3">
      <c r="A467" s="4" t="s">
        <v>126</v>
      </c>
      <c r="B467" s="4" t="s">
        <v>319</v>
      </c>
      <c r="C467" s="91" t="s">
        <v>320</v>
      </c>
      <c r="D467" s="4" t="s">
        <v>321</v>
      </c>
      <c r="E467" s="12">
        <v>5798.97</v>
      </c>
      <c r="F467" s="34">
        <f t="shared" si="9"/>
        <v>1067010.48</v>
      </c>
      <c r="G467" s="28">
        <f t="shared" si="7"/>
        <v>184</v>
      </c>
      <c r="H467" s="28">
        <f t="shared" si="10"/>
        <v>16</v>
      </c>
      <c r="I467" s="26">
        <f t="shared" si="11"/>
        <v>2934278.8200000003</v>
      </c>
      <c r="J467" s="24">
        <f t="shared" si="12"/>
        <v>506</v>
      </c>
      <c r="K467" s="31">
        <f t="shared" si="13"/>
        <v>102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92</v>
      </c>
      <c r="X467" s="9">
        <v>92</v>
      </c>
      <c r="Y467" s="9">
        <v>115</v>
      </c>
      <c r="Z467" s="9">
        <v>92</v>
      </c>
      <c r="AA467" s="9">
        <v>92</v>
      </c>
      <c r="AB467" s="9">
        <v>115</v>
      </c>
      <c r="AC467" s="9">
        <v>92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533505.24</v>
      </c>
      <c r="AQ467" s="6">
        <v>533505.24</v>
      </c>
      <c r="AR467" s="6">
        <v>666881.55000000005</v>
      </c>
      <c r="AS467" s="6">
        <v>533505.24</v>
      </c>
      <c r="AT467" s="6">
        <v>533505.24</v>
      </c>
      <c r="AU467" s="6">
        <v>666881.55000000005</v>
      </c>
      <c r="AV467" s="6">
        <v>533505.24</v>
      </c>
      <c r="AW467" s="93" t="s">
        <v>631</v>
      </c>
      <c r="AX467" s="76" t="s">
        <v>631</v>
      </c>
      <c r="AY467" s="76" t="s">
        <v>631</v>
      </c>
      <c r="AZ467" s="76"/>
      <c r="BA467" s="76" t="s">
        <v>631</v>
      </c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 t="s">
        <v>631</v>
      </c>
      <c r="BP467" s="76" t="s">
        <v>631</v>
      </c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 t="s">
        <v>631</v>
      </c>
      <c r="CX467" s="76"/>
      <c r="CY467" s="76"/>
      <c r="CZ467" s="76"/>
      <c r="DA467" s="76"/>
      <c r="DB467" s="76"/>
      <c r="DC467" s="76"/>
      <c r="DD467" s="76"/>
      <c r="DE467" s="76"/>
      <c r="DF467" s="76"/>
      <c r="DG467" s="76" t="s">
        <v>631</v>
      </c>
      <c r="DH467" s="96" t="s">
        <v>631</v>
      </c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95"/>
      <c r="DX467" s="90">
        <f t="shared" si="8"/>
        <v>9</v>
      </c>
      <c r="DY467" s="21"/>
      <c r="DZ467" s="21"/>
    </row>
    <row r="468" spans="1:130" hidden="1" outlineLevel="1" x14ac:dyDescent="0.3">
      <c r="A468" s="4"/>
      <c r="B468" s="4"/>
      <c r="C468" s="4" t="s">
        <v>1060</v>
      </c>
      <c r="D468" s="4"/>
      <c r="E468" s="12"/>
      <c r="F468" s="34"/>
      <c r="G468" s="28"/>
      <c r="H468" s="28"/>
      <c r="I468" s="26"/>
      <c r="J468" s="24"/>
      <c r="K468" s="31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93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 t="s">
        <v>631</v>
      </c>
      <c r="DA468" s="76"/>
      <c r="DB468" s="76"/>
      <c r="DC468" s="76"/>
      <c r="DD468" s="76"/>
      <c r="DE468" s="76"/>
      <c r="DF468" s="76"/>
      <c r="DG468" s="76"/>
      <c r="DH468" s="9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95"/>
      <c r="DX468" s="90"/>
      <c r="DY468" s="21"/>
      <c r="DZ468" s="21"/>
    </row>
    <row r="469" spans="1:130" hidden="1" outlineLevel="1" x14ac:dyDescent="0.3">
      <c r="A469" s="4"/>
      <c r="B469" s="4"/>
      <c r="C469" s="4" t="s">
        <v>1061</v>
      </c>
      <c r="D469" s="4"/>
      <c r="E469" s="12"/>
      <c r="F469" s="34"/>
      <c r="G469" s="28"/>
      <c r="H469" s="28"/>
      <c r="I469" s="26"/>
      <c r="J469" s="24"/>
      <c r="K469" s="31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93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 t="s">
        <v>631</v>
      </c>
      <c r="DH469" s="9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95"/>
      <c r="DX469" s="90"/>
      <c r="DY469" s="21"/>
      <c r="DZ469" s="21"/>
    </row>
    <row r="470" spans="1:130" hidden="1" outlineLevel="1" x14ac:dyDescent="0.3">
      <c r="A470" s="4"/>
      <c r="B470" s="4"/>
      <c r="C470" s="4" t="s">
        <v>1062</v>
      </c>
      <c r="D470" s="4"/>
      <c r="E470" s="12"/>
      <c r="F470" s="34"/>
      <c r="G470" s="28"/>
      <c r="H470" s="28"/>
      <c r="I470" s="26"/>
      <c r="J470" s="24"/>
      <c r="K470" s="31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93" t="s">
        <v>631</v>
      </c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 t="s">
        <v>631</v>
      </c>
      <c r="BQ470" s="76"/>
      <c r="BR470" s="76"/>
      <c r="BS470" s="76"/>
      <c r="BT470" s="76"/>
      <c r="BU470" s="76"/>
      <c r="BV470" s="76"/>
      <c r="BW470" s="76"/>
      <c r="BX470" s="76"/>
      <c r="BY470" s="76"/>
      <c r="BZ470" s="76" t="s">
        <v>631</v>
      </c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9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95"/>
      <c r="DX470" s="90"/>
      <c r="DY470" s="21"/>
      <c r="DZ470" s="21"/>
    </row>
    <row r="471" spans="1:130" hidden="1" outlineLevel="1" x14ac:dyDescent="0.3">
      <c r="A471" s="4"/>
      <c r="B471" s="4"/>
      <c r="C471" s="4" t="s">
        <v>1063</v>
      </c>
      <c r="D471" s="4"/>
      <c r="E471" s="12"/>
      <c r="F471" s="34"/>
      <c r="G471" s="28"/>
      <c r="H471" s="28"/>
      <c r="I471" s="26"/>
      <c r="J471" s="24"/>
      <c r="K471" s="31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93" t="s">
        <v>631</v>
      </c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 t="s">
        <v>631</v>
      </c>
      <c r="BQ471" s="76"/>
      <c r="BR471" s="76"/>
      <c r="BS471" s="76"/>
      <c r="BT471" s="76"/>
      <c r="BU471" s="76"/>
      <c r="BV471" s="76"/>
      <c r="BW471" s="76"/>
      <c r="BX471" s="76"/>
      <c r="BY471" s="76"/>
      <c r="BZ471" s="76" t="s">
        <v>631</v>
      </c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9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95"/>
      <c r="DX471" s="90"/>
      <c r="DY471" s="21"/>
      <c r="DZ471" s="21"/>
    </row>
    <row r="472" spans="1:130" hidden="1" outlineLevel="1" x14ac:dyDescent="0.3">
      <c r="A472" s="4"/>
      <c r="B472" s="4"/>
      <c r="C472" s="4" t="s">
        <v>1064</v>
      </c>
      <c r="D472" s="4"/>
      <c r="E472" s="12"/>
      <c r="F472" s="34"/>
      <c r="G472" s="28"/>
      <c r="H472" s="28"/>
      <c r="I472" s="26"/>
      <c r="J472" s="24"/>
      <c r="K472" s="31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93" t="s">
        <v>631</v>
      </c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 t="s">
        <v>631</v>
      </c>
      <c r="BQ472" s="76"/>
      <c r="BR472" s="76"/>
      <c r="BS472" s="76"/>
      <c r="BT472" s="76"/>
      <c r="BU472" s="76"/>
      <c r="BV472" s="76"/>
      <c r="BW472" s="76"/>
      <c r="BX472" s="76"/>
      <c r="BY472" s="76"/>
      <c r="BZ472" s="76" t="s">
        <v>631</v>
      </c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9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95"/>
      <c r="DX472" s="90"/>
      <c r="DY472" s="21"/>
      <c r="DZ472" s="21"/>
    </row>
    <row r="473" spans="1:130" hidden="1" outlineLevel="1" x14ac:dyDescent="0.3">
      <c r="A473" s="4"/>
      <c r="B473" s="4"/>
      <c r="C473" s="4" t="s">
        <v>1065</v>
      </c>
      <c r="D473" s="4"/>
      <c r="E473" s="12"/>
      <c r="F473" s="34"/>
      <c r="G473" s="28"/>
      <c r="H473" s="28"/>
      <c r="I473" s="26"/>
      <c r="J473" s="24"/>
      <c r="K473" s="31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93" t="s">
        <v>631</v>
      </c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 t="s">
        <v>631</v>
      </c>
      <c r="BQ473" s="76"/>
      <c r="BR473" s="76"/>
      <c r="BS473" s="76"/>
      <c r="BT473" s="76"/>
      <c r="BU473" s="76"/>
      <c r="BV473" s="76"/>
      <c r="BW473" s="76"/>
      <c r="BX473" s="76"/>
      <c r="BY473" s="76"/>
      <c r="BZ473" s="76" t="s">
        <v>631</v>
      </c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9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95"/>
      <c r="DX473" s="90"/>
      <c r="DY473" s="21"/>
      <c r="DZ473" s="21"/>
    </row>
    <row r="474" spans="1:130" hidden="1" outlineLevel="1" x14ac:dyDescent="0.3">
      <c r="A474" s="4"/>
      <c r="B474" s="4"/>
      <c r="C474" s="4" t="s">
        <v>1066</v>
      </c>
      <c r="D474" s="4"/>
      <c r="E474" s="12"/>
      <c r="F474" s="34"/>
      <c r="G474" s="28"/>
      <c r="H474" s="28"/>
      <c r="I474" s="26"/>
      <c r="J474" s="24"/>
      <c r="K474" s="31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93" t="s">
        <v>631</v>
      </c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 t="s">
        <v>631</v>
      </c>
      <c r="BQ474" s="76"/>
      <c r="BR474" s="76"/>
      <c r="BS474" s="76"/>
      <c r="BT474" s="76"/>
      <c r="BU474" s="76"/>
      <c r="BV474" s="76"/>
      <c r="BW474" s="76"/>
      <c r="BX474" s="76"/>
      <c r="BY474" s="76"/>
      <c r="BZ474" s="76" t="s">
        <v>631</v>
      </c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9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95"/>
      <c r="DX474" s="90"/>
      <c r="DY474" s="21"/>
      <c r="DZ474" s="21"/>
    </row>
    <row r="475" spans="1:130" hidden="1" outlineLevel="1" x14ac:dyDescent="0.3">
      <c r="A475" s="4"/>
      <c r="B475" s="4"/>
      <c r="C475" s="4" t="s">
        <v>1067</v>
      </c>
      <c r="D475" s="4"/>
      <c r="E475" s="12"/>
      <c r="F475" s="34"/>
      <c r="G475" s="28"/>
      <c r="H475" s="28"/>
      <c r="I475" s="26"/>
      <c r="J475" s="24"/>
      <c r="K475" s="31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93" t="s">
        <v>631</v>
      </c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 t="s">
        <v>631</v>
      </c>
      <c r="BQ475" s="76"/>
      <c r="BR475" s="76"/>
      <c r="BS475" s="76"/>
      <c r="BT475" s="76"/>
      <c r="BU475" s="76"/>
      <c r="BV475" s="76"/>
      <c r="BW475" s="76"/>
      <c r="BX475" s="76"/>
      <c r="BY475" s="76"/>
      <c r="BZ475" s="76" t="s">
        <v>631</v>
      </c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9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95"/>
      <c r="DX475" s="90"/>
      <c r="DY475" s="21"/>
      <c r="DZ475" s="21"/>
    </row>
    <row r="476" spans="1:130" hidden="1" outlineLevel="1" x14ac:dyDescent="0.3">
      <c r="A476" s="4"/>
      <c r="B476" s="4"/>
      <c r="C476" s="4" t="s">
        <v>1068</v>
      </c>
      <c r="D476" s="4"/>
      <c r="E476" s="12"/>
      <c r="F476" s="34"/>
      <c r="G476" s="28"/>
      <c r="H476" s="28"/>
      <c r="I476" s="26"/>
      <c r="J476" s="24"/>
      <c r="K476" s="31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93" t="s">
        <v>631</v>
      </c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 t="s">
        <v>631</v>
      </c>
      <c r="BQ476" s="76"/>
      <c r="BR476" s="76"/>
      <c r="BS476" s="76"/>
      <c r="BT476" s="76"/>
      <c r="BU476" s="76"/>
      <c r="BV476" s="76"/>
      <c r="BW476" s="76"/>
      <c r="BX476" s="76"/>
      <c r="BY476" s="76"/>
      <c r="BZ476" s="76" t="s">
        <v>631</v>
      </c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9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95"/>
      <c r="DX476" s="90"/>
      <c r="DY476" s="21"/>
      <c r="DZ476" s="21"/>
    </row>
    <row r="477" spans="1:130" hidden="1" outlineLevel="1" x14ac:dyDescent="0.3">
      <c r="A477" s="4"/>
      <c r="B477" s="4"/>
      <c r="C477" s="4" t="s">
        <v>1069</v>
      </c>
      <c r="D477" s="4"/>
      <c r="E477" s="12"/>
      <c r="F477" s="34"/>
      <c r="G477" s="28"/>
      <c r="H477" s="28"/>
      <c r="I477" s="26"/>
      <c r="J477" s="24"/>
      <c r="K477" s="31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93" t="s">
        <v>631</v>
      </c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 t="s">
        <v>631</v>
      </c>
      <c r="BQ477" s="76"/>
      <c r="BR477" s="76"/>
      <c r="BS477" s="76"/>
      <c r="BT477" s="76"/>
      <c r="BU477" s="76"/>
      <c r="BV477" s="76"/>
      <c r="BW477" s="76"/>
      <c r="BX477" s="76"/>
      <c r="BY477" s="76"/>
      <c r="BZ477" s="76" t="s">
        <v>631</v>
      </c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9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95"/>
      <c r="DX477" s="90"/>
      <c r="DY477" s="21"/>
      <c r="DZ477" s="21"/>
    </row>
    <row r="478" spans="1:130" hidden="1" outlineLevel="1" x14ac:dyDescent="0.3">
      <c r="A478" s="4"/>
      <c r="B478" s="4"/>
      <c r="C478" s="4" t="s">
        <v>1070</v>
      </c>
      <c r="D478" s="4"/>
      <c r="E478" s="12"/>
      <c r="F478" s="34"/>
      <c r="G478" s="28"/>
      <c r="H478" s="28"/>
      <c r="I478" s="26"/>
      <c r="J478" s="24"/>
      <c r="K478" s="31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93" t="s">
        <v>631</v>
      </c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 t="s">
        <v>631</v>
      </c>
      <c r="BQ478" s="76"/>
      <c r="BR478" s="76"/>
      <c r="BS478" s="76"/>
      <c r="BT478" s="76"/>
      <c r="BU478" s="76"/>
      <c r="BV478" s="76"/>
      <c r="BW478" s="76"/>
      <c r="BX478" s="76"/>
      <c r="BY478" s="76"/>
      <c r="BZ478" s="76" t="s">
        <v>631</v>
      </c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9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95"/>
      <c r="DX478" s="90"/>
      <c r="DY478" s="21"/>
      <c r="DZ478" s="21"/>
    </row>
    <row r="479" spans="1:130" hidden="1" outlineLevel="1" x14ac:dyDescent="0.3">
      <c r="A479" s="4"/>
      <c r="B479" s="4"/>
      <c r="C479" s="4" t="s">
        <v>1071</v>
      </c>
      <c r="D479" s="4"/>
      <c r="E479" s="12"/>
      <c r="F479" s="34"/>
      <c r="G479" s="28"/>
      <c r="H479" s="28"/>
      <c r="I479" s="26"/>
      <c r="J479" s="24"/>
      <c r="K479" s="31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93" t="s">
        <v>631</v>
      </c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 t="s">
        <v>631</v>
      </c>
      <c r="BQ479" s="76"/>
      <c r="BR479" s="76"/>
      <c r="BS479" s="76"/>
      <c r="BT479" s="76"/>
      <c r="BU479" s="76"/>
      <c r="BV479" s="76"/>
      <c r="BW479" s="76"/>
      <c r="BX479" s="76"/>
      <c r="BY479" s="76"/>
      <c r="BZ479" s="76" t="s">
        <v>631</v>
      </c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9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95"/>
      <c r="DX479" s="90"/>
      <c r="DY479" s="21"/>
      <c r="DZ479" s="21"/>
    </row>
    <row r="480" spans="1:130" hidden="1" outlineLevel="1" x14ac:dyDescent="0.3">
      <c r="A480" s="4"/>
      <c r="B480" s="4"/>
      <c r="C480" s="4" t="s">
        <v>1072</v>
      </c>
      <c r="D480" s="4"/>
      <c r="E480" s="12"/>
      <c r="F480" s="34"/>
      <c r="G480" s="28"/>
      <c r="H480" s="28"/>
      <c r="I480" s="26"/>
      <c r="J480" s="24"/>
      <c r="K480" s="31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93" t="s">
        <v>631</v>
      </c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 t="s">
        <v>631</v>
      </c>
      <c r="BQ480" s="76"/>
      <c r="BR480" s="76"/>
      <c r="BS480" s="76"/>
      <c r="BT480" s="76"/>
      <c r="BU480" s="76"/>
      <c r="BV480" s="76"/>
      <c r="BW480" s="76"/>
      <c r="BX480" s="76"/>
      <c r="BY480" s="76"/>
      <c r="BZ480" s="76" t="s">
        <v>631</v>
      </c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9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95"/>
      <c r="DX480" s="90"/>
      <c r="DY480" s="21"/>
      <c r="DZ480" s="21"/>
    </row>
    <row r="481" spans="1:130" hidden="1" outlineLevel="1" x14ac:dyDescent="0.3">
      <c r="A481" s="4"/>
      <c r="B481" s="4"/>
      <c r="C481" s="4" t="s">
        <v>1073</v>
      </c>
      <c r="D481" s="4"/>
      <c r="E481" s="12"/>
      <c r="F481" s="34"/>
      <c r="G481" s="28"/>
      <c r="H481" s="28"/>
      <c r="I481" s="26"/>
      <c r="J481" s="24"/>
      <c r="K481" s="31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93" t="s">
        <v>631</v>
      </c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 t="s">
        <v>631</v>
      </c>
      <c r="BQ481" s="76"/>
      <c r="BR481" s="76"/>
      <c r="BS481" s="76"/>
      <c r="BT481" s="76"/>
      <c r="BU481" s="76"/>
      <c r="BV481" s="76"/>
      <c r="BW481" s="76"/>
      <c r="BX481" s="76"/>
      <c r="BY481" s="76"/>
      <c r="BZ481" s="76" t="s">
        <v>631</v>
      </c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9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95"/>
      <c r="DX481" s="90"/>
      <c r="DY481" s="21"/>
      <c r="DZ481" s="21"/>
    </row>
    <row r="482" spans="1:130" hidden="1" outlineLevel="1" x14ac:dyDescent="0.3">
      <c r="A482" s="4"/>
      <c r="B482" s="4"/>
      <c r="C482" s="4" t="s">
        <v>1074</v>
      </c>
      <c r="D482" s="4"/>
      <c r="E482" s="12"/>
      <c r="F482" s="34"/>
      <c r="G482" s="28"/>
      <c r="H482" s="28"/>
      <c r="I482" s="26"/>
      <c r="J482" s="24"/>
      <c r="K482" s="31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93"/>
      <c r="AX482" s="76"/>
      <c r="AY482" s="76" t="s">
        <v>631</v>
      </c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 t="s">
        <v>631</v>
      </c>
      <c r="BQ482" s="76"/>
      <c r="BR482" s="76"/>
      <c r="BS482" s="76"/>
      <c r="BT482" s="76"/>
      <c r="BU482" s="76"/>
      <c r="BV482" s="76"/>
      <c r="BW482" s="76"/>
      <c r="BX482" s="76"/>
      <c r="BY482" s="76"/>
      <c r="BZ482" s="76" t="s">
        <v>631</v>
      </c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9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95"/>
      <c r="DX482" s="90"/>
      <c r="DY482" s="21"/>
      <c r="DZ482" s="21"/>
    </row>
    <row r="483" spans="1:130" hidden="1" outlineLevel="1" x14ac:dyDescent="0.3">
      <c r="A483" s="4"/>
      <c r="B483" s="4"/>
      <c r="C483" s="4" t="s">
        <v>1075</v>
      </c>
      <c r="D483" s="4"/>
      <c r="E483" s="12"/>
      <c r="F483" s="34"/>
      <c r="G483" s="28"/>
      <c r="H483" s="28"/>
      <c r="I483" s="26"/>
      <c r="J483" s="24"/>
      <c r="K483" s="31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93" t="s">
        <v>631</v>
      </c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 t="s">
        <v>631</v>
      </c>
      <c r="BQ483" s="76"/>
      <c r="BR483" s="76"/>
      <c r="BS483" s="76"/>
      <c r="BT483" s="76"/>
      <c r="BU483" s="76"/>
      <c r="BV483" s="76"/>
      <c r="BW483" s="76"/>
      <c r="BX483" s="76"/>
      <c r="BY483" s="76"/>
      <c r="BZ483" s="76" t="s">
        <v>631</v>
      </c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9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95"/>
      <c r="DX483" s="90"/>
      <c r="DY483" s="21"/>
      <c r="DZ483" s="21"/>
    </row>
    <row r="484" spans="1:130" hidden="1" outlineLevel="1" x14ac:dyDescent="0.3">
      <c r="A484" s="4"/>
      <c r="B484" s="4"/>
      <c r="C484" s="4" t="s">
        <v>1076</v>
      </c>
      <c r="D484" s="4"/>
      <c r="E484" s="12"/>
      <c r="F484" s="34"/>
      <c r="G484" s="28"/>
      <c r="H484" s="28"/>
      <c r="I484" s="26"/>
      <c r="J484" s="24"/>
      <c r="K484" s="31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93"/>
      <c r="AX484" s="76"/>
      <c r="AY484" s="76" t="s">
        <v>631</v>
      </c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 t="s">
        <v>631</v>
      </c>
      <c r="BS484" s="76"/>
      <c r="BT484" s="76"/>
      <c r="BU484" s="76"/>
      <c r="BV484" s="76"/>
      <c r="BW484" s="76"/>
      <c r="BX484" s="76"/>
      <c r="BY484" s="76"/>
      <c r="BZ484" s="76" t="s">
        <v>631</v>
      </c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9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95"/>
      <c r="DX484" s="90"/>
      <c r="DY484" s="21"/>
      <c r="DZ484" s="21"/>
    </row>
    <row r="485" spans="1:130" hidden="1" outlineLevel="1" x14ac:dyDescent="0.3">
      <c r="A485" s="4"/>
      <c r="B485" s="4"/>
      <c r="C485" s="4" t="s">
        <v>1077</v>
      </c>
      <c r="D485" s="4"/>
      <c r="E485" s="12"/>
      <c r="F485" s="34"/>
      <c r="G485" s="28"/>
      <c r="H485" s="28"/>
      <c r="I485" s="26"/>
      <c r="J485" s="24"/>
      <c r="K485" s="31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93" t="s">
        <v>631</v>
      </c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 t="s">
        <v>631</v>
      </c>
      <c r="BQ485" s="76"/>
      <c r="BR485" s="76"/>
      <c r="BS485" s="76"/>
      <c r="BT485" s="76"/>
      <c r="BU485" s="76"/>
      <c r="BV485" s="76"/>
      <c r="BW485" s="76"/>
      <c r="BX485" s="76"/>
      <c r="BY485" s="76"/>
      <c r="BZ485" s="76" t="s">
        <v>631</v>
      </c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9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95"/>
      <c r="DX485" s="90"/>
      <c r="DY485" s="21"/>
      <c r="DZ485" s="21"/>
    </row>
    <row r="486" spans="1:130" hidden="1" outlineLevel="1" x14ac:dyDescent="0.3">
      <c r="A486" s="4"/>
      <c r="B486" s="4"/>
      <c r="C486" s="4" t="s">
        <v>1078</v>
      </c>
      <c r="D486" s="4"/>
      <c r="E486" s="12"/>
      <c r="F486" s="34"/>
      <c r="G486" s="28"/>
      <c r="H486" s="28"/>
      <c r="I486" s="26"/>
      <c r="J486" s="24"/>
      <c r="K486" s="31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93" t="s">
        <v>631</v>
      </c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 t="s">
        <v>631</v>
      </c>
      <c r="BQ486" s="76"/>
      <c r="BR486" s="76"/>
      <c r="BS486" s="76"/>
      <c r="BT486" s="76"/>
      <c r="BU486" s="76"/>
      <c r="BV486" s="76"/>
      <c r="BW486" s="76"/>
      <c r="BX486" s="76"/>
      <c r="BY486" s="76"/>
      <c r="BZ486" s="76" t="s">
        <v>631</v>
      </c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9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95"/>
      <c r="DX486" s="90"/>
      <c r="DY486" s="21"/>
      <c r="DZ486" s="21"/>
    </row>
    <row r="487" spans="1:130" hidden="1" outlineLevel="1" x14ac:dyDescent="0.3">
      <c r="A487" s="4"/>
      <c r="B487" s="4"/>
      <c r="C487" s="4" t="s">
        <v>1079</v>
      </c>
      <c r="D487" s="4"/>
      <c r="E487" s="12"/>
      <c r="F487" s="34"/>
      <c r="G487" s="28"/>
      <c r="H487" s="28"/>
      <c r="I487" s="26"/>
      <c r="J487" s="24"/>
      <c r="K487" s="31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93" t="s">
        <v>631</v>
      </c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 t="s">
        <v>631</v>
      </c>
      <c r="BQ487" s="76"/>
      <c r="BR487" s="76"/>
      <c r="BS487" s="76"/>
      <c r="BT487" s="76"/>
      <c r="BU487" s="76"/>
      <c r="BV487" s="76"/>
      <c r="BW487" s="76"/>
      <c r="BX487" s="76"/>
      <c r="BY487" s="76"/>
      <c r="BZ487" s="76" t="s">
        <v>631</v>
      </c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9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95"/>
      <c r="DX487" s="90"/>
      <c r="DY487" s="21"/>
      <c r="DZ487" s="21"/>
    </row>
    <row r="488" spans="1:130" hidden="1" outlineLevel="1" x14ac:dyDescent="0.3">
      <c r="A488" s="4"/>
      <c r="B488" s="4"/>
      <c r="C488" s="4" t="s">
        <v>910</v>
      </c>
      <c r="D488" s="4"/>
      <c r="E488" s="12"/>
      <c r="F488" s="34"/>
      <c r="G488" s="28"/>
      <c r="H488" s="28"/>
      <c r="I488" s="26"/>
      <c r="J488" s="24"/>
      <c r="K488" s="31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93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 t="s">
        <v>631</v>
      </c>
      <c r="DH488" s="9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95"/>
      <c r="DX488" s="90"/>
      <c r="DY488" s="21"/>
      <c r="DZ488" s="21"/>
    </row>
    <row r="489" spans="1:130" hidden="1" outlineLevel="1" x14ac:dyDescent="0.3">
      <c r="A489" s="4"/>
      <c r="B489" s="4"/>
      <c r="C489" s="4" t="s">
        <v>1080</v>
      </c>
      <c r="D489" s="4"/>
      <c r="E489" s="12"/>
      <c r="F489" s="34"/>
      <c r="G489" s="28"/>
      <c r="H489" s="28"/>
      <c r="I489" s="26"/>
      <c r="J489" s="24"/>
      <c r="K489" s="31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93"/>
      <c r="AX489" s="76" t="s">
        <v>631</v>
      </c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 t="s">
        <v>631</v>
      </c>
      <c r="BQ489" s="76"/>
      <c r="BR489" s="76"/>
      <c r="BS489" s="76"/>
      <c r="BT489" s="76"/>
      <c r="BU489" s="76"/>
      <c r="BV489" s="76"/>
      <c r="BW489" s="76"/>
      <c r="BX489" s="76"/>
      <c r="BY489" s="76"/>
      <c r="BZ489" s="76" t="s">
        <v>631</v>
      </c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 t="s">
        <v>631</v>
      </c>
      <c r="DH489" s="9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95"/>
      <c r="DX489" s="90"/>
      <c r="DY489" s="21"/>
      <c r="DZ489" s="21"/>
    </row>
    <row r="490" spans="1:130" hidden="1" outlineLevel="1" x14ac:dyDescent="0.3">
      <c r="A490" s="4"/>
      <c r="B490" s="4"/>
      <c r="C490" s="4" t="s">
        <v>1081</v>
      </c>
      <c r="D490" s="4"/>
      <c r="E490" s="12"/>
      <c r="F490" s="34"/>
      <c r="G490" s="28"/>
      <c r="H490" s="28"/>
      <c r="I490" s="26"/>
      <c r="J490" s="24"/>
      <c r="K490" s="31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93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 t="s">
        <v>631</v>
      </c>
      <c r="DH490" s="9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95"/>
      <c r="DX490" s="90"/>
      <c r="DY490" s="21"/>
      <c r="DZ490" s="21"/>
    </row>
    <row r="491" spans="1:130" hidden="1" outlineLevel="1" x14ac:dyDescent="0.3">
      <c r="A491" s="4"/>
      <c r="B491" s="4"/>
      <c r="C491" s="4" t="s">
        <v>1082</v>
      </c>
      <c r="D491" s="4"/>
      <c r="E491" s="12"/>
      <c r="F491" s="34"/>
      <c r="G491" s="28"/>
      <c r="H491" s="28"/>
      <c r="I491" s="26"/>
      <c r="J491" s="24"/>
      <c r="K491" s="31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93" t="s">
        <v>631</v>
      </c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 t="s">
        <v>631</v>
      </c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 t="s">
        <v>631</v>
      </c>
      <c r="DH491" s="9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95"/>
      <c r="DX491" s="90"/>
      <c r="DY491" s="21"/>
      <c r="DZ491" s="21"/>
    </row>
    <row r="492" spans="1:130" hidden="1" outlineLevel="1" x14ac:dyDescent="0.3">
      <c r="A492" s="4"/>
      <c r="B492" s="4"/>
      <c r="C492" s="4" t="s">
        <v>1083</v>
      </c>
      <c r="D492" s="4"/>
      <c r="E492" s="12"/>
      <c r="F492" s="34"/>
      <c r="G492" s="28"/>
      <c r="H492" s="28"/>
      <c r="I492" s="26"/>
      <c r="J492" s="24"/>
      <c r="K492" s="31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93"/>
      <c r="AX492" s="76"/>
      <c r="AY492" s="76" t="s">
        <v>631</v>
      </c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 t="s">
        <v>631</v>
      </c>
      <c r="BQ492" s="76"/>
      <c r="BR492" s="76"/>
      <c r="BS492" s="76"/>
      <c r="BT492" s="76"/>
      <c r="BU492" s="76"/>
      <c r="BV492" s="76"/>
      <c r="BW492" s="76"/>
      <c r="BX492" s="76"/>
      <c r="BY492" s="76"/>
      <c r="BZ492" s="76" t="s">
        <v>631</v>
      </c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9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95"/>
      <c r="DX492" s="90"/>
      <c r="DY492" s="21"/>
      <c r="DZ492" s="21"/>
    </row>
    <row r="493" spans="1:130" hidden="1" outlineLevel="1" x14ac:dyDescent="0.3">
      <c r="A493" s="4"/>
      <c r="B493" s="4"/>
      <c r="C493" s="4" t="s">
        <v>1084</v>
      </c>
      <c r="D493" s="4"/>
      <c r="E493" s="12"/>
      <c r="F493" s="34"/>
      <c r="G493" s="28"/>
      <c r="H493" s="28"/>
      <c r="I493" s="26"/>
      <c r="J493" s="24"/>
      <c r="K493" s="31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93" t="s">
        <v>631</v>
      </c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 t="s">
        <v>631</v>
      </c>
      <c r="BQ493" s="76"/>
      <c r="BR493" s="76"/>
      <c r="BS493" s="76"/>
      <c r="BT493" s="76"/>
      <c r="BU493" s="76"/>
      <c r="BV493" s="76"/>
      <c r="BW493" s="76"/>
      <c r="BX493" s="76"/>
      <c r="BY493" s="76"/>
      <c r="BZ493" s="76" t="s">
        <v>631</v>
      </c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9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95"/>
      <c r="DX493" s="90"/>
      <c r="DY493" s="21"/>
      <c r="DZ493" s="21"/>
    </row>
    <row r="494" spans="1:130" hidden="1" outlineLevel="1" x14ac:dyDescent="0.3">
      <c r="A494" s="4"/>
      <c r="B494" s="4"/>
      <c r="C494" s="4" t="s">
        <v>1085</v>
      </c>
      <c r="D494" s="4"/>
      <c r="E494" s="12"/>
      <c r="F494" s="34"/>
      <c r="G494" s="28"/>
      <c r="H494" s="28"/>
      <c r="I494" s="26"/>
      <c r="J494" s="24"/>
      <c r="K494" s="31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93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 t="s">
        <v>631</v>
      </c>
      <c r="DA494" s="76"/>
      <c r="DB494" s="76"/>
      <c r="DC494" s="76"/>
      <c r="DD494" s="76"/>
      <c r="DE494" s="76"/>
      <c r="DF494" s="76"/>
      <c r="DG494" s="76"/>
      <c r="DH494" s="9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95"/>
      <c r="DX494" s="90"/>
      <c r="DY494" s="21"/>
      <c r="DZ494" s="21"/>
    </row>
    <row r="495" spans="1:130" hidden="1" outlineLevel="1" x14ac:dyDescent="0.3">
      <c r="A495" s="4"/>
      <c r="B495" s="4"/>
      <c r="C495" s="4" t="s">
        <v>911</v>
      </c>
      <c r="D495" s="4"/>
      <c r="E495" s="12"/>
      <c r="F495" s="34"/>
      <c r="G495" s="28"/>
      <c r="H495" s="28"/>
      <c r="I495" s="26"/>
      <c r="J495" s="24"/>
      <c r="K495" s="31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93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 t="s">
        <v>631</v>
      </c>
      <c r="DH495" s="9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95"/>
      <c r="DX495" s="90"/>
      <c r="DY495" s="21"/>
      <c r="DZ495" s="21"/>
    </row>
    <row r="496" spans="1:130" hidden="1" outlineLevel="1" x14ac:dyDescent="0.3">
      <c r="A496" s="4"/>
      <c r="B496" s="4"/>
      <c r="C496" s="4" t="s">
        <v>1086</v>
      </c>
      <c r="D496" s="4"/>
      <c r="E496" s="12"/>
      <c r="F496" s="34"/>
      <c r="G496" s="28"/>
      <c r="H496" s="28"/>
      <c r="I496" s="26"/>
      <c r="J496" s="24"/>
      <c r="K496" s="31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93" t="s">
        <v>631</v>
      </c>
      <c r="AX496" s="76"/>
      <c r="AY496" s="76"/>
      <c r="AZ496" s="76"/>
      <c r="BA496" s="76" t="s">
        <v>631</v>
      </c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 t="s">
        <v>631</v>
      </c>
      <c r="BQ496" s="76"/>
      <c r="BR496" s="76"/>
      <c r="BS496" s="76"/>
      <c r="BT496" s="76"/>
      <c r="BU496" s="76"/>
      <c r="BV496" s="76"/>
      <c r="BW496" s="76"/>
      <c r="BX496" s="76"/>
      <c r="BY496" s="76"/>
      <c r="BZ496" s="76" t="s">
        <v>631</v>
      </c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9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95"/>
      <c r="DX496" s="90"/>
      <c r="DY496" s="21"/>
      <c r="DZ496" s="21"/>
    </row>
    <row r="497" spans="1:130" hidden="1" outlineLevel="1" x14ac:dyDescent="0.3">
      <c r="A497" s="4"/>
      <c r="B497" s="4"/>
      <c r="C497" s="4" t="s">
        <v>1087</v>
      </c>
      <c r="D497" s="4"/>
      <c r="E497" s="12"/>
      <c r="F497" s="34"/>
      <c r="G497" s="28"/>
      <c r="H497" s="28"/>
      <c r="I497" s="26"/>
      <c r="J497" s="24"/>
      <c r="K497" s="31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93"/>
      <c r="AX497" s="76"/>
      <c r="AY497" s="76" t="s">
        <v>631</v>
      </c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 t="s">
        <v>631</v>
      </c>
      <c r="BP497" s="76" t="s">
        <v>631</v>
      </c>
      <c r="BQ497" s="76"/>
      <c r="BR497" s="76"/>
      <c r="BS497" s="76"/>
      <c r="BT497" s="76"/>
      <c r="BU497" s="76"/>
      <c r="BV497" s="76"/>
      <c r="BW497" s="76"/>
      <c r="BX497" s="76"/>
      <c r="BY497" s="76"/>
      <c r="BZ497" s="76" t="s">
        <v>631</v>
      </c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9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95"/>
      <c r="DX497" s="90"/>
      <c r="DY497" s="21"/>
      <c r="DZ497" s="21"/>
    </row>
    <row r="498" spans="1:130" hidden="1" outlineLevel="1" x14ac:dyDescent="0.3">
      <c r="A498" s="4"/>
      <c r="B498" s="4"/>
      <c r="C498" s="4" t="s">
        <v>1088</v>
      </c>
      <c r="D498" s="4"/>
      <c r="E498" s="12"/>
      <c r="F498" s="34"/>
      <c r="G498" s="28"/>
      <c r="H498" s="28"/>
      <c r="I498" s="26"/>
      <c r="J498" s="24"/>
      <c r="K498" s="31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93" t="s">
        <v>631</v>
      </c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 t="s">
        <v>631</v>
      </c>
      <c r="BQ498" s="76"/>
      <c r="BR498" s="76"/>
      <c r="BS498" s="76"/>
      <c r="BT498" s="76"/>
      <c r="BU498" s="76"/>
      <c r="BV498" s="76"/>
      <c r="BW498" s="76"/>
      <c r="BX498" s="76"/>
      <c r="BY498" s="76"/>
      <c r="BZ498" s="76" t="s">
        <v>631</v>
      </c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9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95"/>
      <c r="DX498" s="90"/>
      <c r="DY498" s="21"/>
      <c r="DZ498" s="21"/>
    </row>
    <row r="499" spans="1:130" hidden="1" outlineLevel="1" x14ac:dyDescent="0.3">
      <c r="A499" s="4"/>
      <c r="B499" s="4"/>
      <c r="C499" s="4" t="s">
        <v>1089</v>
      </c>
      <c r="D499" s="4"/>
      <c r="E499" s="12"/>
      <c r="F499" s="34"/>
      <c r="G499" s="28"/>
      <c r="H499" s="28"/>
      <c r="I499" s="26"/>
      <c r="J499" s="24"/>
      <c r="K499" s="31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93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 t="s">
        <v>631</v>
      </c>
      <c r="DA499" s="76"/>
      <c r="DB499" s="76"/>
      <c r="DC499" s="76"/>
      <c r="DD499" s="76"/>
      <c r="DE499" s="76"/>
      <c r="DF499" s="76"/>
      <c r="DG499" s="76"/>
      <c r="DH499" s="9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95"/>
      <c r="DX499" s="90"/>
      <c r="DY499" s="21"/>
      <c r="DZ499" s="21"/>
    </row>
    <row r="500" spans="1:130" hidden="1" outlineLevel="1" x14ac:dyDescent="0.3">
      <c r="A500" s="4"/>
      <c r="B500" s="4"/>
      <c r="C500" s="4" t="s">
        <v>1090</v>
      </c>
      <c r="D500" s="4"/>
      <c r="E500" s="12"/>
      <c r="F500" s="34"/>
      <c r="G500" s="28"/>
      <c r="H500" s="28"/>
      <c r="I500" s="26"/>
      <c r="J500" s="24"/>
      <c r="K500" s="31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93"/>
      <c r="AX500" s="76" t="s">
        <v>631</v>
      </c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 t="s">
        <v>631</v>
      </c>
      <c r="BQ500" s="76"/>
      <c r="BR500" s="76"/>
      <c r="BS500" s="76"/>
      <c r="BT500" s="76"/>
      <c r="BU500" s="76"/>
      <c r="BV500" s="76"/>
      <c r="BW500" s="76"/>
      <c r="BX500" s="76"/>
      <c r="BY500" s="76"/>
      <c r="BZ500" s="76" t="s">
        <v>631</v>
      </c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 t="s">
        <v>631</v>
      </c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9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95"/>
      <c r="DX500" s="90"/>
      <c r="DY500" s="21"/>
      <c r="DZ500" s="21"/>
    </row>
    <row r="501" spans="1:130" hidden="1" outlineLevel="1" x14ac:dyDescent="0.3">
      <c r="A501" s="4"/>
      <c r="B501" s="4"/>
      <c r="C501" s="4" t="s">
        <v>1091</v>
      </c>
      <c r="D501" s="4"/>
      <c r="E501" s="12"/>
      <c r="F501" s="34"/>
      <c r="G501" s="28"/>
      <c r="H501" s="28"/>
      <c r="I501" s="26"/>
      <c r="J501" s="24"/>
      <c r="K501" s="31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93"/>
      <c r="AX501" s="76" t="s">
        <v>631</v>
      </c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 t="s">
        <v>631</v>
      </c>
      <c r="BQ501" s="76"/>
      <c r="BR501" s="76"/>
      <c r="BS501" s="76"/>
      <c r="BT501" s="76"/>
      <c r="BU501" s="76"/>
      <c r="BV501" s="76"/>
      <c r="BW501" s="76"/>
      <c r="BX501" s="76"/>
      <c r="BY501" s="76"/>
      <c r="BZ501" s="76" t="s">
        <v>631</v>
      </c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 t="s">
        <v>631</v>
      </c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9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95"/>
      <c r="DX501" s="90"/>
      <c r="DY501" s="21"/>
      <c r="DZ501" s="21"/>
    </row>
    <row r="502" spans="1:130" hidden="1" outlineLevel="1" x14ac:dyDescent="0.3">
      <c r="A502" s="4"/>
      <c r="B502" s="4"/>
      <c r="C502" s="4" t="s">
        <v>912</v>
      </c>
      <c r="D502" s="4"/>
      <c r="E502" s="12"/>
      <c r="F502" s="34"/>
      <c r="G502" s="28"/>
      <c r="H502" s="28"/>
      <c r="I502" s="26"/>
      <c r="J502" s="24"/>
      <c r="K502" s="31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93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 t="s">
        <v>631</v>
      </c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9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95"/>
      <c r="DX502" s="90"/>
      <c r="DY502" s="21"/>
      <c r="DZ502" s="21"/>
    </row>
    <row r="503" spans="1:130" hidden="1" outlineLevel="1" x14ac:dyDescent="0.3">
      <c r="A503" s="4"/>
      <c r="B503" s="4"/>
      <c r="C503" s="4" t="s">
        <v>913</v>
      </c>
      <c r="D503" s="4"/>
      <c r="E503" s="12"/>
      <c r="F503" s="34"/>
      <c r="G503" s="28"/>
      <c r="H503" s="28"/>
      <c r="I503" s="26"/>
      <c r="J503" s="24"/>
      <c r="K503" s="31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93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 t="s">
        <v>631</v>
      </c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 t="s">
        <v>631</v>
      </c>
      <c r="DH503" s="9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95"/>
      <c r="DX503" s="90"/>
      <c r="DY503" s="21"/>
      <c r="DZ503" s="21"/>
    </row>
    <row r="504" spans="1:130" hidden="1" outlineLevel="1" x14ac:dyDescent="0.3">
      <c r="A504" s="4"/>
      <c r="B504" s="4"/>
      <c r="C504" s="4" t="s">
        <v>1092</v>
      </c>
      <c r="D504" s="4"/>
      <c r="E504" s="12"/>
      <c r="F504" s="34"/>
      <c r="G504" s="28"/>
      <c r="H504" s="28"/>
      <c r="I504" s="26"/>
      <c r="J504" s="24"/>
      <c r="K504" s="31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93" t="s">
        <v>631</v>
      </c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 t="s">
        <v>631</v>
      </c>
      <c r="BQ504" s="76"/>
      <c r="BR504" s="76"/>
      <c r="BS504" s="76"/>
      <c r="BT504" s="76"/>
      <c r="BU504" s="76"/>
      <c r="BV504" s="76"/>
      <c r="BW504" s="76"/>
      <c r="BX504" s="76"/>
      <c r="BY504" s="76"/>
      <c r="BZ504" s="76" t="s">
        <v>631</v>
      </c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9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95"/>
      <c r="DX504" s="90"/>
      <c r="DY504" s="21"/>
      <c r="DZ504" s="21"/>
    </row>
    <row r="505" spans="1:130" hidden="1" outlineLevel="1" x14ac:dyDescent="0.3">
      <c r="A505" s="4"/>
      <c r="B505" s="4"/>
      <c r="C505" s="4" t="s">
        <v>1093</v>
      </c>
      <c r="D505" s="4"/>
      <c r="E505" s="12"/>
      <c r="F505" s="34"/>
      <c r="G505" s="28"/>
      <c r="H505" s="28"/>
      <c r="I505" s="26"/>
      <c r="J505" s="24"/>
      <c r="K505" s="31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93" t="s">
        <v>631</v>
      </c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 t="s">
        <v>631</v>
      </c>
      <c r="BQ505" s="76"/>
      <c r="BR505" s="76"/>
      <c r="BS505" s="76"/>
      <c r="BT505" s="76"/>
      <c r="BU505" s="76"/>
      <c r="BV505" s="76"/>
      <c r="BW505" s="76"/>
      <c r="BX505" s="76"/>
      <c r="BY505" s="76"/>
      <c r="BZ505" s="76" t="s">
        <v>631</v>
      </c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9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95"/>
      <c r="DX505" s="90"/>
      <c r="DY505" s="21"/>
      <c r="DZ505" s="21"/>
    </row>
    <row r="506" spans="1:130" hidden="1" outlineLevel="1" x14ac:dyDescent="0.3">
      <c r="A506" s="4"/>
      <c r="B506" s="4"/>
      <c r="C506" s="4" t="s">
        <v>1094</v>
      </c>
      <c r="D506" s="4"/>
      <c r="E506" s="12"/>
      <c r="F506" s="34"/>
      <c r="G506" s="28"/>
      <c r="H506" s="28"/>
      <c r="I506" s="26"/>
      <c r="J506" s="24"/>
      <c r="K506" s="31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93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 t="s">
        <v>631</v>
      </c>
      <c r="DH506" s="9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95"/>
      <c r="DX506" s="90"/>
      <c r="DY506" s="21"/>
      <c r="DZ506" s="21"/>
    </row>
    <row r="507" spans="1:130" hidden="1" outlineLevel="1" x14ac:dyDescent="0.3">
      <c r="A507" s="4"/>
      <c r="B507" s="4"/>
      <c r="C507" s="4" t="s">
        <v>1095</v>
      </c>
      <c r="D507" s="4"/>
      <c r="E507" s="12"/>
      <c r="F507" s="34"/>
      <c r="G507" s="28"/>
      <c r="H507" s="28"/>
      <c r="I507" s="26"/>
      <c r="J507" s="24"/>
      <c r="K507" s="31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93" t="s">
        <v>631</v>
      </c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 t="s">
        <v>631</v>
      </c>
      <c r="BP507" s="76" t="s">
        <v>631</v>
      </c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9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95"/>
      <c r="DX507" s="90"/>
      <c r="DY507" s="21"/>
      <c r="DZ507" s="21"/>
    </row>
    <row r="508" spans="1:130" hidden="1" outlineLevel="1" x14ac:dyDescent="0.3">
      <c r="A508" s="4"/>
      <c r="B508" s="4"/>
      <c r="C508" s="4" t="s">
        <v>1096</v>
      </c>
      <c r="D508" s="4"/>
      <c r="E508" s="12"/>
      <c r="F508" s="34"/>
      <c r="G508" s="28"/>
      <c r="H508" s="28"/>
      <c r="I508" s="26"/>
      <c r="J508" s="24"/>
      <c r="K508" s="31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93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 t="s">
        <v>631</v>
      </c>
      <c r="DH508" s="9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95"/>
      <c r="DX508" s="90"/>
      <c r="DY508" s="21"/>
      <c r="DZ508" s="21"/>
    </row>
    <row r="509" spans="1:130" hidden="1" outlineLevel="1" x14ac:dyDescent="0.3">
      <c r="A509" s="4"/>
      <c r="B509" s="4"/>
      <c r="C509" s="4" t="s">
        <v>1097</v>
      </c>
      <c r="D509" s="4"/>
      <c r="E509" s="12"/>
      <c r="F509" s="34"/>
      <c r="G509" s="28"/>
      <c r="H509" s="28"/>
      <c r="I509" s="26"/>
      <c r="J509" s="24"/>
      <c r="K509" s="31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93"/>
      <c r="AX509" s="76" t="s">
        <v>631</v>
      </c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 t="s">
        <v>631</v>
      </c>
      <c r="BQ509" s="76"/>
      <c r="BR509" s="76"/>
      <c r="BS509" s="76"/>
      <c r="BT509" s="76"/>
      <c r="BU509" s="76"/>
      <c r="BV509" s="76"/>
      <c r="BW509" s="76"/>
      <c r="BX509" s="76"/>
      <c r="BY509" s="76"/>
      <c r="BZ509" s="76" t="s">
        <v>631</v>
      </c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9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95"/>
      <c r="DX509" s="90"/>
      <c r="DY509" s="21"/>
      <c r="DZ509" s="21"/>
    </row>
    <row r="510" spans="1:130" hidden="1" outlineLevel="1" x14ac:dyDescent="0.3">
      <c r="A510" s="4"/>
      <c r="B510" s="4"/>
      <c r="C510" s="4" t="s">
        <v>1098</v>
      </c>
      <c r="D510" s="4"/>
      <c r="E510" s="12"/>
      <c r="F510" s="34"/>
      <c r="G510" s="28"/>
      <c r="H510" s="28"/>
      <c r="I510" s="26"/>
      <c r="J510" s="24"/>
      <c r="K510" s="31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93"/>
      <c r="AX510" s="76" t="s">
        <v>631</v>
      </c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 t="s">
        <v>631</v>
      </c>
      <c r="BQ510" s="76"/>
      <c r="BR510" s="76"/>
      <c r="BS510" s="76"/>
      <c r="BT510" s="76"/>
      <c r="BU510" s="76"/>
      <c r="BV510" s="76"/>
      <c r="BW510" s="76"/>
      <c r="BX510" s="76"/>
      <c r="BY510" s="76"/>
      <c r="BZ510" s="76" t="s">
        <v>631</v>
      </c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9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95"/>
      <c r="DX510" s="90"/>
      <c r="DY510" s="21"/>
      <c r="DZ510" s="21"/>
    </row>
    <row r="511" spans="1:130" hidden="1" outlineLevel="1" x14ac:dyDescent="0.3">
      <c r="A511" s="4"/>
      <c r="B511" s="4"/>
      <c r="C511" s="4" t="s">
        <v>320</v>
      </c>
      <c r="D511" s="4"/>
      <c r="E511" s="12"/>
      <c r="F511" s="34"/>
      <c r="G511" s="28"/>
      <c r="H511" s="28"/>
      <c r="I511" s="26"/>
      <c r="J511" s="24"/>
      <c r="K511" s="31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93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 t="s">
        <v>631</v>
      </c>
      <c r="DA511" s="76"/>
      <c r="DB511" s="76"/>
      <c r="DC511" s="76"/>
      <c r="DD511" s="76"/>
      <c r="DE511" s="76"/>
      <c r="DF511" s="76"/>
      <c r="DG511" s="76"/>
      <c r="DH511" s="9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95"/>
      <c r="DX511" s="90"/>
      <c r="DY511" s="21"/>
      <c r="DZ511" s="21"/>
    </row>
    <row r="512" spans="1:130" hidden="1" outlineLevel="1" x14ac:dyDescent="0.3">
      <c r="A512" s="4"/>
      <c r="B512" s="4"/>
      <c r="C512" s="4" t="s">
        <v>969</v>
      </c>
      <c r="D512" s="4"/>
      <c r="E512" s="12"/>
      <c r="F512" s="34"/>
      <c r="G512" s="28"/>
      <c r="H512" s="28"/>
      <c r="I512" s="26"/>
      <c r="J512" s="24"/>
      <c r="K512" s="31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93"/>
      <c r="AX512" s="76"/>
      <c r="AY512" s="76" t="s">
        <v>631</v>
      </c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 t="s">
        <v>631</v>
      </c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9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95"/>
      <c r="DX512" s="90"/>
      <c r="DY512" s="21"/>
      <c r="DZ512" s="21"/>
    </row>
    <row r="513" spans="1:130" hidden="1" outlineLevel="1" x14ac:dyDescent="0.3">
      <c r="A513" s="4"/>
      <c r="B513" s="4"/>
      <c r="C513" s="4" t="s">
        <v>1099</v>
      </c>
      <c r="D513" s="4"/>
      <c r="E513" s="12"/>
      <c r="F513" s="34"/>
      <c r="G513" s="28"/>
      <c r="H513" s="28"/>
      <c r="I513" s="26"/>
      <c r="J513" s="24"/>
      <c r="K513" s="31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93"/>
      <c r="AX513" s="76"/>
      <c r="AY513" s="76" t="s">
        <v>631</v>
      </c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9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95"/>
      <c r="DX513" s="90"/>
      <c r="DY513" s="21"/>
      <c r="DZ513" s="21"/>
    </row>
    <row r="514" spans="1:130" hidden="1" outlineLevel="1" x14ac:dyDescent="0.3">
      <c r="A514" s="4"/>
      <c r="B514" s="4"/>
      <c r="C514" s="4" t="s">
        <v>1100</v>
      </c>
      <c r="D514" s="4"/>
      <c r="E514" s="12"/>
      <c r="F514" s="34"/>
      <c r="G514" s="28"/>
      <c r="H514" s="28"/>
      <c r="I514" s="26"/>
      <c r="J514" s="24"/>
      <c r="K514" s="31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93" t="s">
        <v>631</v>
      </c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 t="s">
        <v>631</v>
      </c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9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95"/>
      <c r="DX514" s="90"/>
      <c r="DY514" s="21"/>
      <c r="DZ514" s="21"/>
    </row>
    <row r="515" spans="1:130" hidden="1" outlineLevel="1" x14ac:dyDescent="0.3">
      <c r="A515" s="4"/>
      <c r="B515" s="4"/>
      <c r="C515" s="4" t="s">
        <v>1101</v>
      </c>
      <c r="D515" s="4"/>
      <c r="E515" s="12"/>
      <c r="F515" s="34"/>
      <c r="G515" s="28"/>
      <c r="H515" s="28"/>
      <c r="I515" s="26"/>
      <c r="J515" s="24"/>
      <c r="K515" s="31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93"/>
      <c r="AX515" s="76"/>
      <c r="AY515" s="76" t="s">
        <v>631</v>
      </c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 t="s">
        <v>631</v>
      </c>
      <c r="BK515" s="76"/>
      <c r="BL515" s="76"/>
      <c r="BM515" s="76"/>
      <c r="BN515" s="76"/>
      <c r="BO515" s="76"/>
      <c r="BP515" s="76" t="s">
        <v>631</v>
      </c>
      <c r="BQ515" s="76"/>
      <c r="BR515" s="76"/>
      <c r="BS515" s="76"/>
      <c r="BT515" s="76"/>
      <c r="BU515" s="76"/>
      <c r="BV515" s="76" t="s">
        <v>631</v>
      </c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9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95"/>
      <c r="DX515" s="90"/>
      <c r="DY515" s="21"/>
      <c r="DZ515" s="21"/>
    </row>
    <row r="516" spans="1:130" hidden="1" outlineLevel="1" x14ac:dyDescent="0.3">
      <c r="A516" s="4"/>
      <c r="B516" s="4"/>
      <c r="C516" s="4" t="s">
        <v>1102</v>
      </c>
      <c r="D516" s="4"/>
      <c r="E516" s="12"/>
      <c r="F516" s="34"/>
      <c r="G516" s="28"/>
      <c r="H516" s="28"/>
      <c r="I516" s="26"/>
      <c r="J516" s="24"/>
      <c r="K516" s="31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93"/>
      <c r="AX516" s="76"/>
      <c r="AY516" s="76" t="s">
        <v>631</v>
      </c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 t="s">
        <v>631</v>
      </c>
      <c r="BQ516" s="76"/>
      <c r="BR516" s="76"/>
      <c r="BS516" s="76"/>
      <c r="BT516" s="76"/>
      <c r="BU516" s="76"/>
      <c r="BV516" s="76" t="s">
        <v>631</v>
      </c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9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95"/>
      <c r="DX516" s="90"/>
      <c r="DY516" s="21"/>
      <c r="DZ516" s="21"/>
    </row>
    <row r="517" spans="1:130" hidden="1" outlineLevel="1" x14ac:dyDescent="0.3">
      <c r="A517" s="4"/>
      <c r="B517" s="4"/>
      <c r="C517" s="4" t="s">
        <v>1103</v>
      </c>
      <c r="D517" s="4"/>
      <c r="E517" s="12"/>
      <c r="F517" s="34"/>
      <c r="G517" s="28"/>
      <c r="H517" s="28"/>
      <c r="I517" s="26"/>
      <c r="J517" s="24"/>
      <c r="K517" s="31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93"/>
      <c r="AX517" s="76"/>
      <c r="AY517" s="76" t="s">
        <v>631</v>
      </c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 t="s">
        <v>631</v>
      </c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9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95"/>
      <c r="DX517" s="90"/>
      <c r="DY517" s="21"/>
      <c r="DZ517" s="21"/>
    </row>
    <row r="518" spans="1:130" hidden="1" outlineLevel="1" x14ac:dyDescent="0.3">
      <c r="A518" s="4"/>
      <c r="B518" s="4"/>
      <c r="C518" s="4" t="s">
        <v>1104</v>
      </c>
      <c r="D518" s="4"/>
      <c r="E518" s="12"/>
      <c r="F518" s="34"/>
      <c r="G518" s="28"/>
      <c r="H518" s="28"/>
      <c r="I518" s="26"/>
      <c r="J518" s="24"/>
      <c r="K518" s="31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93" t="s">
        <v>631</v>
      </c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 t="s">
        <v>631</v>
      </c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9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95"/>
      <c r="DX518" s="90"/>
      <c r="DY518" s="21"/>
      <c r="DZ518" s="21"/>
    </row>
    <row r="519" spans="1:130" hidden="1" outlineLevel="1" x14ac:dyDescent="0.3">
      <c r="A519" s="4"/>
      <c r="B519" s="4"/>
      <c r="C519" s="4" t="s">
        <v>1105</v>
      </c>
      <c r="D519" s="4"/>
      <c r="E519" s="12"/>
      <c r="F519" s="34"/>
      <c r="G519" s="28"/>
      <c r="H519" s="28"/>
      <c r="I519" s="26"/>
      <c r="J519" s="24"/>
      <c r="K519" s="31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93" t="s">
        <v>631</v>
      </c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 t="s">
        <v>631</v>
      </c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9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95"/>
      <c r="DX519" s="90"/>
      <c r="DY519" s="21"/>
      <c r="DZ519" s="21"/>
    </row>
    <row r="520" spans="1:130" hidden="1" outlineLevel="1" x14ac:dyDescent="0.3">
      <c r="A520" s="4"/>
      <c r="B520" s="4"/>
      <c r="C520" s="4" t="s">
        <v>1106</v>
      </c>
      <c r="D520" s="4"/>
      <c r="E520" s="12"/>
      <c r="F520" s="34"/>
      <c r="G520" s="28"/>
      <c r="H520" s="28"/>
      <c r="I520" s="26"/>
      <c r="J520" s="24"/>
      <c r="K520" s="31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93" t="s">
        <v>631</v>
      </c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 t="s">
        <v>631</v>
      </c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9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95"/>
      <c r="DX520" s="90"/>
      <c r="DY520" s="21"/>
      <c r="DZ520" s="21"/>
    </row>
    <row r="521" spans="1:130" hidden="1" outlineLevel="1" x14ac:dyDescent="0.3">
      <c r="A521" s="4"/>
      <c r="B521" s="4"/>
      <c r="C521" s="4" t="s">
        <v>970</v>
      </c>
      <c r="D521" s="4"/>
      <c r="E521" s="12"/>
      <c r="F521" s="34"/>
      <c r="G521" s="28"/>
      <c r="H521" s="28"/>
      <c r="I521" s="26"/>
      <c r="J521" s="24"/>
      <c r="K521" s="31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93"/>
      <c r="AX521" s="76"/>
      <c r="AY521" s="76" t="s">
        <v>631</v>
      </c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 t="s">
        <v>631</v>
      </c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9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95"/>
      <c r="DX521" s="90"/>
      <c r="DY521" s="21"/>
      <c r="DZ521" s="21"/>
    </row>
    <row r="522" spans="1:130" hidden="1" outlineLevel="1" x14ac:dyDescent="0.3">
      <c r="A522" s="4"/>
      <c r="B522" s="4"/>
      <c r="C522" s="4" t="s">
        <v>1107</v>
      </c>
      <c r="D522" s="4"/>
      <c r="E522" s="12"/>
      <c r="F522" s="34"/>
      <c r="G522" s="28"/>
      <c r="H522" s="28"/>
      <c r="I522" s="26"/>
      <c r="J522" s="24"/>
      <c r="K522" s="31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93" t="s">
        <v>631</v>
      </c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 t="s">
        <v>631</v>
      </c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9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95"/>
      <c r="DX522" s="90"/>
      <c r="DY522" s="21"/>
      <c r="DZ522" s="21"/>
    </row>
    <row r="523" spans="1:130" hidden="1" outlineLevel="1" x14ac:dyDescent="0.3">
      <c r="A523" s="4"/>
      <c r="B523" s="4"/>
      <c r="C523" s="4" t="s">
        <v>971</v>
      </c>
      <c r="D523" s="4"/>
      <c r="E523" s="12"/>
      <c r="F523" s="34"/>
      <c r="G523" s="28"/>
      <c r="H523" s="28"/>
      <c r="I523" s="26"/>
      <c r="J523" s="24"/>
      <c r="K523" s="31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93" t="s">
        <v>631</v>
      </c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 t="s">
        <v>631</v>
      </c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9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95"/>
      <c r="DX523" s="90"/>
      <c r="DY523" s="21"/>
      <c r="DZ523" s="21"/>
    </row>
    <row r="524" spans="1:130" hidden="1" outlineLevel="1" x14ac:dyDescent="0.3">
      <c r="A524" s="4"/>
      <c r="B524" s="4"/>
      <c r="C524" s="4" t="s">
        <v>1108</v>
      </c>
      <c r="D524" s="4"/>
      <c r="E524" s="12"/>
      <c r="F524" s="34"/>
      <c r="G524" s="28"/>
      <c r="H524" s="28"/>
      <c r="I524" s="26"/>
      <c r="J524" s="24"/>
      <c r="K524" s="31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93" t="s">
        <v>631</v>
      </c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 t="s">
        <v>631</v>
      </c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9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95"/>
      <c r="DX524" s="90"/>
      <c r="DY524" s="21"/>
      <c r="DZ524" s="21"/>
    </row>
    <row r="525" spans="1:130" hidden="1" outlineLevel="1" x14ac:dyDescent="0.3">
      <c r="A525" s="4"/>
      <c r="B525" s="4"/>
      <c r="C525" s="4" t="s">
        <v>1109</v>
      </c>
      <c r="D525" s="4"/>
      <c r="E525" s="12"/>
      <c r="F525" s="34"/>
      <c r="G525" s="28"/>
      <c r="H525" s="28"/>
      <c r="I525" s="26"/>
      <c r="J525" s="24"/>
      <c r="K525" s="31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93" t="s">
        <v>631</v>
      </c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 t="s">
        <v>631</v>
      </c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9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95"/>
      <c r="DX525" s="90"/>
      <c r="DY525" s="21"/>
      <c r="DZ525" s="21"/>
    </row>
    <row r="526" spans="1:130" hidden="1" outlineLevel="1" x14ac:dyDescent="0.3">
      <c r="A526" s="4"/>
      <c r="B526" s="4"/>
      <c r="C526" s="4" t="s">
        <v>1110</v>
      </c>
      <c r="D526" s="4"/>
      <c r="E526" s="12"/>
      <c r="F526" s="34"/>
      <c r="G526" s="28"/>
      <c r="H526" s="28"/>
      <c r="I526" s="26"/>
      <c r="J526" s="24"/>
      <c r="K526" s="31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93" t="s">
        <v>631</v>
      </c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 t="s">
        <v>631</v>
      </c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9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95"/>
      <c r="DX526" s="90"/>
      <c r="DY526" s="21"/>
      <c r="DZ526" s="21"/>
    </row>
    <row r="527" spans="1:130" hidden="1" outlineLevel="1" x14ac:dyDescent="0.3">
      <c r="A527" s="4"/>
      <c r="B527" s="4"/>
      <c r="C527" s="4" t="s">
        <v>1111</v>
      </c>
      <c r="D527" s="4"/>
      <c r="E527" s="12"/>
      <c r="F527" s="34"/>
      <c r="G527" s="28"/>
      <c r="H527" s="28"/>
      <c r="I527" s="26"/>
      <c r="J527" s="24"/>
      <c r="K527" s="31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93" t="s">
        <v>631</v>
      </c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 t="s">
        <v>631</v>
      </c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9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95"/>
      <c r="DX527" s="90"/>
      <c r="DY527" s="21"/>
      <c r="DZ527" s="21"/>
    </row>
    <row r="528" spans="1:130" hidden="1" outlineLevel="1" x14ac:dyDescent="0.3">
      <c r="A528" s="4"/>
      <c r="B528" s="4"/>
      <c r="C528" s="4" t="s">
        <v>1112</v>
      </c>
      <c r="D528" s="4"/>
      <c r="E528" s="12"/>
      <c r="F528" s="34"/>
      <c r="G528" s="28"/>
      <c r="H528" s="28"/>
      <c r="I528" s="26"/>
      <c r="J528" s="24"/>
      <c r="K528" s="31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93"/>
      <c r="AX528" s="76"/>
      <c r="AY528" s="76" t="s">
        <v>631</v>
      </c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 t="s">
        <v>631</v>
      </c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9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95"/>
      <c r="DX528" s="90"/>
      <c r="DY528" s="21"/>
      <c r="DZ528" s="21"/>
    </row>
    <row r="529" spans="1:130" hidden="1" outlineLevel="1" x14ac:dyDescent="0.3">
      <c r="A529" s="4"/>
      <c r="B529" s="4"/>
      <c r="C529" s="4" t="s">
        <v>1113</v>
      </c>
      <c r="D529" s="4"/>
      <c r="E529" s="12"/>
      <c r="F529" s="34"/>
      <c r="G529" s="28"/>
      <c r="H529" s="28"/>
      <c r="I529" s="26"/>
      <c r="J529" s="24"/>
      <c r="K529" s="31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93" t="s">
        <v>631</v>
      </c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 t="s">
        <v>631</v>
      </c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9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95"/>
      <c r="DX529" s="90"/>
      <c r="DY529" s="21"/>
      <c r="DZ529" s="21"/>
    </row>
    <row r="530" spans="1:130" hidden="1" outlineLevel="1" x14ac:dyDescent="0.3">
      <c r="A530" s="4"/>
      <c r="B530" s="4"/>
      <c r="C530" s="4" t="s">
        <v>1114</v>
      </c>
      <c r="D530" s="4"/>
      <c r="E530" s="12"/>
      <c r="F530" s="34"/>
      <c r="G530" s="28"/>
      <c r="H530" s="28"/>
      <c r="I530" s="26"/>
      <c r="J530" s="24"/>
      <c r="K530" s="31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93" t="s">
        <v>631</v>
      </c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 t="s">
        <v>631</v>
      </c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9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95"/>
      <c r="DX530" s="90"/>
      <c r="DY530" s="21"/>
      <c r="DZ530" s="21"/>
    </row>
    <row r="531" spans="1:130" hidden="1" outlineLevel="1" x14ac:dyDescent="0.3">
      <c r="A531" s="4"/>
      <c r="B531" s="4"/>
      <c r="C531" s="4" t="s">
        <v>972</v>
      </c>
      <c r="D531" s="4"/>
      <c r="E531" s="12"/>
      <c r="F531" s="34"/>
      <c r="G531" s="28"/>
      <c r="H531" s="28"/>
      <c r="I531" s="26"/>
      <c r="J531" s="24"/>
      <c r="K531" s="31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93"/>
      <c r="AX531" s="76"/>
      <c r="AY531" s="76"/>
      <c r="AZ531" s="76"/>
      <c r="BA531" s="76"/>
      <c r="BB531" s="76" t="s">
        <v>631</v>
      </c>
      <c r="BC531" s="76"/>
      <c r="BD531" s="76" t="s">
        <v>631</v>
      </c>
      <c r="BE531" s="76"/>
      <c r="BF531" s="76"/>
      <c r="BG531" s="76" t="s">
        <v>631</v>
      </c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9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95"/>
      <c r="DX531" s="90"/>
      <c r="DY531" s="21"/>
      <c r="DZ531" s="21"/>
    </row>
    <row r="532" spans="1:130" hidden="1" outlineLevel="1" x14ac:dyDescent="0.3">
      <c r="A532" s="4"/>
      <c r="B532" s="4"/>
      <c r="C532" s="4" t="s">
        <v>1115</v>
      </c>
      <c r="D532" s="4"/>
      <c r="E532" s="12"/>
      <c r="F532" s="34"/>
      <c r="G532" s="28"/>
      <c r="H532" s="28"/>
      <c r="I532" s="26"/>
      <c r="J532" s="24"/>
      <c r="K532" s="31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93" t="s">
        <v>631</v>
      </c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 t="s">
        <v>631</v>
      </c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9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95"/>
      <c r="DX532" s="90"/>
      <c r="DY532" s="21"/>
      <c r="DZ532" s="21"/>
    </row>
    <row r="533" spans="1:130" hidden="1" outlineLevel="1" x14ac:dyDescent="0.3">
      <c r="A533" s="4"/>
      <c r="B533" s="4"/>
      <c r="C533" s="4" t="s">
        <v>973</v>
      </c>
      <c r="D533" s="4"/>
      <c r="E533" s="12"/>
      <c r="F533" s="34"/>
      <c r="G533" s="28"/>
      <c r="H533" s="28"/>
      <c r="I533" s="26"/>
      <c r="J533" s="24"/>
      <c r="K533" s="31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93" t="s">
        <v>631</v>
      </c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 t="s">
        <v>631</v>
      </c>
      <c r="BQ533" s="76"/>
      <c r="BR533" s="76"/>
      <c r="BS533" s="76"/>
      <c r="BT533" s="76" t="s">
        <v>631</v>
      </c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9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95"/>
      <c r="DX533" s="90"/>
      <c r="DY533" s="21"/>
      <c r="DZ533" s="21"/>
    </row>
    <row r="534" spans="1:130" hidden="1" outlineLevel="1" x14ac:dyDescent="0.3">
      <c r="A534" s="4"/>
      <c r="B534" s="4"/>
      <c r="C534" s="4" t="s">
        <v>974</v>
      </c>
      <c r="D534" s="4"/>
      <c r="E534" s="12"/>
      <c r="F534" s="34"/>
      <c r="G534" s="28"/>
      <c r="H534" s="28"/>
      <c r="I534" s="26"/>
      <c r="J534" s="24"/>
      <c r="K534" s="31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93" t="s">
        <v>631</v>
      </c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 t="s">
        <v>631</v>
      </c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9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95"/>
      <c r="DX534" s="90"/>
      <c r="DY534" s="21"/>
      <c r="DZ534" s="21"/>
    </row>
    <row r="535" spans="1:130" hidden="1" outlineLevel="1" x14ac:dyDescent="0.3">
      <c r="A535" s="4"/>
      <c r="B535" s="4"/>
      <c r="C535" s="4" t="s">
        <v>975</v>
      </c>
      <c r="D535" s="4"/>
      <c r="E535" s="12"/>
      <c r="F535" s="34"/>
      <c r="G535" s="28"/>
      <c r="H535" s="28"/>
      <c r="I535" s="26"/>
      <c r="J535" s="24"/>
      <c r="K535" s="31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93"/>
      <c r="AX535" s="76"/>
      <c r="AY535" s="76"/>
      <c r="AZ535" s="76"/>
      <c r="BA535" s="76" t="s">
        <v>631</v>
      </c>
      <c r="BB535" s="76"/>
      <c r="BC535" s="76"/>
      <c r="BD535" s="76" t="s">
        <v>631</v>
      </c>
      <c r="BE535" s="76"/>
      <c r="BF535" s="76"/>
      <c r="BG535" s="76" t="s">
        <v>631</v>
      </c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9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95"/>
      <c r="DX535" s="90"/>
      <c r="DY535" s="21"/>
      <c r="DZ535" s="21"/>
    </row>
    <row r="536" spans="1:130" hidden="1" outlineLevel="1" x14ac:dyDescent="0.3">
      <c r="A536" s="4"/>
      <c r="B536" s="4"/>
      <c r="C536" s="4" t="s">
        <v>976</v>
      </c>
      <c r="D536" s="4"/>
      <c r="E536" s="12"/>
      <c r="F536" s="34"/>
      <c r="G536" s="28"/>
      <c r="H536" s="28"/>
      <c r="I536" s="26"/>
      <c r="J536" s="24"/>
      <c r="K536" s="31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93"/>
      <c r="AX536" s="76"/>
      <c r="AY536" s="76"/>
      <c r="AZ536" s="76"/>
      <c r="BA536" s="76" t="s">
        <v>631</v>
      </c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9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95"/>
      <c r="DX536" s="90"/>
      <c r="DY536" s="21"/>
      <c r="DZ536" s="21"/>
    </row>
    <row r="537" spans="1:130" hidden="1" outlineLevel="1" x14ac:dyDescent="0.3">
      <c r="A537" s="4"/>
      <c r="B537" s="4"/>
      <c r="C537" s="4" t="s">
        <v>977</v>
      </c>
      <c r="D537" s="4"/>
      <c r="E537" s="12"/>
      <c r="F537" s="34"/>
      <c r="G537" s="28"/>
      <c r="H537" s="28"/>
      <c r="I537" s="26"/>
      <c r="J537" s="24"/>
      <c r="K537" s="31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93" t="s">
        <v>631</v>
      </c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 t="s">
        <v>631</v>
      </c>
      <c r="BQ537" s="76"/>
      <c r="BR537" s="76"/>
      <c r="BS537" s="76"/>
      <c r="BT537" s="76" t="s">
        <v>631</v>
      </c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9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95"/>
      <c r="DX537" s="90"/>
      <c r="DY537" s="21"/>
      <c r="DZ537" s="21"/>
    </row>
    <row r="538" spans="1:130" hidden="1" outlineLevel="1" x14ac:dyDescent="0.3">
      <c r="A538" s="4"/>
      <c r="B538" s="4"/>
      <c r="C538" s="4" t="s">
        <v>978</v>
      </c>
      <c r="D538" s="4"/>
      <c r="E538" s="12"/>
      <c r="F538" s="34"/>
      <c r="G538" s="28"/>
      <c r="H538" s="28"/>
      <c r="I538" s="26"/>
      <c r="J538" s="24"/>
      <c r="K538" s="31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93" t="s">
        <v>631</v>
      </c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 t="s">
        <v>631</v>
      </c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9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95"/>
      <c r="DX538" s="90"/>
      <c r="DY538" s="21"/>
      <c r="DZ538" s="21"/>
    </row>
    <row r="539" spans="1:130" hidden="1" outlineLevel="1" x14ac:dyDescent="0.3">
      <c r="A539" s="4"/>
      <c r="B539" s="4"/>
      <c r="C539" s="4" t="s">
        <v>1116</v>
      </c>
      <c r="D539" s="4"/>
      <c r="E539" s="12"/>
      <c r="F539" s="34"/>
      <c r="G539" s="28"/>
      <c r="H539" s="28"/>
      <c r="I539" s="26"/>
      <c r="J539" s="24"/>
      <c r="K539" s="31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93"/>
      <c r="AX539" s="76"/>
      <c r="AY539" s="76" t="s">
        <v>631</v>
      </c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 t="s">
        <v>631</v>
      </c>
      <c r="BK539" s="76"/>
      <c r="BL539" s="76"/>
      <c r="BM539" s="76"/>
      <c r="BN539" s="76"/>
      <c r="BO539" s="76"/>
      <c r="BP539" s="76" t="s">
        <v>631</v>
      </c>
      <c r="BQ539" s="76"/>
      <c r="BR539" s="76"/>
      <c r="BS539" s="76"/>
      <c r="BT539" s="76"/>
      <c r="BU539" s="76"/>
      <c r="BV539" s="76" t="s">
        <v>631</v>
      </c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9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95"/>
      <c r="DX539" s="90"/>
      <c r="DY539" s="21"/>
      <c r="DZ539" s="21"/>
    </row>
    <row r="540" spans="1:130" hidden="1" outlineLevel="1" x14ac:dyDescent="0.3">
      <c r="A540" s="4"/>
      <c r="B540" s="4"/>
      <c r="C540" s="4" t="s">
        <v>979</v>
      </c>
      <c r="D540" s="4"/>
      <c r="E540" s="12"/>
      <c r="F540" s="34"/>
      <c r="G540" s="28"/>
      <c r="H540" s="28"/>
      <c r="I540" s="26"/>
      <c r="J540" s="24"/>
      <c r="K540" s="31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93"/>
      <c r="AX540" s="76"/>
      <c r="AY540" s="76"/>
      <c r="AZ540" s="76"/>
      <c r="BA540" s="76" t="s">
        <v>631</v>
      </c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 t="s">
        <v>631</v>
      </c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9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95"/>
      <c r="DX540" s="90"/>
      <c r="DY540" s="21"/>
      <c r="DZ540" s="21"/>
    </row>
    <row r="541" spans="1:130" hidden="1" outlineLevel="1" x14ac:dyDescent="0.3">
      <c r="A541" s="4"/>
      <c r="B541" s="4"/>
      <c r="C541" s="4" t="s">
        <v>1117</v>
      </c>
      <c r="D541" s="4"/>
      <c r="E541" s="12"/>
      <c r="F541" s="34"/>
      <c r="G541" s="28"/>
      <c r="H541" s="28"/>
      <c r="I541" s="26"/>
      <c r="J541" s="24"/>
      <c r="K541" s="31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93" t="s">
        <v>631</v>
      </c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 t="s">
        <v>631</v>
      </c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9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95"/>
      <c r="DX541" s="90"/>
      <c r="DY541" s="21"/>
      <c r="DZ541" s="21"/>
    </row>
    <row r="542" spans="1:130" hidden="1" outlineLevel="1" x14ac:dyDescent="0.3">
      <c r="A542" s="4"/>
      <c r="B542" s="4"/>
      <c r="C542" s="4" t="s">
        <v>980</v>
      </c>
      <c r="D542" s="4"/>
      <c r="E542" s="12"/>
      <c r="F542" s="34"/>
      <c r="G542" s="28"/>
      <c r="H542" s="28"/>
      <c r="I542" s="26"/>
      <c r="J542" s="24"/>
      <c r="K542" s="31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93"/>
      <c r="AX542" s="76"/>
      <c r="AY542" s="76"/>
      <c r="AZ542" s="76"/>
      <c r="BA542" s="76" t="s">
        <v>631</v>
      </c>
      <c r="BB542" s="76"/>
      <c r="BC542" s="76"/>
      <c r="BD542" s="76"/>
      <c r="BE542" s="76"/>
      <c r="BF542" s="76"/>
      <c r="BG542" s="76"/>
      <c r="BH542" s="76"/>
      <c r="BI542" s="76" t="s">
        <v>631</v>
      </c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9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95"/>
      <c r="DX542" s="90"/>
      <c r="DY542" s="21"/>
      <c r="DZ542" s="21"/>
    </row>
    <row r="543" spans="1:130" hidden="1" outlineLevel="1" x14ac:dyDescent="0.3">
      <c r="A543" s="4"/>
      <c r="B543" s="4"/>
      <c r="C543" s="4" t="s">
        <v>1118</v>
      </c>
      <c r="D543" s="4"/>
      <c r="E543" s="12"/>
      <c r="F543" s="34"/>
      <c r="G543" s="28"/>
      <c r="H543" s="28"/>
      <c r="I543" s="26"/>
      <c r="J543" s="24"/>
      <c r="K543" s="31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93"/>
      <c r="AX543" s="76"/>
      <c r="AY543" s="76" t="s">
        <v>631</v>
      </c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 t="s">
        <v>631</v>
      </c>
      <c r="BK543" s="76"/>
      <c r="BL543" s="76"/>
      <c r="BM543" s="76"/>
      <c r="BN543" s="76"/>
      <c r="BO543" s="76"/>
      <c r="BP543" s="76" t="s">
        <v>631</v>
      </c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9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95"/>
      <c r="DX543" s="90"/>
      <c r="DY543" s="21"/>
      <c r="DZ543" s="21"/>
    </row>
    <row r="544" spans="1:130" hidden="1" outlineLevel="1" x14ac:dyDescent="0.3">
      <c r="A544" s="4"/>
      <c r="B544" s="4"/>
      <c r="C544" s="4" t="s">
        <v>866</v>
      </c>
      <c r="D544" s="4"/>
      <c r="E544" s="12"/>
      <c r="F544" s="34"/>
      <c r="G544" s="28"/>
      <c r="H544" s="28"/>
      <c r="I544" s="26"/>
      <c r="J544" s="24"/>
      <c r="K544" s="31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93"/>
      <c r="AX544" s="76"/>
      <c r="AY544" s="76"/>
      <c r="AZ544" s="76"/>
      <c r="BA544" s="76" t="s">
        <v>631</v>
      </c>
      <c r="BB544" s="76"/>
      <c r="BC544" s="76"/>
      <c r="BD544" s="76" t="s">
        <v>631</v>
      </c>
      <c r="BE544" s="76"/>
      <c r="BF544" s="76"/>
      <c r="BG544" s="76" t="s">
        <v>631</v>
      </c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9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95"/>
      <c r="DX544" s="90"/>
      <c r="DY544" s="21"/>
      <c r="DZ544" s="21"/>
    </row>
    <row r="545" spans="1:130" hidden="1" outlineLevel="1" x14ac:dyDescent="0.3">
      <c r="A545" s="4"/>
      <c r="B545" s="4"/>
      <c r="C545" s="4" t="s">
        <v>867</v>
      </c>
      <c r="D545" s="4"/>
      <c r="E545" s="12"/>
      <c r="F545" s="34"/>
      <c r="G545" s="28"/>
      <c r="H545" s="28"/>
      <c r="I545" s="26"/>
      <c r="J545" s="24"/>
      <c r="K545" s="31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93"/>
      <c r="AX545" s="76"/>
      <c r="AY545" s="76"/>
      <c r="AZ545" s="76"/>
      <c r="BA545" s="76" t="s">
        <v>631</v>
      </c>
      <c r="BB545" s="76" t="s">
        <v>631</v>
      </c>
      <c r="BC545" s="76"/>
      <c r="BD545" s="76"/>
      <c r="BE545" s="76"/>
      <c r="BF545" s="76"/>
      <c r="BG545" s="76" t="s">
        <v>631</v>
      </c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9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95"/>
      <c r="DX545" s="90"/>
      <c r="DY545" s="21"/>
      <c r="DZ545" s="21"/>
    </row>
    <row r="546" spans="1:130" hidden="1" outlineLevel="1" x14ac:dyDescent="0.3">
      <c r="A546" s="4"/>
      <c r="B546" s="4"/>
      <c r="C546" s="4" t="s">
        <v>868</v>
      </c>
      <c r="D546" s="4"/>
      <c r="E546" s="12"/>
      <c r="F546" s="34"/>
      <c r="G546" s="28"/>
      <c r="H546" s="28"/>
      <c r="I546" s="26"/>
      <c r="J546" s="24"/>
      <c r="K546" s="31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93" t="s">
        <v>631</v>
      </c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 t="s">
        <v>631</v>
      </c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9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95"/>
      <c r="DX546" s="90"/>
      <c r="DY546" s="21"/>
      <c r="DZ546" s="21"/>
    </row>
    <row r="547" spans="1:130" hidden="1" outlineLevel="1" x14ac:dyDescent="0.3">
      <c r="A547" s="4"/>
      <c r="B547" s="4"/>
      <c r="C547" s="4" t="s">
        <v>869</v>
      </c>
      <c r="D547" s="4"/>
      <c r="E547" s="12"/>
      <c r="F547" s="34"/>
      <c r="G547" s="28"/>
      <c r="H547" s="28"/>
      <c r="I547" s="26"/>
      <c r="J547" s="24"/>
      <c r="K547" s="31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93" t="s">
        <v>631</v>
      </c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 t="s">
        <v>631</v>
      </c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9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95"/>
      <c r="DX547" s="90"/>
      <c r="DY547" s="21"/>
      <c r="DZ547" s="21"/>
    </row>
    <row r="548" spans="1:130" hidden="1" outlineLevel="1" x14ac:dyDescent="0.3">
      <c r="A548" s="4"/>
      <c r="B548" s="4"/>
      <c r="C548" s="4" t="s">
        <v>981</v>
      </c>
      <c r="D548" s="4"/>
      <c r="E548" s="12"/>
      <c r="F548" s="34"/>
      <c r="G548" s="28"/>
      <c r="H548" s="28"/>
      <c r="I548" s="26"/>
      <c r="J548" s="24"/>
      <c r="K548" s="31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93" t="s">
        <v>631</v>
      </c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 t="s">
        <v>631</v>
      </c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9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95"/>
      <c r="DX548" s="90"/>
      <c r="DY548" s="21"/>
      <c r="DZ548" s="21"/>
    </row>
    <row r="549" spans="1:130" hidden="1" outlineLevel="1" x14ac:dyDescent="0.3">
      <c r="A549" s="4"/>
      <c r="B549" s="4"/>
      <c r="C549" s="4" t="s">
        <v>1119</v>
      </c>
      <c r="D549" s="4"/>
      <c r="E549" s="12"/>
      <c r="F549" s="34"/>
      <c r="G549" s="28"/>
      <c r="H549" s="28"/>
      <c r="I549" s="26"/>
      <c r="J549" s="24"/>
      <c r="K549" s="31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93"/>
      <c r="AX549" s="76"/>
      <c r="AY549" s="76" t="s">
        <v>631</v>
      </c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 t="s">
        <v>631</v>
      </c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9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95"/>
      <c r="DX549" s="90"/>
      <c r="DY549" s="21"/>
      <c r="DZ549" s="21"/>
    </row>
    <row r="550" spans="1:130" hidden="1" outlineLevel="1" x14ac:dyDescent="0.3">
      <c r="A550" s="4"/>
      <c r="B550" s="4"/>
      <c r="C550" s="4" t="s">
        <v>983</v>
      </c>
      <c r="D550" s="4"/>
      <c r="E550" s="12"/>
      <c r="F550" s="34"/>
      <c r="G550" s="28"/>
      <c r="H550" s="28"/>
      <c r="I550" s="26"/>
      <c r="J550" s="24"/>
      <c r="K550" s="31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93"/>
      <c r="AX550" s="76"/>
      <c r="AY550" s="76" t="s">
        <v>631</v>
      </c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 t="s">
        <v>631</v>
      </c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9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95"/>
      <c r="DX550" s="90"/>
      <c r="DY550" s="21"/>
      <c r="DZ550" s="21"/>
    </row>
    <row r="551" spans="1:130" hidden="1" outlineLevel="1" x14ac:dyDescent="0.3">
      <c r="A551" s="4"/>
      <c r="B551" s="4"/>
      <c r="C551" s="4" t="s">
        <v>1120</v>
      </c>
      <c r="D551" s="4"/>
      <c r="E551" s="12"/>
      <c r="F551" s="34"/>
      <c r="G551" s="28"/>
      <c r="H551" s="28"/>
      <c r="I551" s="26"/>
      <c r="J551" s="24"/>
      <c r="K551" s="31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93" t="s">
        <v>631</v>
      </c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 t="s">
        <v>631</v>
      </c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9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95"/>
      <c r="DX551" s="90"/>
      <c r="DY551" s="21"/>
      <c r="DZ551" s="21"/>
    </row>
    <row r="552" spans="1:130" hidden="1" outlineLevel="1" x14ac:dyDescent="0.3">
      <c r="A552" s="4"/>
      <c r="B552" s="4"/>
      <c r="C552" s="4" t="s">
        <v>1121</v>
      </c>
      <c r="D552" s="4"/>
      <c r="E552" s="12"/>
      <c r="F552" s="34"/>
      <c r="G552" s="28"/>
      <c r="H552" s="28"/>
      <c r="I552" s="26"/>
      <c r="J552" s="24"/>
      <c r="K552" s="31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93" t="s">
        <v>631</v>
      </c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 t="s">
        <v>631</v>
      </c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9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95"/>
      <c r="DX552" s="90"/>
      <c r="DY552" s="21"/>
      <c r="DZ552" s="21"/>
    </row>
    <row r="553" spans="1:130" hidden="1" outlineLevel="1" x14ac:dyDescent="0.3">
      <c r="A553" s="4"/>
      <c r="B553" s="4"/>
      <c r="C553" s="4" t="s">
        <v>1122</v>
      </c>
      <c r="D553" s="4"/>
      <c r="E553" s="12"/>
      <c r="F553" s="34"/>
      <c r="G553" s="28"/>
      <c r="H553" s="28"/>
      <c r="I553" s="26"/>
      <c r="J553" s="24"/>
      <c r="K553" s="31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93" t="s">
        <v>631</v>
      </c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 t="s">
        <v>631</v>
      </c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9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95"/>
      <c r="DX553" s="90"/>
      <c r="DY553" s="21"/>
      <c r="DZ553" s="21"/>
    </row>
    <row r="554" spans="1:130" x14ac:dyDescent="0.3">
      <c r="A554" s="4" t="s">
        <v>126</v>
      </c>
      <c r="B554" s="4" t="s">
        <v>334</v>
      </c>
      <c r="C554" s="91" t="s">
        <v>335</v>
      </c>
      <c r="D554" s="4" t="s">
        <v>336</v>
      </c>
      <c r="E554" s="12">
        <v>9.5500000000000007</v>
      </c>
      <c r="F554" s="34">
        <f t="shared" si="9"/>
        <v>4469.4000000000005</v>
      </c>
      <c r="G554" s="28">
        <f t="shared" si="7"/>
        <v>468</v>
      </c>
      <c r="H554" s="28">
        <f t="shared" si="10"/>
        <v>39</v>
      </c>
      <c r="I554" s="26">
        <f t="shared" si="11"/>
        <v>2521.2000000000003</v>
      </c>
      <c r="J554" s="24">
        <f t="shared" si="12"/>
        <v>264</v>
      </c>
      <c r="K554" s="31">
        <f t="shared" si="13"/>
        <v>53</v>
      </c>
      <c r="L554" s="9">
        <v>0</v>
      </c>
      <c r="M554" s="9">
        <v>0</v>
      </c>
      <c r="N554" s="9">
        <v>0</v>
      </c>
      <c r="O554" s="9">
        <v>0</v>
      </c>
      <c r="P554" s="9">
        <v>48</v>
      </c>
      <c r="Q554" s="9">
        <v>60</v>
      </c>
      <c r="R554" s="9">
        <v>48</v>
      </c>
      <c r="S554" s="9">
        <v>60</v>
      </c>
      <c r="T554" s="9">
        <v>48</v>
      </c>
      <c r="U554" s="9">
        <v>48</v>
      </c>
      <c r="V554" s="9">
        <v>60</v>
      </c>
      <c r="W554" s="9">
        <v>48</v>
      </c>
      <c r="X554" s="9">
        <v>48</v>
      </c>
      <c r="Y554" s="9">
        <v>60</v>
      </c>
      <c r="Z554" s="9">
        <v>48</v>
      </c>
      <c r="AA554" s="9">
        <v>48</v>
      </c>
      <c r="AB554" s="9">
        <v>60</v>
      </c>
      <c r="AC554" s="9">
        <v>48</v>
      </c>
      <c r="AE554" s="6">
        <v>0</v>
      </c>
      <c r="AF554" s="6">
        <v>0</v>
      </c>
      <c r="AG554" s="6">
        <v>0</v>
      </c>
      <c r="AH554" s="6">
        <v>0</v>
      </c>
      <c r="AI554" s="6">
        <v>458.40000000000003</v>
      </c>
      <c r="AJ554" s="6">
        <v>573</v>
      </c>
      <c r="AK554" s="6">
        <v>458.40000000000003</v>
      </c>
      <c r="AL554" s="6">
        <v>573</v>
      </c>
      <c r="AM554" s="6">
        <v>458.40000000000003</v>
      </c>
      <c r="AN554" s="6">
        <v>458.40000000000003</v>
      </c>
      <c r="AO554" s="6">
        <v>573</v>
      </c>
      <c r="AP554" s="6">
        <v>458.40000000000003</v>
      </c>
      <c r="AQ554" s="6">
        <v>458.40000000000003</v>
      </c>
      <c r="AR554" s="6">
        <v>573</v>
      </c>
      <c r="AS554" s="6">
        <v>458.40000000000003</v>
      </c>
      <c r="AT554" s="6">
        <v>458.40000000000003</v>
      </c>
      <c r="AU554" s="6">
        <v>573</v>
      </c>
      <c r="AV554" s="6">
        <v>458.40000000000003</v>
      </c>
      <c r="AW554" s="93" t="s">
        <v>631</v>
      </c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 t="s">
        <v>631</v>
      </c>
      <c r="BP554" s="76" t="s">
        <v>631</v>
      </c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 t="s">
        <v>631</v>
      </c>
      <c r="DH554" s="96" t="s">
        <v>631</v>
      </c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95"/>
      <c r="DX554" s="90">
        <f t="shared" si="8"/>
        <v>5</v>
      </c>
      <c r="DY554" s="21"/>
      <c r="DZ554" s="21"/>
    </row>
    <row r="555" spans="1:130" collapsed="1" x14ac:dyDescent="0.3">
      <c r="A555" s="4" t="s">
        <v>126</v>
      </c>
      <c r="B555" s="4" t="s">
        <v>334</v>
      </c>
      <c r="C555" s="91" t="s">
        <v>337</v>
      </c>
      <c r="D555" s="4" t="s">
        <v>338</v>
      </c>
      <c r="E555" s="12">
        <v>113.32</v>
      </c>
      <c r="F555" s="34">
        <f t="shared" si="9"/>
        <v>84990</v>
      </c>
      <c r="G555" s="28">
        <f t="shared" si="7"/>
        <v>750</v>
      </c>
      <c r="H555" s="28">
        <f t="shared" si="10"/>
        <v>63</v>
      </c>
      <c r="I555" s="26">
        <f t="shared" si="11"/>
        <v>0</v>
      </c>
      <c r="J555" s="24">
        <f t="shared" si="12"/>
        <v>0</v>
      </c>
      <c r="K555" s="31">
        <f t="shared" si="13"/>
        <v>0</v>
      </c>
      <c r="L555" s="9">
        <v>0</v>
      </c>
      <c r="M555" s="9">
        <v>150</v>
      </c>
      <c r="N555" s="9">
        <v>150</v>
      </c>
      <c r="O555" s="9">
        <v>0</v>
      </c>
      <c r="P555" s="9">
        <v>150</v>
      </c>
      <c r="Q555" s="9">
        <v>100</v>
      </c>
      <c r="R555" s="9">
        <v>100</v>
      </c>
      <c r="S555" s="9">
        <v>100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E555" s="6">
        <v>0</v>
      </c>
      <c r="AF555" s="6">
        <v>20445.000000000004</v>
      </c>
      <c r="AG555" s="6">
        <v>20445.000000000004</v>
      </c>
      <c r="AH555" s="6">
        <v>0</v>
      </c>
      <c r="AI555" s="6">
        <v>16998</v>
      </c>
      <c r="AJ555" s="6">
        <v>13630.000000000002</v>
      </c>
      <c r="AK555" s="6">
        <v>11332</v>
      </c>
      <c r="AL555" s="6">
        <v>11332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93" t="s">
        <v>631</v>
      </c>
      <c r="AX555" s="76"/>
      <c r="AY555" s="76"/>
      <c r="AZ555" s="76"/>
      <c r="BA555" s="76" t="s">
        <v>631</v>
      </c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 t="s">
        <v>631</v>
      </c>
      <c r="BP555" s="76" t="s">
        <v>631</v>
      </c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 t="s">
        <v>631</v>
      </c>
      <c r="DH555" s="96" t="s">
        <v>631</v>
      </c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95"/>
      <c r="DX555" s="90">
        <f t="shared" si="8"/>
        <v>6</v>
      </c>
      <c r="DY555" s="21"/>
      <c r="DZ555" s="21"/>
    </row>
    <row r="556" spans="1:130" hidden="1" outlineLevel="1" x14ac:dyDescent="0.3">
      <c r="A556" s="4"/>
      <c r="B556" s="4"/>
      <c r="C556" s="4" t="s">
        <v>1011</v>
      </c>
      <c r="D556" s="4"/>
      <c r="E556" s="12"/>
      <c r="F556" s="34"/>
      <c r="G556" s="28"/>
      <c r="H556" s="28"/>
      <c r="I556" s="26"/>
      <c r="J556" s="24"/>
      <c r="K556" s="31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93" t="s">
        <v>631</v>
      </c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 t="s">
        <v>631</v>
      </c>
      <c r="BQ556" s="76"/>
      <c r="BR556" s="76"/>
      <c r="BS556" s="76"/>
      <c r="BT556" s="76"/>
      <c r="BU556" s="76"/>
      <c r="BV556" s="76"/>
      <c r="BW556" s="76"/>
      <c r="BX556" s="76"/>
      <c r="BY556" s="76"/>
      <c r="BZ556" s="76" t="s">
        <v>631</v>
      </c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9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95"/>
      <c r="DX556" s="90"/>
      <c r="DY556" s="21"/>
      <c r="DZ556" s="21"/>
    </row>
    <row r="557" spans="1:130" hidden="1" outlineLevel="1" x14ac:dyDescent="0.3">
      <c r="A557" s="4"/>
      <c r="B557" s="4"/>
      <c r="C557" s="4" t="s">
        <v>1012</v>
      </c>
      <c r="D557" s="4"/>
      <c r="E557" s="12"/>
      <c r="F557" s="34"/>
      <c r="G557" s="28"/>
      <c r="H557" s="28"/>
      <c r="I557" s="26"/>
      <c r="J557" s="24"/>
      <c r="K557" s="31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93" t="s">
        <v>631</v>
      </c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 t="s">
        <v>631</v>
      </c>
      <c r="BQ557" s="76"/>
      <c r="BR557" s="76"/>
      <c r="BS557" s="76"/>
      <c r="BT557" s="76"/>
      <c r="BU557" s="76"/>
      <c r="BV557" s="76"/>
      <c r="BW557" s="76"/>
      <c r="BX557" s="76"/>
      <c r="BY557" s="76"/>
      <c r="BZ557" s="76" t="s">
        <v>631</v>
      </c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9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95"/>
      <c r="DX557" s="90"/>
      <c r="DY557" s="21"/>
      <c r="DZ557" s="21"/>
    </row>
    <row r="558" spans="1:130" hidden="1" outlineLevel="1" x14ac:dyDescent="0.3">
      <c r="A558" s="4"/>
      <c r="B558" s="4"/>
      <c r="C558" s="4" t="s">
        <v>337</v>
      </c>
      <c r="D558" s="4"/>
      <c r="E558" s="12"/>
      <c r="F558" s="34"/>
      <c r="G558" s="28"/>
      <c r="H558" s="28"/>
      <c r="I558" s="26"/>
      <c r="J558" s="24"/>
      <c r="K558" s="31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93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 t="s">
        <v>631</v>
      </c>
      <c r="DH558" s="9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95"/>
      <c r="DX558" s="90"/>
      <c r="DY558" s="21"/>
      <c r="DZ558" s="21"/>
    </row>
    <row r="559" spans="1:130" hidden="1" outlineLevel="1" x14ac:dyDescent="0.3">
      <c r="A559" s="4"/>
      <c r="B559" s="4"/>
      <c r="C559" s="4" t="s">
        <v>1013</v>
      </c>
      <c r="D559" s="4"/>
      <c r="E559" s="12"/>
      <c r="F559" s="34"/>
      <c r="G559" s="28"/>
      <c r="H559" s="28"/>
      <c r="I559" s="26"/>
      <c r="J559" s="24"/>
      <c r="K559" s="31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93" t="s">
        <v>631</v>
      </c>
      <c r="AX559" s="76"/>
      <c r="AY559" s="76"/>
      <c r="AZ559" s="76"/>
      <c r="BA559" s="76" t="s">
        <v>631</v>
      </c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 t="s">
        <v>631</v>
      </c>
      <c r="BQ559" s="76"/>
      <c r="BR559" s="76"/>
      <c r="BS559" s="76"/>
      <c r="BT559" s="76"/>
      <c r="BU559" s="76"/>
      <c r="BV559" s="76"/>
      <c r="BW559" s="76"/>
      <c r="BX559" s="76"/>
      <c r="BY559" s="76"/>
      <c r="BZ559" s="76" t="s">
        <v>631</v>
      </c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9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95"/>
      <c r="DX559" s="90"/>
      <c r="DY559" s="21"/>
      <c r="DZ559" s="21"/>
    </row>
    <row r="560" spans="1:130" hidden="1" outlineLevel="1" x14ac:dyDescent="0.3">
      <c r="A560" s="4"/>
      <c r="B560" s="4"/>
      <c r="C560" s="4" t="s">
        <v>1014</v>
      </c>
      <c r="D560" s="4"/>
      <c r="E560" s="12"/>
      <c r="F560" s="34"/>
      <c r="G560" s="28"/>
      <c r="H560" s="28"/>
      <c r="I560" s="26"/>
      <c r="J560" s="24"/>
      <c r="K560" s="31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93" t="s">
        <v>631</v>
      </c>
      <c r="AX560" s="76"/>
      <c r="AY560" s="76"/>
      <c r="AZ560" s="76"/>
      <c r="BA560" s="76" t="s">
        <v>631</v>
      </c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 t="s">
        <v>631</v>
      </c>
      <c r="BQ560" s="76"/>
      <c r="BR560" s="76"/>
      <c r="BS560" s="76"/>
      <c r="BT560" s="76"/>
      <c r="BU560" s="76"/>
      <c r="BV560" s="76"/>
      <c r="BW560" s="76"/>
      <c r="BX560" s="76"/>
      <c r="BY560" s="76"/>
      <c r="BZ560" s="76" t="s">
        <v>631</v>
      </c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9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95"/>
      <c r="DX560" s="90"/>
      <c r="DY560" s="21"/>
      <c r="DZ560" s="21"/>
    </row>
    <row r="561" spans="1:130" hidden="1" outlineLevel="1" x14ac:dyDescent="0.3">
      <c r="A561" s="4"/>
      <c r="B561" s="4"/>
      <c r="C561" s="4" t="s">
        <v>1015</v>
      </c>
      <c r="D561" s="4"/>
      <c r="E561" s="12"/>
      <c r="F561" s="34"/>
      <c r="G561" s="28"/>
      <c r="H561" s="28"/>
      <c r="I561" s="26"/>
      <c r="J561" s="24"/>
      <c r="K561" s="31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93" t="s">
        <v>631</v>
      </c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 t="s">
        <v>631</v>
      </c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9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95"/>
      <c r="DX561" s="90"/>
      <c r="DY561" s="21"/>
      <c r="DZ561" s="21"/>
    </row>
    <row r="562" spans="1:130" hidden="1" outlineLevel="1" x14ac:dyDescent="0.3">
      <c r="A562" s="4"/>
      <c r="B562" s="4"/>
      <c r="C562" s="4" t="s">
        <v>1016</v>
      </c>
      <c r="D562" s="4"/>
      <c r="E562" s="12"/>
      <c r="F562" s="34"/>
      <c r="G562" s="28"/>
      <c r="H562" s="28"/>
      <c r="I562" s="26"/>
      <c r="J562" s="24"/>
      <c r="K562" s="31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93" t="s">
        <v>631</v>
      </c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 t="s">
        <v>631</v>
      </c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9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95"/>
      <c r="DX562" s="90"/>
      <c r="DY562" s="21"/>
      <c r="DZ562" s="21"/>
    </row>
    <row r="563" spans="1:130" hidden="1" outlineLevel="1" x14ac:dyDescent="0.3">
      <c r="A563" s="4"/>
      <c r="B563" s="4"/>
      <c r="C563" s="4" t="s">
        <v>1017</v>
      </c>
      <c r="D563" s="4"/>
      <c r="E563" s="12"/>
      <c r="F563" s="34"/>
      <c r="G563" s="28"/>
      <c r="H563" s="28"/>
      <c r="I563" s="26"/>
      <c r="J563" s="24"/>
      <c r="K563" s="31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93" t="s">
        <v>631</v>
      </c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 t="s">
        <v>631</v>
      </c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9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95"/>
      <c r="DX563" s="90"/>
      <c r="DY563" s="21"/>
      <c r="DZ563" s="21"/>
    </row>
    <row r="564" spans="1:130" hidden="1" outlineLevel="1" x14ac:dyDescent="0.3">
      <c r="A564" s="4"/>
      <c r="B564" s="4"/>
      <c r="C564" s="4" t="s">
        <v>1018</v>
      </c>
      <c r="D564" s="4"/>
      <c r="E564" s="12"/>
      <c r="F564" s="34"/>
      <c r="G564" s="28"/>
      <c r="H564" s="28"/>
      <c r="I564" s="26"/>
      <c r="J564" s="24"/>
      <c r="K564" s="31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93" t="s">
        <v>631</v>
      </c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 t="s">
        <v>631</v>
      </c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9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95"/>
      <c r="DX564" s="90"/>
      <c r="DY564" s="21"/>
      <c r="DZ564" s="21"/>
    </row>
    <row r="565" spans="1:130" collapsed="1" x14ac:dyDescent="0.3">
      <c r="A565" s="4" t="s">
        <v>126</v>
      </c>
      <c r="B565" s="4" t="s">
        <v>339</v>
      </c>
      <c r="C565" s="91" t="s">
        <v>340</v>
      </c>
      <c r="D565" s="4" t="s">
        <v>341</v>
      </c>
      <c r="E565" s="12">
        <v>6.62</v>
      </c>
      <c r="F565" s="34">
        <f t="shared" si="9"/>
        <v>15186.28</v>
      </c>
      <c r="G565" s="28">
        <f t="shared" si="7"/>
        <v>2294</v>
      </c>
      <c r="H565" s="28">
        <f t="shared" si="10"/>
        <v>192</v>
      </c>
      <c r="I565" s="26">
        <f t="shared" si="11"/>
        <v>6699.4400000000005</v>
      </c>
      <c r="J565" s="24">
        <f t="shared" si="12"/>
        <v>1012</v>
      </c>
      <c r="K565" s="31">
        <f t="shared" si="13"/>
        <v>203</v>
      </c>
      <c r="L565" s="9">
        <v>500</v>
      </c>
      <c r="M565" s="9">
        <v>500</v>
      </c>
      <c r="N565" s="9">
        <v>0</v>
      </c>
      <c r="O565" s="9">
        <v>0</v>
      </c>
      <c r="P565" s="9">
        <v>184</v>
      </c>
      <c r="Q565" s="9">
        <v>230</v>
      </c>
      <c r="R565" s="9">
        <v>184</v>
      </c>
      <c r="S565" s="9">
        <v>230</v>
      </c>
      <c r="T565" s="9">
        <v>184</v>
      </c>
      <c r="U565" s="9">
        <v>184</v>
      </c>
      <c r="V565" s="9">
        <v>230</v>
      </c>
      <c r="W565" s="9">
        <v>184</v>
      </c>
      <c r="X565" s="9">
        <v>184</v>
      </c>
      <c r="Y565" s="9">
        <v>230</v>
      </c>
      <c r="Z565" s="9">
        <v>184</v>
      </c>
      <c r="AA565" s="9">
        <v>184</v>
      </c>
      <c r="AB565" s="9">
        <v>230</v>
      </c>
      <c r="AC565" s="9">
        <v>184</v>
      </c>
      <c r="AE565" s="6">
        <v>3310</v>
      </c>
      <c r="AF565" s="6">
        <v>3440</v>
      </c>
      <c r="AG565" s="6">
        <v>0</v>
      </c>
      <c r="AH565" s="6">
        <v>0</v>
      </c>
      <c r="AI565" s="6">
        <v>1218.08</v>
      </c>
      <c r="AJ565" s="6">
        <v>1522.6000000000001</v>
      </c>
      <c r="AK565" s="6">
        <v>1218.08</v>
      </c>
      <c r="AL565" s="6">
        <v>1522.6000000000001</v>
      </c>
      <c r="AM565" s="6">
        <v>1218.08</v>
      </c>
      <c r="AN565" s="6">
        <v>1218.08</v>
      </c>
      <c r="AO565" s="6">
        <v>1522.6000000000001</v>
      </c>
      <c r="AP565" s="6">
        <v>1218.08</v>
      </c>
      <c r="AQ565" s="6">
        <v>1218.08</v>
      </c>
      <c r="AR565" s="6">
        <v>1522.6000000000001</v>
      </c>
      <c r="AS565" s="6">
        <v>1218.08</v>
      </c>
      <c r="AT565" s="6">
        <v>1218.08</v>
      </c>
      <c r="AU565" s="6">
        <v>1522.6000000000001</v>
      </c>
      <c r="AV565" s="6">
        <v>1218.08</v>
      </c>
      <c r="AW565" s="93" t="s">
        <v>631</v>
      </c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 t="s">
        <v>631</v>
      </c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 t="s">
        <v>631</v>
      </c>
      <c r="DH565" s="96" t="s">
        <v>631</v>
      </c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95"/>
      <c r="DX565" s="90">
        <f t="shared" si="8"/>
        <v>4</v>
      </c>
      <c r="DY565" s="21"/>
      <c r="DZ565" s="21"/>
    </row>
    <row r="566" spans="1:130" hidden="1" outlineLevel="1" x14ac:dyDescent="0.3">
      <c r="A566" s="4"/>
      <c r="B566" s="4"/>
      <c r="C566" s="4" t="s">
        <v>1019</v>
      </c>
      <c r="D566" s="4"/>
      <c r="E566" s="12"/>
      <c r="F566" s="34"/>
      <c r="G566" s="28"/>
      <c r="H566" s="28"/>
      <c r="I566" s="26"/>
      <c r="J566" s="24"/>
      <c r="K566" s="31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93" t="s">
        <v>631</v>
      </c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 t="s">
        <v>631</v>
      </c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9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95"/>
      <c r="DX566" s="90"/>
      <c r="DY566" s="21"/>
      <c r="DZ566" s="21"/>
    </row>
    <row r="567" spans="1:130" hidden="1" outlineLevel="1" x14ac:dyDescent="0.3">
      <c r="A567" s="4"/>
      <c r="B567" s="4"/>
      <c r="C567" s="4" t="s">
        <v>1020</v>
      </c>
      <c r="D567" s="4"/>
      <c r="E567" s="12"/>
      <c r="F567" s="34"/>
      <c r="G567" s="28"/>
      <c r="H567" s="28"/>
      <c r="I567" s="26"/>
      <c r="J567" s="24"/>
      <c r="K567" s="31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93" t="s">
        <v>631</v>
      </c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 t="s">
        <v>631</v>
      </c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9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95"/>
      <c r="DX567" s="90"/>
      <c r="DY567" s="21"/>
      <c r="DZ567" s="21"/>
    </row>
    <row r="568" spans="1:130" x14ac:dyDescent="0.3">
      <c r="A568" s="4" t="s">
        <v>126</v>
      </c>
      <c r="B568" s="4" t="s">
        <v>339</v>
      </c>
      <c r="C568" s="91" t="s">
        <v>342</v>
      </c>
      <c r="D568" s="4" t="s">
        <v>341</v>
      </c>
      <c r="E568" s="12">
        <v>3.9</v>
      </c>
      <c r="F568" s="34">
        <f t="shared" si="9"/>
        <v>10514.4</v>
      </c>
      <c r="G568" s="28">
        <f t="shared" si="7"/>
        <v>2696</v>
      </c>
      <c r="H568" s="28">
        <f t="shared" si="10"/>
        <v>225</v>
      </c>
      <c r="I568" s="26">
        <f t="shared" si="11"/>
        <v>3946.7999999999997</v>
      </c>
      <c r="J568" s="24">
        <f t="shared" si="12"/>
        <v>1012</v>
      </c>
      <c r="K568" s="31">
        <f t="shared" si="13"/>
        <v>203</v>
      </c>
      <c r="L568" s="9">
        <v>500</v>
      </c>
      <c r="M568" s="9">
        <v>0</v>
      </c>
      <c r="N568" s="9">
        <v>0</v>
      </c>
      <c r="O568" s="9">
        <v>0</v>
      </c>
      <c r="P568" s="9">
        <v>500</v>
      </c>
      <c r="Q568" s="9">
        <v>500</v>
      </c>
      <c r="R568" s="9">
        <v>500</v>
      </c>
      <c r="S568" s="9">
        <v>230</v>
      </c>
      <c r="T568" s="9">
        <v>184</v>
      </c>
      <c r="U568" s="9">
        <v>184</v>
      </c>
      <c r="V568" s="9">
        <v>230</v>
      </c>
      <c r="W568" s="9">
        <v>184</v>
      </c>
      <c r="X568" s="9">
        <v>184</v>
      </c>
      <c r="Y568" s="9">
        <v>230</v>
      </c>
      <c r="Z568" s="9">
        <v>184</v>
      </c>
      <c r="AA568" s="9">
        <v>184</v>
      </c>
      <c r="AB568" s="9">
        <v>230</v>
      </c>
      <c r="AC568" s="9">
        <v>184</v>
      </c>
      <c r="AE568" s="6">
        <v>1885</v>
      </c>
      <c r="AF568" s="6">
        <v>0</v>
      </c>
      <c r="AG568" s="6">
        <v>0</v>
      </c>
      <c r="AH568" s="6">
        <v>0</v>
      </c>
      <c r="AI568" s="6">
        <v>1885</v>
      </c>
      <c r="AJ568" s="6">
        <v>1900</v>
      </c>
      <c r="AK568" s="6">
        <v>1900</v>
      </c>
      <c r="AL568" s="6">
        <v>867.1</v>
      </c>
      <c r="AM568" s="6">
        <v>693.68</v>
      </c>
      <c r="AN568" s="6">
        <v>693.68</v>
      </c>
      <c r="AO568" s="6">
        <v>867.1</v>
      </c>
      <c r="AP568" s="6">
        <v>693.68</v>
      </c>
      <c r="AQ568" s="6">
        <v>693.68</v>
      </c>
      <c r="AR568" s="6">
        <v>867.1</v>
      </c>
      <c r="AS568" s="6">
        <v>693.68</v>
      </c>
      <c r="AT568" s="6">
        <v>693.68</v>
      </c>
      <c r="AU568" s="6">
        <v>867.1</v>
      </c>
      <c r="AV568" s="6">
        <v>693.68</v>
      </c>
      <c r="AW568" s="93" t="s">
        <v>631</v>
      </c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 t="s">
        <v>631</v>
      </c>
      <c r="BP568" s="76" t="s">
        <v>631</v>
      </c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 t="s">
        <v>631</v>
      </c>
      <c r="DH568" s="96" t="s">
        <v>631</v>
      </c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95"/>
      <c r="DX568" s="90">
        <f t="shared" si="8"/>
        <v>5</v>
      </c>
      <c r="DY568" s="21"/>
      <c r="DZ568" s="21"/>
    </row>
    <row r="569" spans="1:130" collapsed="1" x14ac:dyDescent="0.3">
      <c r="A569" s="4" t="s">
        <v>126</v>
      </c>
      <c r="B569" s="4" t="s">
        <v>339</v>
      </c>
      <c r="C569" s="91" t="s">
        <v>343</v>
      </c>
      <c r="D569" s="4" t="s">
        <v>344</v>
      </c>
      <c r="E569" s="12">
        <v>2.72</v>
      </c>
      <c r="F569" s="34">
        <f t="shared" si="9"/>
        <v>11913.6</v>
      </c>
      <c r="G569" s="28">
        <f t="shared" si="7"/>
        <v>4380</v>
      </c>
      <c r="H569" s="28">
        <f t="shared" si="10"/>
        <v>365</v>
      </c>
      <c r="I569" s="26">
        <f t="shared" si="11"/>
        <v>2752.6400000000003</v>
      </c>
      <c r="J569" s="24">
        <f t="shared" si="12"/>
        <v>1012</v>
      </c>
      <c r="K569" s="31">
        <f t="shared" si="13"/>
        <v>203</v>
      </c>
      <c r="L569" s="9">
        <v>500</v>
      </c>
      <c r="M569" s="9">
        <v>0</v>
      </c>
      <c r="N569" s="9">
        <v>0</v>
      </c>
      <c r="O569" s="9">
        <v>1000</v>
      </c>
      <c r="P569" s="9">
        <v>1000</v>
      </c>
      <c r="Q569" s="9">
        <v>1000</v>
      </c>
      <c r="R569" s="9">
        <v>184</v>
      </c>
      <c r="S569" s="9">
        <v>230</v>
      </c>
      <c r="T569" s="9">
        <v>184</v>
      </c>
      <c r="U569" s="9">
        <v>184</v>
      </c>
      <c r="V569" s="9">
        <v>230</v>
      </c>
      <c r="W569" s="9">
        <v>184</v>
      </c>
      <c r="X569" s="9">
        <v>184</v>
      </c>
      <c r="Y569" s="9">
        <v>230</v>
      </c>
      <c r="Z569" s="9">
        <v>184</v>
      </c>
      <c r="AA569" s="9">
        <v>184</v>
      </c>
      <c r="AB569" s="9">
        <v>230</v>
      </c>
      <c r="AC569" s="9">
        <v>184</v>
      </c>
      <c r="AE569" s="6">
        <v>2005</v>
      </c>
      <c r="AF569" s="6">
        <v>0</v>
      </c>
      <c r="AG569" s="6">
        <v>0</v>
      </c>
      <c r="AH569" s="6">
        <v>2490</v>
      </c>
      <c r="AI569" s="6">
        <v>2490</v>
      </c>
      <c r="AJ569" s="6">
        <v>2490</v>
      </c>
      <c r="AK569" s="6">
        <v>458.16</v>
      </c>
      <c r="AL569" s="6">
        <v>572.70000000000005</v>
      </c>
      <c r="AM569" s="6">
        <v>458.16</v>
      </c>
      <c r="AN569" s="6">
        <v>458.16</v>
      </c>
      <c r="AO569" s="6">
        <v>572.70000000000005</v>
      </c>
      <c r="AP569" s="6">
        <v>458.16</v>
      </c>
      <c r="AQ569" s="6">
        <v>458.16</v>
      </c>
      <c r="AR569" s="6">
        <v>572.70000000000005</v>
      </c>
      <c r="AS569" s="6">
        <v>458.16</v>
      </c>
      <c r="AT569" s="6">
        <v>458.16</v>
      </c>
      <c r="AU569" s="6">
        <v>572.70000000000005</v>
      </c>
      <c r="AV569" s="6">
        <v>458.16</v>
      </c>
      <c r="AW569" s="93"/>
      <c r="AX569" s="76"/>
      <c r="AY569" s="76" t="s">
        <v>631</v>
      </c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 t="s">
        <v>631</v>
      </c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 t="s">
        <v>631</v>
      </c>
      <c r="DH569" s="96" t="s">
        <v>631</v>
      </c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95"/>
      <c r="DX569" s="90">
        <f t="shared" si="8"/>
        <v>4</v>
      </c>
      <c r="DY569" s="21"/>
      <c r="DZ569" s="21"/>
    </row>
    <row r="570" spans="1:130" hidden="1" outlineLevel="1" x14ac:dyDescent="0.3">
      <c r="A570" s="4"/>
      <c r="B570" s="4"/>
      <c r="C570" s="4" t="s">
        <v>1021</v>
      </c>
      <c r="D570" s="4"/>
      <c r="E570" s="12"/>
      <c r="F570" s="34"/>
      <c r="G570" s="28"/>
      <c r="H570" s="28"/>
      <c r="I570" s="26"/>
      <c r="J570" s="24"/>
      <c r="K570" s="31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93"/>
      <c r="AX570" s="76"/>
      <c r="AY570" s="76" t="s">
        <v>631</v>
      </c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 t="s">
        <v>631</v>
      </c>
      <c r="BK570" s="76"/>
      <c r="BL570" s="76"/>
      <c r="BM570" s="76"/>
      <c r="BN570" s="76"/>
      <c r="BO570" s="76"/>
      <c r="BP570" s="76" t="s">
        <v>631</v>
      </c>
      <c r="BQ570" s="76"/>
      <c r="BR570" s="76"/>
      <c r="BS570" s="76"/>
      <c r="BT570" s="76"/>
      <c r="BU570" s="76"/>
      <c r="BV570" s="76" t="s">
        <v>631</v>
      </c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9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95"/>
      <c r="DX570" s="90"/>
      <c r="DY570" s="21"/>
      <c r="DZ570" s="21"/>
    </row>
    <row r="571" spans="1:130" collapsed="1" x14ac:dyDescent="0.3">
      <c r="A571" s="4" t="s">
        <v>126</v>
      </c>
      <c r="B571" s="4" t="s">
        <v>339</v>
      </c>
      <c r="C571" s="91" t="s">
        <v>345</v>
      </c>
      <c r="D571" s="4" t="s">
        <v>346</v>
      </c>
      <c r="E571" s="12">
        <v>9.3699999999999992</v>
      </c>
      <c r="F571" s="34">
        <f t="shared" si="9"/>
        <v>21494.78</v>
      </c>
      <c r="G571" s="28">
        <f t="shared" si="7"/>
        <v>2294</v>
      </c>
      <c r="H571" s="28">
        <f t="shared" si="10"/>
        <v>192</v>
      </c>
      <c r="I571" s="26">
        <f t="shared" si="11"/>
        <v>9482.4399999999987</v>
      </c>
      <c r="J571" s="24">
        <f t="shared" si="12"/>
        <v>1012</v>
      </c>
      <c r="K571" s="31">
        <f t="shared" si="13"/>
        <v>203</v>
      </c>
      <c r="L571" s="9">
        <v>0</v>
      </c>
      <c r="M571" s="9">
        <v>500</v>
      </c>
      <c r="N571" s="9">
        <v>0</v>
      </c>
      <c r="O571" s="9">
        <v>0</v>
      </c>
      <c r="P571" s="9">
        <v>184</v>
      </c>
      <c r="Q571" s="9">
        <v>230</v>
      </c>
      <c r="R571" s="9">
        <v>184</v>
      </c>
      <c r="S571" s="9">
        <v>230</v>
      </c>
      <c r="T571" s="9">
        <v>184</v>
      </c>
      <c r="U571" s="9">
        <v>184</v>
      </c>
      <c r="V571" s="9">
        <v>230</v>
      </c>
      <c r="W571" s="9">
        <v>184</v>
      </c>
      <c r="X571" s="9">
        <v>184</v>
      </c>
      <c r="Y571" s="9">
        <v>230</v>
      </c>
      <c r="Z571" s="9">
        <v>184</v>
      </c>
      <c r="AA571" s="9">
        <v>184</v>
      </c>
      <c r="AB571" s="9">
        <v>230</v>
      </c>
      <c r="AC571" s="9">
        <v>184</v>
      </c>
      <c r="AE571" s="6">
        <v>0</v>
      </c>
      <c r="AF571" s="6">
        <v>4054.9999999999995</v>
      </c>
      <c r="AG571" s="6">
        <v>0</v>
      </c>
      <c r="AH571" s="6">
        <v>0</v>
      </c>
      <c r="AI571" s="6">
        <v>1724.08</v>
      </c>
      <c r="AJ571" s="6">
        <v>2155.1</v>
      </c>
      <c r="AK571" s="6">
        <v>1724.08</v>
      </c>
      <c r="AL571" s="6">
        <v>1865.3</v>
      </c>
      <c r="AM571" s="6">
        <v>1492.2399999999998</v>
      </c>
      <c r="AN571" s="6">
        <v>1492.2399999999998</v>
      </c>
      <c r="AO571" s="6">
        <v>1865.3</v>
      </c>
      <c r="AP571" s="6">
        <v>1492.2399999999998</v>
      </c>
      <c r="AQ571" s="6">
        <v>1492.2399999999998</v>
      </c>
      <c r="AR571" s="6">
        <v>1865.3</v>
      </c>
      <c r="AS571" s="6">
        <v>1492.2399999999998</v>
      </c>
      <c r="AT571" s="6">
        <v>1492.2399999999998</v>
      </c>
      <c r="AU571" s="6">
        <v>1865.3</v>
      </c>
      <c r="AV571" s="6">
        <v>1492.2399999999998</v>
      </c>
      <c r="AW571" s="93" t="s">
        <v>631</v>
      </c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 t="s">
        <v>631</v>
      </c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 t="s">
        <v>631</v>
      </c>
      <c r="DH571" s="96" t="s">
        <v>631</v>
      </c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95"/>
      <c r="DX571" s="90">
        <f t="shared" si="8"/>
        <v>4</v>
      </c>
      <c r="DY571" s="21"/>
      <c r="DZ571" s="21"/>
    </row>
    <row r="572" spans="1:130" hidden="1" outlineLevel="1" x14ac:dyDescent="0.3">
      <c r="A572" s="4"/>
      <c r="B572" s="4"/>
      <c r="C572" s="4" t="s">
        <v>1019</v>
      </c>
      <c r="D572" s="4"/>
      <c r="E572" s="12"/>
      <c r="F572" s="34"/>
      <c r="G572" s="28"/>
      <c r="H572" s="28"/>
      <c r="I572" s="26"/>
      <c r="J572" s="24"/>
      <c r="K572" s="31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93" t="s">
        <v>631</v>
      </c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 t="s">
        <v>631</v>
      </c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9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95"/>
      <c r="DX572" s="90"/>
      <c r="DY572" s="21"/>
      <c r="DZ572" s="21"/>
    </row>
    <row r="573" spans="1:130" hidden="1" outlineLevel="1" x14ac:dyDescent="0.3">
      <c r="A573" s="4"/>
      <c r="B573" s="4"/>
      <c r="C573" s="4" t="s">
        <v>1025</v>
      </c>
      <c r="D573" s="4"/>
      <c r="E573" s="12"/>
      <c r="F573" s="34"/>
      <c r="G573" s="28"/>
      <c r="H573" s="28"/>
      <c r="I573" s="26"/>
      <c r="J573" s="24"/>
      <c r="K573" s="31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93" t="s">
        <v>631</v>
      </c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 t="s">
        <v>631</v>
      </c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9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95"/>
      <c r="DX573" s="90"/>
      <c r="DY573" s="21"/>
      <c r="DZ573" s="21"/>
    </row>
    <row r="574" spans="1:130" x14ac:dyDescent="0.3">
      <c r="A574" s="4" t="s">
        <v>126</v>
      </c>
      <c r="B574" s="4" t="s">
        <v>339</v>
      </c>
      <c r="C574" s="91" t="s">
        <v>347</v>
      </c>
      <c r="D574" s="4" t="s">
        <v>346</v>
      </c>
      <c r="E574" s="12">
        <v>5.1100000000000003</v>
      </c>
      <c r="F574" s="34">
        <f t="shared" si="9"/>
        <v>11722.34</v>
      </c>
      <c r="G574" s="28">
        <f t="shared" si="7"/>
        <v>2294</v>
      </c>
      <c r="H574" s="28">
        <f t="shared" si="10"/>
        <v>192</v>
      </c>
      <c r="I574" s="26">
        <f t="shared" si="11"/>
        <v>5171.3200000000006</v>
      </c>
      <c r="J574" s="24">
        <f t="shared" si="12"/>
        <v>1012</v>
      </c>
      <c r="K574" s="31">
        <f t="shared" si="13"/>
        <v>203</v>
      </c>
      <c r="L574" s="9">
        <v>0</v>
      </c>
      <c r="M574" s="9">
        <v>500</v>
      </c>
      <c r="N574" s="9">
        <v>0</v>
      </c>
      <c r="O574" s="9">
        <v>0</v>
      </c>
      <c r="P574" s="9">
        <v>184</v>
      </c>
      <c r="Q574" s="9">
        <v>230</v>
      </c>
      <c r="R574" s="9">
        <v>184</v>
      </c>
      <c r="S574" s="9">
        <v>230</v>
      </c>
      <c r="T574" s="9">
        <v>184</v>
      </c>
      <c r="U574" s="9">
        <v>184</v>
      </c>
      <c r="V574" s="9">
        <v>230</v>
      </c>
      <c r="W574" s="9">
        <v>184</v>
      </c>
      <c r="X574" s="9">
        <v>184</v>
      </c>
      <c r="Y574" s="9">
        <v>230</v>
      </c>
      <c r="Z574" s="9">
        <v>184</v>
      </c>
      <c r="AA574" s="9">
        <v>184</v>
      </c>
      <c r="AB574" s="9">
        <v>230</v>
      </c>
      <c r="AC574" s="9">
        <v>184</v>
      </c>
      <c r="AE574" s="6">
        <v>0</v>
      </c>
      <c r="AF574" s="6">
        <v>2555</v>
      </c>
      <c r="AG574" s="6">
        <v>0</v>
      </c>
      <c r="AH574" s="6">
        <v>0</v>
      </c>
      <c r="AI574" s="6">
        <v>940.24</v>
      </c>
      <c r="AJ574" s="6">
        <v>1175.3000000000002</v>
      </c>
      <c r="AK574" s="6">
        <v>940.24</v>
      </c>
      <c r="AL574" s="6">
        <v>1175.3000000000002</v>
      </c>
      <c r="AM574" s="6">
        <v>940.24</v>
      </c>
      <c r="AN574" s="6">
        <v>940.24</v>
      </c>
      <c r="AO574" s="6">
        <v>1175.3000000000002</v>
      </c>
      <c r="AP574" s="6">
        <v>940.24</v>
      </c>
      <c r="AQ574" s="6">
        <v>940.24</v>
      </c>
      <c r="AR574" s="6">
        <v>1175.3000000000002</v>
      </c>
      <c r="AS574" s="6">
        <v>940.24</v>
      </c>
      <c r="AT574" s="6">
        <v>940.24</v>
      </c>
      <c r="AU574" s="6">
        <v>1175.3000000000002</v>
      </c>
      <c r="AV574" s="6">
        <v>940.24</v>
      </c>
      <c r="AW574" s="93" t="s">
        <v>631</v>
      </c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 t="s">
        <v>631</v>
      </c>
      <c r="BP574" s="76" t="s">
        <v>631</v>
      </c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 t="s">
        <v>631</v>
      </c>
      <c r="DH574" s="96" t="s">
        <v>631</v>
      </c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95"/>
      <c r="DX574" s="90">
        <f t="shared" si="8"/>
        <v>5</v>
      </c>
      <c r="DY574" s="21"/>
      <c r="DZ574" s="21"/>
    </row>
    <row r="575" spans="1:130" collapsed="1" x14ac:dyDescent="0.3">
      <c r="A575" s="4" t="s">
        <v>126</v>
      </c>
      <c r="B575" s="4" t="s">
        <v>339</v>
      </c>
      <c r="C575" s="91" t="s">
        <v>348</v>
      </c>
      <c r="D575" s="4" t="s">
        <v>349</v>
      </c>
      <c r="E575" s="12">
        <v>84.38</v>
      </c>
      <c r="F575" s="34">
        <f t="shared" si="9"/>
        <v>262421.8</v>
      </c>
      <c r="G575" s="28">
        <f t="shared" si="7"/>
        <v>3110</v>
      </c>
      <c r="H575" s="28">
        <f t="shared" si="10"/>
        <v>260</v>
      </c>
      <c r="I575" s="26">
        <f t="shared" si="11"/>
        <v>85392.56</v>
      </c>
      <c r="J575" s="24">
        <f t="shared" si="12"/>
        <v>1012</v>
      </c>
      <c r="K575" s="31">
        <f t="shared" si="13"/>
        <v>203</v>
      </c>
      <c r="L575" s="9">
        <v>500</v>
      </c>
      <c r="M575" s="9">
        <v>500</v>
      </c>
      <c r="N575" s="9">
        <v>500</v>
      </c>
      <c r="O575" s="9">
        <v>0</v>
      </c>
      <c r="P575" s="9">
        <v>500</v>
      </c>
      <c r="Q575" s="9">
        <v>230</v>
      </c>
      <c r="R575" s="9">
        <v>184</v>
      </c>
      <c r="S575" s="9">
        <v>230</v>
      </c>
      <c r="T575" s="9">
        <v>184</v>
      </c>
      <c r="U575" s="9">
        <v>184</v>
      </c>
      <c r="V575" s="9">
        <v>230</v>
      </c>
      <c r="W575" s="9">
        <v>184</v>
      </c>
      <c r="X575" s="9">
        <v>184</v>
      </c>
      <c r="Y575" s="9">
        <v>230</v>
      </c>
      <c r="Z575" s="9">
        <v>184</v>
      </c>
      <c r="AA575" s="9">
        <v>184</v>
      </c>
      <c r="AB575" s="9">
        <v>230</v>
      </c>
      <c r="AC575" s="9">
        <v>184</v>
      </c>
      <c r="AE575" s="6">
        <v>42190</v>
      </c>
      <c r="AF575" s="6">
        <v>42190</v>
      </c>
      <c r="AG575" s="6">
        <v>42190</v>
      </c>
      <c r="AH575" s="6">
        <v>0</v>
      </c>
      <c r="AI575" s="6">
        <v>42190</v>
      </c>
      <c r="AJ575" s="6">
        <v>19407.399999999998</v>
      </c>
      <c r="AK575" s="6">
        <v>15525.919999999998</v>
      </c>
      <c r="AL575" s="6">
        <v>19407.399999999998</v>
      </c>
      <c r="AM575" s="6">
        <v>15525.919999999998</v>
      </c>
      <c r="AN575" s="6">
        <v>15525.919999999998</v>
      </c>
      <c r="AO575" s="6">
        <v>19407.399999999998</v>
      </c>
      <c r="AP575" s="6">
        <v>15525.919999999998</v>
      </c>
      <c r="AQ575" s="6">
        <v>15525.919999999998</v>
      </c>
      <c r="AR575" s="6">
        <v>19407.399999999998</v>
      </c>
      <c r="AS575" s="6">
        <v>15525.919999999998</v>
      </c>
      <c r="AT575" s="6">
        <v>15525.919999999998</v>
      </c>
      <c r="AU575" s="6">
        <v>19407.399999999998</v>
      </c>
      <c r="AV575" s="6">
        <v>15525.919999999998</v>
      </c>
      <c r="AW575" s="93" t="s">
        <v>631</v>
      </c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 t="s">
        <v>631</v>
      </c>
      <c r="BP575" s="76" t="s">
        <v>631</v>
      </c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 t="s">
        <v>631</v>
      </c>
      <c r="CI575" s="94" t="s">
        <v>631</v>
      </c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 t="s">
        <v>631</v>
      </c>
      <c r="CX575" s="76"/>
      <c r="CY575" s="76"/>
      <c r="CZ575" s="76"/>
      <c r="DA575" s="76"/>
      <c r="DB575" s="76"/>
      <c r="DC575" s="76"/>
      <c r="DD575" s="76"/>
      <c r="DE575" s="76"/>
      <c r="DF575" s="76"/>
      <c r="DG575" s="76" t="s">
        <v>631</v>
      </c>
      <c r="DH575" s="96" t="s">
        <v>631</v>
      </c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95"/>
      <c r="DX575" s="90">
        <f t="shared" si="8"/>
        <v>8</v>
      </c>
      <c r="DY575" s="21"/>
      <c r="DZ575" s="21"/>
    </row>
    <row r="576" spans="1:130" hidden="1" outlineLevel="1" x14ac:dyDescent="0.3">
      <c r="A576" s="4"/>
      <c r="B576" s="4"/>
      <c r="C576" s="4" t="s">
        <v>1022</v>
      </c>
      <c r="D576" s="4"/>
      <c r="E576" s="12"/>
      <c r="F576" s="34"/>
      <c r="G576" s="28"/>
      <c r="H576" s="28"/>
      <c r="I576" s="26"/>
      <c r="J576" s="24"/>
      <c r="K576" s="31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93" t="s">
        <v>631</v>
      </c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 t="s">
        <v>631</v>
      </c>
      <c r="BQ576" s="76"/>
      <c r="BR576" s="76"/>
      <c r="BS576" s="76"/>
      <c r="BT576" s="76"/>
      <c r="BU576" s="76"/>
      <c r="BV576" s="76"/>
      <c r="BW576" s="76"/>
      <c r="BX576" s="76"/>
      <c r="BY576" s="76"/>
      <c r="BZ576" s="76" t="s">
        <v>631</v>
      </c>
      <c r="CA576" s="76"/>
      <c r="CB576" s="76"/>
      <c r="CC576" s="76"/>
      <c r="CD576" s="76"/>
      <c r="CE576" s="76"/>
      <c r="CF576" s="76"/>
      <c r="CG576" s="76"/>
      <c r="CH576" s="76"/>
      <c r="CI576" s="94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9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95"/>
      <c r="DX576" s="90"/>
      <c r="DY576" s="21"/>
      <c r="DZ576" s="21"/>
    </row>
    <row r="577" spans="1:130" hidden="1" outlineLevel="1" x14ac:dyDescent="0.3">
      <c r="A577" s="4"/>
      <c r="B577" s="4"/>
      <c r="C577" s="4" t="s">
        <v>1023</v>
      </c>
      <c r="D577" s="4"/>
      <c r="E577" s="12"/>
      <c r="F577" s="34"/>
      <c r="G577" s="28"/>
      <c r="H577" s="28"/>
      <c r="I577" s="26"/>
      <c r="J577" s="24"/>
      <c r="K577" s="31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93" t="s">
        <v>631</v>
      </c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 t="s">
        <v>631</v>
      </c>
      <c r="BQ577" s="76"/>
      <c r="BR577" s="76"/>
      <c r="BS577" s="76"/>
      <c r="BT577" s="76"/>
      <c r="BU577" s="76"/>
      <c r="BV577" s="76"/>
      <c r="BW577" s="76"/>
      <c r="BX577" s="76"/>
      <c r="BY577" s="76"/>
      <c r="BZ577" s="76" t="s">
        <v>631</v>
      </c>
      <c r="CA577" s="76"/>
      <c r="CB577" s="76"/>
      <c r="CC577" s="76"/>
      <c r="CD577" s="76"/>
      <c r="CE577" s="76"/>
      <c r="CF577" s="76"/>
      <c r="CG577" s="76"/>
      <c r="CH577" s="76" t="s">
        <v>631</v>
      </c>
      <c r="CI577" s="94" t="s">
        <v>631</v>
      </c>
      <c r="CJ577" s="76"/>
      <c r="CK577" s="76" t="s">
        <v>631</v>
      </c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 t="s">
        <v>631</v>
      </c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9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95"/>
      <c r="DX577" s="90"/>
      <c r="DY577" s="21"/>
      <c r="DZ577" s="21"/>
    </row>
    <row r="578" spans="1:130" collapsed="1" x14ac:dyDescent="0.3">
      <c r="A578" s="4" t="s">
        <v>126</v>
      </c>
      <c r="B578" s="4" t="s">
        <v>339</v>
      </c>
      <c r="C578" s="91" t="s">
        <v>350</v>
      </c>
      <c r="D578" s="4" t="s">
        <v>351</v>
      </c>
      <c r="E578" s="12">
        <v>70.14</v>
      </c>
      <c r="F578" s="34">
        <f t="shared" si="9"/>
        <v>263025</v>
      </c>
      <c r="G578" s="28">
        <f t="shared" si="7"/>
        <v>3750</v>
      </c>
      <c r="H578" s="28">
        <f t="shared" si="10"/>
        <v>313</v>
      </c>
      <c r="I578" s="26">
        <f t="shared" si="11"/>
        <v>0</v>
      </c>
      <c r="J578" s="24">
        <f t="shared" si="12"/>
        <v>0</v>
      </c>
      <c r="K578" s="31">
        <f t="shared" si="13"/>
        <v>0</v>
      </c>
      <c r="L578" s="9">
        <v>0</v>
      </c>
      <c r="M578" s="9">
        <v>500</v>
      </c>
      <c r="N578" s="9">
        <v>0</v>
      </c>
      <c r="O578" s="9">
        <v>750</v>
      </c>
      <c r="P578" s="9">
        <v>750</v>
      </c>
      <c r="Q578" s="9">
        <v>500</v>
      </c>
      <c r="R578" s="9">
        <v>500</v>
      </c>
      <c r="S578" s="9">
        <v>750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E578" s="6">
        <v>0</v>
      </c>
      <c r="AF578" s="6">
        <v>35070</v>
      </c>
      <c r="AG578" s="6">
        <v>0</v>
      </c>
      <c r="AH578" s="6">
        <v>56310</v>
      </c>
      <c r="AI578" s="6">
        <v>52605</v>
      </c>
      <c r="AJ578" s="6">
        <v>35070</v>
      </c>
      <c r="AK578" s="6">
        <v>35070</v>
      </c>
      <c r="AL578" s="6">
        <v>52605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93" t="s">
        <v>631</v>
      </c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 t="s">
        <v>631</v>
      </c>
      <c r="BP578" s="76" t="s">
        <v>631</v>
      </c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 t="s">
        <v>631</v>
      </c>
      <c r="DH578" s="96" t="s">
        <v>631</v>
      </c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95"/>
      <c r="DX578" s="90">
        <f t="shared" si="8"/>
        <v>5</v>
      </c>
      <c r="DY578" s="21"/>
      <c r="DZ578" s="21"/>
    </row>
    <row r="579" spans="1:130" hidden="1" outlineLevel="1" x14ac:dyDescent="0.3">
      <c r="A579" s="4"/>
      <c r="B579" s="4"/>
      <c r="C579" s="4" t="s">
        <v>1024</v>
      </c>
      <c r="D579" s="4"/>
      <c r="E579" s="12"/>
      <c r="F579" s="34"/>
      <c r="G579" s="28"/>
      <c r="H579" s="28"/>
      <c r="I579" s="26"/>
      <c r="J579" s="24"/>
      <c r="K579" s="31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93" t="s">
        <v>631</v>
      </c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 t="s">
        <v>631</v>
      </c>
      <c r="BQ579" s="76"/>
      <c r="BR579" s="76"/>
      <c r="BS579" s="76"/>
      <c r="BT579" s="76"/>
      <c r="BU579" s="76"/>
      <c r="BV579" s="76"/>
      <c r="BW579" s="76"/>
      <c r="BX579" s="76"/>
      <c r="BY579" s="76"/>
      <c r="BZ579" s="76" t="s">
        <v>631</v>
      </c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9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95"/>
      <c r="DX579" s="90"/>
      <c r="DY579" s="21"/>
      <c r="DZ579" s="21"/>
    </row>
    <row r="580" spans="1:130" hidden="1" outlineLevel="1" x14ac:dyDescent="0.3">
      <c r="A580" s="4"/>
      <c r="B580" s="4"/>
      <c r="C580" s="4" t="s">
        <v>1023</v>
      </c>
      <c r="D580" s="4"/>
      <c r="E580" s="12"/>
      <c r="F580" s="34"/>
      <c r="G580" s="28"/>
      <c r="H580" s="28"/>
      <c r="I580" s="26"/>
      <c r="J580" s="24"/>
      <c r="K580" s="31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93" t="s">
        <v>631</v>
      </c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 t="s">
        <v>631</v>
      </c>
      <c r="BQ580" s="76"/>
      <c r="BR580" s="76"/>
      <c r="BS580" s="76"/>
      <c r="BT580" s="76"/>
      <c r="BU580" s="76"/>
      <c r="BV580" s="76"/>
      <c r="BW580" s="76"/>
      <c r="BX580" s="76"/>
      <c r="BY580" s="76"/>
      <c r="BZ580" s="76" t="s">
        <v>631</v>
      </c>
      <c r="CA580" s="76"/>
      <c r="CB580" s="76"/>
      <c r="CC580" s="76"/>
      <c r="CD580" s="76"/>
      <c r="CE580" s="76"/>
      <c r="CF580" s="76"/>
      <c r="CG580" s="76"/>
      <c r="CH580" s="76" t="s">
        <v>631</v>
      </c>
      <c r="CI580" s="94" t="s">
        <v>631</v>
      </c>
      <c r="CJ580" s="76"/>
      <c r="CK580" s="76" t="s">
        <v>631</v>
      </c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 t="s">
        <v>631</v>
      </c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9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95"/>
      <c r="DX580" s="90"/>
      <c r="DY580" s="21"/>
      <c r="DZ580" s="21"/>
    </row>
    <row r="581" spans="1:130" collapsed="1" x14ac:dyDescent="0.3">
      <c r="A581" s="4" t="s">
        <v>126</v>
      </c>
      <c r="B581" s="4" t="s">
        <v>352</v>
      </c>
      <c r="C581" s="91" t="s">
        <v>353</v>
      </c>
      <c r="D581" s="4" t="s">
        <v>354</v>
      </c>
      <c r="E581" s="12">
        <v>323.45999999999998</v>
      </c>
      <c r="F581" s="34">
        <f t="shared" si="9"/>
        <v>8086.4999999999991</v>
      </c>
      <c r="G581" s="28">
        <f t="shared" si="7"/>
        <v>25</v>
      </c>
      <c r="H581" s="28">
        <f t="shared" si="10"/>
        <v>3</v>
      </c>
      <c r="I581" s="26">
        <f t="shared" si="11"/>
        <v>0</v>
      </c>
      <c r="J581" s="24">
        <f t="shared" si="12"/>
        <v>0</v>
      </c>
      <c r="K581" s="31">
        <f t="shared" si="13"/>
        <v>0</v>
      </c>
      <c r="L581" s="9">
        <v>25</v>
      </c>
      <c r="M581" s="9">
        <v>0</v>
      </c>
      <c r="N581" s="9">
        <v>0</v>
      </c>
      <c r="O581" s="9">
        <v>0</v>
      </c>
      <c r="P581" s="9">
        <v>0</v>
      </c>
      <c r="Q581" s="9">
        <v>25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E581" s="6">
        <v>9460.5</v>
      </c>
      <c r="AF581" s="6">
        <v>0</v>
      </c>
      <c r="AG581" s="6">
        <v>0</v>
      </c>
      <c r="AH581" s="6">
        <v>0</v>
      </c>
      <c r="AI581" s="6">
        <v>0</v>
      </c>
      <c r="AJ581" s="6">
        <v>8086.4999999999991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93"/>
      <c r="AX581" s="76" t="s">
        <v>631</v>
      </c>
      <c r="AY581" s="76" t="s">
        <v>631</v>
      </c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 t="s">
        <v>631</v>
      </c>
      <c r="BL581" s="76"/>
      <c r="BM581" s="76"/>
      <c r="BN581" s="76"/>
      <c r="BO581" s="76" t="s">
        <v>631</v>
      </c>
      <c r="BP581" s="76" t="s">
        <v>631</v>
      </c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 t="s">
        <v>631</v>
      </c>
      <c r="DH581" s="96" t="s">
        <v>631</v>
      </c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95"/>
      <c r="DX581" s="90">
        <f t="shared" si="8"/>
        <v>7</v>
      </c>
      <c r="DY581" s="21"/>
      <c r="DZ581" s="21"/>
    </row>
    <row r="582" spans="1:130" hidden="1" outlineLevel="1" x14ac:dyDescent="0.3">
      <c r="A582" s="4"/>
      <c r="B582" s="4"/>
      <c r="C582" s="4" t="s">
        <v>883</v>
      </c>
      <c r="D582" s="4"/>
      <c r="E582" s="12"/>
      <c r="F582" s="34"/>
      <c r="G582" s="28"/>
      <c r="H582" s="28"/>
      <c r="I582" s="26"/>
      <c r="J582" s="24"/>
      <c r="K582" s="31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93"/>
      <c r="AX582" s="76" t="s">
        <v>631</v>
      </c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 t="s">
        <v>631</v>
      </c>
      <c r="DE582" s="76"/>
      <c r="DF582" s="76"/>
      <c r="DG582" s="76"/>
      <c r="DH582" s="9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95"/>
      <c r="DX582" s="90"/>
      <c r="DY582" s="21"/>
      <c r="DZ582" s="21"/>
    </row>
    <row r="583" spans="1:130" hidden="1" outlineLevel="1" x14ac:dyDescent="0.3">
      <c r="A583" s="4"/>
      <c r="B583" s="4"/>
      <c r="C583" s="4" t="s">
        <v>1026</v>
      </c>
      <c r="D583" s="4"/>
      <c r="E583" s="12"/>
      <c r="F583" s="34"/>
      <c r="G583" s="28"/>
      <c r="H583" s="28"/>
      <c r="I583" s="26"/>
      <c r="J583" s="24"/>
      <c r="K583" s="31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93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 t="s">
        <v>631</v>
      </c>
      <c r="DE583" s="76"/>
      <c r="DF583" s="76"/>
      <c r="DG583" s="76"/>
      <c r="DH583" s="9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95"/>
      <c r="DX583" s="90"/>
      <c r="DY583" s="21"/>
      <c r="DZ583" s="21"/>
    </row>
    <row r="584" spans="1:130" hidden="1" outlineLevel="1" x14ac:dyDescent="0.3">
      <c r="A584" s="4"/>
      <c r="B584" s="4"/>
      <c r="C584" s="4" t="s">
        <v>1027</v>
      </c>
      <c r="D584" s="4"/>
      <c r="E584" s="12"/>
      <c r="F584" s="34"/>
      <c r="G584" s="28"/>
      <c r="H584" s="28"/>
      <c r="I584" s="26"/>
      <c r="J584" s="24"/>
      <c r="K584" s="31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93"/>
      <c r="AX584" s="76" t="s">
        <v>631</v>
      </c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 t="s">
        <v>631</v>
      </c>
      <c r="BP584" s="76" t="s">
        <v>631</v>
      </c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9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95"/>
      <c r="DX584" s="90"/>
      <c r="DY584" s="21"/>
      <c r="DZ584" s="21"/>
    </row>
    <row r="585" spans="1:130" hidden="1" outlineLevel="1" x14ac:dyDescent="0.3">
      <c r="A585" s="4"/>
      <c r="B585" s="4"/>
      <c r="C585" s="4" t="s">
        <v>1028</v>
      </c>
      <c r="D585" s="4"/>
      <c r="E585" s="12"/>
      <c r="F585" s="34"/>
      <c r="G585" s="28"/>
      <c r="H585" s="28"/>
      <c r="I585" s="26"/>
      <c r="J585" s="24"/>
      <c r="K585" s="31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93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 t="s">
        <v>631</v>
      </c>
      <c r="DE585" s="76"/>
      <c r="DF585" s="76"/>
      <c r="DG585" s="76"/>
      <c r="DH585" s="9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95"/>
      <c r="DX585" s="90"/>
      <c r="DY585" s="21"/>
      <c r="DZ585" s="21"/>
    </row>
    <row r="586" spans="1:130" hidden="1" outlineLevel="1" x14ac:dyDescent="0.3">
      <c r="A586" s="4"/>
      <c r="B586" s="4"/>
      <c r="C586" s="4" t="s">
        <v>1029</v>
      </c>
      <c r="D586" s="4"/>
      <c r="E586" s="12"/>
      <c r="F586" s="34"/>
      <c r="G586" s="28"/>
      <c r="H586" s="28"/>
      <c r="I586" s="26"/>
      <c r="J586" s="24"/>
      <c r="K586" s="31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93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 t="s">
        <v>631</v>
      </c>
      <c r="DE586" s="76"/>
      <c r="DF586" s="76"/>
      <c r="DG586" s="76"/>
      <c r="DH586" s="9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95"/>
      <c r="DX586" s="90"/>
      <c r="DY586" s="21"/>
      <c r="DZ586" s="21"/>
    </row>
    <row r="587" spans="1:130" hidden="1" outlineLevel="1" x14ac:dyDescent="0.3">
      <c r="A587" s="4"/>
      <c r="B587" s="4"/>
      <c r="C587" s="4" t="s">
        <v>1030</v>
      </c>
      <c r="D587" s="4"/>
      <c r="E587" s="12"/>
      <c r="F587" s="34"/>
      <c r="G587" s="28"/>
      <c r="H587" s="28"/>
      <c r="I587" s="26"/>
      <c r="J587" s="24"/>
      <c r="K587" s="31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93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 t="s">
        <v>631</v>
      </c>
      <c r="DE587" s="76"/>
      <c r="DF587" s="76"/>
      <c r="DG587" s="76"/>
      <c r="DH587" s="9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95"/>
      <c r="DX587" s="90"/>
      <c r="DY587" s="21"/>
      <c r="DZ587" s="21"/>
    </row>
    <row r="588" spans="1:130" hidden="1" outlineLevel="1" x14ac:dyDescent="0.3">
      <c r="A588" s="4"/>
      <c r="B588" s="4"/>
      <c r="C588" s="4" t="s">
        <v>1031</v>
      </c>
      <c r="D588" s="4"/>
      <c r="E588" s="12"/>
      <c r="F588" s="34"/>
      <c r="G588" s="28"/>
      <c r="H588" s="28"/>
      <c r="I588" s="26"/>
      <c r="J588" s="24"/>
      <c r="K588" s="31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93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 t="s">
        <v>631</v>
      </c>
      <c r="DE588" s="76"/>
      <c r="DF588" s="76"/>
      <c r="DG588" s="76"/>
      <c r="DH588" s="9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95"/>
      <c r="DX588" s="90"/>
      <c r="DY588" s="21"/>
      <c r="DZ588" s="21"/>
    </row>
    <row r="589" spans="1:130" hidden="1" outlineLevel="1" x14ac:dyDescent="0.3">
      <c r="A589" s="4"/>
      <c r="B589" s="4"/>
      <c r="C589" s="4" t="s">
        <v>1032</v>
      </c>
      <c r="D589" s="4"/>
      <c r="E589" s="12"/>
      <c r="F589" s="34"/>
      <c r="G589" s="28"/>
      <c r="H589" s="28"/>
      <c r="I589" s="26"/>
      <c r="J589" s="24"/>
      <c r="K589" s="31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93"/>
      <c r="AX589" s="76" t="s">
        <v>631</v>
      </c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 t="s">
        <v>631</v>
      </c>
      <c r="BP589" s="76" t="s">
        <v>631</v>
      </c>
      <c r="BQ589" s="76"/>
      <c r="BR589" s="76"/>
      <c r="BS589" s="76"/>
      <c r="BT589" s="76"/>
      <c r="BU589" s="76"/>
      <c r="BV589" s="76"/>
      <c r="BW589" s="76"/>
      <c r="BX589" s="76"/>
      <c r="BY589" s="76"/>
      <c r="BZ589" s="76" t="s">
        <v>631</v>
      </c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9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95"/>
      <c r="DX589" s="90"/>
      <c r="DY589" s="21"/>
      <c r="DZ589" s="21"/>
    </row>
    <row r="590" spans="1:130" hidden="1" outlineLevel="1" x14ac:dyDescent="0.3">
      <c r="A590" s="4"/>
      <c r="B590" s="4"/>
      <c r="C590" s="4" t="s">
        <v>353</v>
      </c>
      <c r="D590" s="4"/>
      <c r="E590" s="12"/>
      <c r="F590" s="34"/>
      <c r="G590" s="28"/>
      <c r="H590" s="28"/>
      <c r="I590" s="26"/>
      <c r="J590" s="24"/>
      <c r="K590" s="31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93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 t="s">
        <v>631</v>
      </c>
      <c r="DE590" s="76"/>
      <c r="DF590" s="76"/>
      <c r="DG590" s="76"/>
      <c r="DH590" s="9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95"/>
      <c r="DX590" s="90"/>
      <c r="DY590" s="21"/>
      <c r="DZ590" s="21"/>
    </row>
    <row r="591" spans="1:130" hidden="1" outlineLevel="1" x14ac:dyDescent="0.3">
      <c r="A591" s="4"/>
      <c r="B591" s="4"/>
      <c r="C591" s="4" t="s">
        <v>886</v>
      </c>
      <c r="D591" s="4"/>
      <c r="E591" s="12"/>
      <c r="F591" s="34"/>
      <c r="G591" s="28"/>
      <c r="H591" s="28"/>
      <c r="I591" s="26"/>
      <c r="J591" s="24"/>
      <c r="K591" s="31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93"/>
      <c r="AX591" s="76"/>
      <c r="AY591" s="76"/>
      <c r="AZ591" s="76"/>
      <c r="BA591" s="76" t="s">
        <v>631</v>
      </c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 t="s">
        <v>631</v>
      </c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9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95"/>
      <c r="DX591" s="90"/>
      <c r="DY591" s="21"/>
      <c r="DZ591" s="21"/>
    </row>
    <row r="592" spans="1:130" hidden="1" outlineLevel="1" x14ac:dyDescent="0.3">
      <c r="A592" s="4"/>
      <c r="B592" s="4"/>
      <c r="C592" s="4" t="s">
        <v>887</v>
      </c>
      <c r="D592" s="4"/>
      <c r="E592" s="12"/>
      <c r="F592" s="34"/>
      <c r="G592" s="28"/>
      <c r="H592" s="28"/>
      <c r="I592" s="26"/>
      <c r="J592" s="24"/>
      <c r="K592" s="31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93"/>
      <c r="AX592" s="76"/>
      <c r="AY592" s="76"/>
      <c r="AZ592" s="76"/>
      <c r="BA592" s="76" t="s">
        <v>631</v>
      </c>
      <c r="BB592" s="76"/>
      <c r="BC592" s="76"/>
      <c r="BD592" s="76" t="s">
        <v>631</v>
      </c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 t="s">
        <v>631</v>
      </c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9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95"/>
      <c r="DX592" s="90"/>
      <c r="DY592" s="21"/>
      <c r="DZ592" s="21"/>
    </row>
    <row r="593" spans="1:130" hidden="1" outlineLevel="1" x14ac:dyDescent="0.3">
      <c r="A593" s="4"/>
      <c r="B593" s="4"/>
      <c r="C593" s="4" t="s">
        <v>1033</v>
      </c>
      <c r="D593" s="4"/>
      <c r="E593" s="12"/>
      <c r="F593" s="34"/>
      <c r="G593" s="28"/>
      <c r="H593" s="28"/>
      <c r="I593" s="26"/>
      <c r="J593" s="24"/>
      <c r="K593" s="31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93" t="s">
        <v>631</v>
      </c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 t="s">
        <v>631</v>
      </c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9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95"/>
      <c r="DX593" s="90"/>
      <c r="DY593" s="21"/>
      <c r="DZ593" s="21"/>
    </row>
    <row r="594" spans="1:130" hidden="1" outlineLevel="1" x14ac:dyDescent="0.3">
      <c r="A594" s="4"/>
      <c r="B594" s="4"/>
      <c r="C594" s="4" t="s">
        <v>1034</v>
      </c>
      <c r="D594" s="4"/>
      <c r="E594" s="12"/>
      <c r="F594" s="34"/>
      <c r="G594" s="28"/>
      <c r="H594" s="28"/>
      <c r="I594" s="26"/>
      <c r="J594" s="24"/>
      <c r="K594" s="31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93" t="s">
        <v>631</v>
      </c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 t="s">
        <v>631</v>
      </c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9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95"/>
      <c r="DX594" s="90"/>
      <c r="DY594" s="21"/>
      <c r="DZ594" s="21"/>
    </row>
    <row r="595" spans="1:130" hidden="1" outlineLevel="1" x14ac:dyDescent="0.3">
      <c r="A595" s="4"/>
      <c r="B595" s="4"/>
      <c r="C595" s="4" t="s">
        <v>1035</v>
      </c>
      <c r="D595" s="4"/>
      <c r="E595" s="12"/>
      <c r="F595" s="34"/>
      <c r="G595" s="28"/>
      <c r="H595" s="28"/>
      <c r="I595" s="26"/>
      <c r="J595" s="24"/>
      <c r="K595" s="31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93"/>
      <c r="AX595" s="76" t="s">
        <v>631</v>
      </c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 t="s">
        <v>631</v>
      </c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9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95"/>
      <c r="DX595" s="90"/>
      <c r="DY595" s="21"/>
      <c r="DZ595" s="21"/>
    </row>
    <row r="596" spans="1:130" hidden="1" outlineLevel="1" x14ac:dyDescent="0.3">
      <c r="A596" s="4"/>
      <c r="B596" s="4"/>
      <c r="C596" s="4" t="s">
        <v>1036</v>
      </c>
      <c r="D596" s="4"/>
      <c r="E596" s="12"/>
      <c r="F596" s="34"/>
      <c r="G596" s="28"/>
      <c r="H596" s="28"/>
      <c r="I596" s="26"/>
      <c r="J596" s="24"/>
      <c r="K596" s="31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93"/>
      <c r="AX596" s="76" t="s">
        <v>631</v>
      </c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 t="s">
        <v>631</v>
      </c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9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95"/>
      <c r="DX596" s="90"/>
      <c r="DY596" s="21"/>
      <c r="DZ596" s="21"/>
    </row>
    <row r="597" spans="1:130" hidden="1" outlineLevel="1" x14ac:dyDescent="0.3">
      <c r="A597" s="4"/>
      <c r="B597" s="4"/>
      <c r="C597" s="4" t="s">
        <v>1037</v>
      </c>
      <c r="D597" s="4"/>
      <c r="E597" s="12"/>
      <c r="F597" s="34"/>
      <c r="G597" s="28"/>
      <c r="H597" s="28"/>
      <c r="I597" s="26"/>
      <c r="J597" s="24"/>
      <c r="K597" s="31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93"/>
      <c r="AX597" s="76" t="s">
        <v>631</v>
      </c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 t="s">
        <v>631</v>
      </c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9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95"/>
      <c r="DX597" s="90"/>
      <c r="DY597" s="21"/>
      <c r="DZ597" s="21"/>
    </row>
    <row r="598" spans="1:130" hidden="1" outlineLevel="1" x14ac:dyDescent="0.3">
      <c r="A598" s="4"/>
      <c r="B598" s="4"/>
      <c r="C598" s="4" t="s">
        <v>1038</v>
      </c>
      <c r="D598" s="4"/>
      <c r="E598" s="12"/>
      <c r="F598" s="34"/>
      <c r="G598" s="28"/>
      <c r="H598" s="28"/>
      <c r="I598" s="26"/>
      <c r="J598" s="24"/>
      <c r="K598" s="31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93"/>
      <c r="AX598" s="76"/>
      <c r="AY598" s="76" t="s">
        <v>631</v>
      </c>
      <c r="AZ598" s="76"/>
      <c r="BA598" s="76" t="s">
        <v>631</v>
      </c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 t="s">
        <v>631</v>
      </c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9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95"/>
      <c r="DX598" s="90"/>
      <c r="DY598" s="21"/>
      <c r="DZ598" s="21"/>
    </row>
    <row r="599" spans="1:130" hidden="1" outlineLevel="1" x14ac:dyDescent="0.3">
      <c r="A599" s="4"/>
      <c r="B599" s="4"/>
      <c r="C599" s="4" t="s">
        <v>1039</v>
      </c>
      <c r="D599" s="4"/>
      <c r="E599" s="12"/>
      <c r="F599" s="34"/>
      <c r="G599" s="28"/>
      <c r="H599" s="28"/>
      <c r="I599" s="26"/>
      <c r="J599" s="24"/>
      <c r="K599" s="31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93"/>
      <c r="AX599" s="76" t="s">
        <v>631</v>
      </c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 t="s">
        <v>631</v>
      </c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9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95"/>
      <c r="DX599" s="90"/>
      <c r="DY599" s="21"/>
      <c r="DZ599" s="21"/>
    </row>
    <row r="600" spans="1:130" hidden="1" outlineLevel="1" x14ac:dyDescent="0.3">
      <c r="A600" s="4"/>
      <c r="B600" s="4"/>
      <c r="C600" s="4" t="s">
        <v>1040</v>
      </c>
      <c r="D600" s="4"/>
      <c r="E600" s="12"/>
      <c r="F600" s="34"/>
      <c r="G600" s="28"/>
      <c r="H600" s="28"/>
      <c r="I600" s="26"/>
      <c r="J600" s="24"/>
      <c r="K600" s="31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93"/>
      <c r="AX600" s="76"/>
      <c r="AY600" s="76" t="s">
        <v>631</v>
      </c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 t="s">
        <v>631</v>
      </c>
      <c r="BS600" s="76"/>
      <c r="BT600" s="76"/>
      <c r="BU600" s="76"/>
      <c r="BV600" s="76"/>
      <c r="BW600" s="76"/>
      <c r="BX600" s="76" t="s">
        <v>631</v>
      </c>
      <c r="BY600" s="76" t="s">
        <v>631</v>
      </c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 t="s">
        <v>631</v>
      </c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9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95"/>
      <c r="DX600" s="90"/>
      <c r="DY600" s="21"/>
      <c r="DZ600" s="21"/>
    </row>
    <row r="601" spans="1:130" hidden="1" outlineLevel="1" x14ac:dyDescent="0.3">
      <c r="A601" s="4"/>
      <c r="B601" s="4"/>
      <c r="C601" s="4" t="s">
        <v>1041</v>
      </c>
      <c r="D601" s="4"/>
      <c r="E601" s="12"/>
      <c r="F601" s="34"/>
      <c r="G601" s="28"/>
      <c r="H601" s="28"/>
      <c r="I601" s="26"/>
      <c r="J601" s="24"/>
      <c r="K601" s="31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93"/>
      <c r="AX601" s="76"/>
      <c r="AY601" s="76" t="s">
        <v>631</v>
      </c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 t="s">
        <v>631</v>
      </c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9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95"/>
      <c r="DX601" s="90"/>
      <c r="DY601" s="21"/>
      <c r="DZ601" s="21"/>
    </row>
    <row r="602" spans="1:130" hidden="1" outlineLevel="1" x14ac:dyDescent="0.3">
      <c r="A602" s="4"/>
      <c r="B602" s="4"/>
      <c r="C602" s="4" t="s">
        <v>1042</v>
      </c>
      <c r="D602" s="4"/>
      <c r="E602" s="12"/>
      <c r="F602" s="34"/>
      <c r="G602" s="28"/>
      <c r="H602" s="28"/>
      <c r="I602" s="26"/>
      <c r="J602" s="24"/>
      <c r="K602" s="31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93"/>
      <c r="AX602" s="76" t="s">
        <v>631</v>
      </c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 t="s">
        <v>631</v>
      </c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9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95"/>
      <c r="DX602" s="90"/>
      <c r="DY602" s="21"/>
      <c r="DZ602" s="21"/>
    </row>
    <row r="603" spans="1:130" collapsed="1" x14ac:dyDescent="0.3">
      <c r="A603" s="4" t="s">
        <v>126</v>
      </c>
      <c r="B603" s="4" t="s">
        <v>357</v>
      </c>
      <c r="C603" s="91" t="s">
        <v>358</v>
      </c>
      <c r="D603" s="4" t="s">
        <v>359</v>
      </c>
      <c r="E603" s="12">
        <v>299.33</v>
      </c>
      <c r="F603" s="34">
        <f t="shared" si="9"/>
        <v>17959.8</v>
      </c>
      <c r="G603" s="28">
        <f t="shared" si="7"/>
        <v>60</v>
      </c>
      <c r="H603" s="28">
        <f t="shared" si="10"/>
        <v>5</v>
      </c>
      <c r="I603" s="26">
        <f t="shared" si="11"/>
        <v>0</v>
      </c>
      <c r="J603" s="24">
        <f t="shared" si="12"/>
        <v>0</v>
      </c>
      <c r="K603" s="31">
        <f t="shared" si="13"/>
        <v>0</v>
      </c>
      <c r="L603" s="9">
        <v>0</v>
      </c>
      <c r="M603" s="9">
        <v>60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E603" s="6">
        <v>0</v>
      </c>
      <c r="AF603" s="6">
        <v>17959.8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93"/>
      <c r="AX603" s="76" t="s">
        <v>631</v>
      </c>
      <c r="AY603" s="76" t="s">
        <v>631</v>
      </c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 t="s">
        <v>631</v>
      </c>
      <c r="BL603" s="76"/>
      <c r="BM603" s="76"/>
      <c r="BN603" s="76"/>
      <c r="BO603" s="76" t="s">
        <v>631</v>
      </c>
      <c r="BP603" s="76" t="s">
        <v>631</v>
      </c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 t="s">
        <v>631</v>
      </c>
      <c r="DH603" s="96" t="s">
        <v>631</v>
      </c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95"/>
      <c r="DX603" s="90">
        <f t="shared" si="8"/>
        <v>7</v>
      </c>
      <c r="DY603" s="21"/>
      <c r="DZ603" s="21"/>
    </row>
    <row r="604" spans="1:130" hidden="1" outlineLevel="1" x14ac:dyDescent="0.3">
      <c r="A604" s="4"/>
      <c r="B604" s="4"/>
      <c r="C604" s="4" t="s">
        <v>1043</v>
      </c>
      <c r="D604" s="4"/>
      <c r="E604" s="12"/>
      <c r="F604" s="34"/>
      <c r="G604" s="28"/>
      <c r="H604" s="28"/>
      <c r="I604" s="26"/>
      <c r="J604" s="24"/>
      <c r="K604" s="31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93"/>
      <c r="AX604" s="76" t="s">
        <v>631</v>
      </c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 t="s">
        <v>631</v>
      </c>
      <c r="BP604" s="76" t="s">
        <v>631</v>
      </c>
      <c r="BQ604" s="76"/>
      <c r="BR604" s="76"/>
      <c r="BS604" s="76"/>
      <c r="BT604" s="76"/>
      <c r="BU604" s="76"/>
      <c r="BV604" s="76"/>
      <c r="BW604" s="76"/>
      <c r="BX604" s="76"/>
      <c r="BY604" s="76"/>
      <c r="BZ604" s="76" t="s">
        <v>631</v>
      </c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9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95"/>
      <c r="DX604" s="90"/>
      <c r="DY604" s="21"/>
      <c r="DZ604" s="21"/>
    </row>
    <row r="605" spans="1:130" hidden="1" outlineLevel="1" x14ac:dyDescent="0.3">
      <c r="A605" s="4"/>
      <c r="B605" s="4"/>
      <c r="C605" s="4" t="s">
        <v>1044</v>
      </c>
      <c r="D605" s="4"/>
      <c r="E605" s="12"/>
      <c r="F605" s="34"/>
      <c r="G605" s="28"/>
      <c r="H605" s="28"/>
      <c r="I605" s="26"/>
      <c r="J605" s="24"/>
      <c r="K605" s="31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93"/>
      <c r="AX605" s="76" t="s">
        <v>631</v>
      </c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 t="s">
        <v>631</v>
      </c>
      <c r="BQ605" s="76"/>
      <c r="BR605" s="76"/>
      <c r="BS605" s="76"/>
      <c r="BT605" s="76"/>
      <c r="BU605" s="76"/>
      <c r="BV605" s="76"/>
      <c r="BW605" s="76"/>
      <c r="BX605" s="76"/>
      <c r="BY605" s="76"/>
      <c r="BZ605" s="76" t="s">
        <v>631</v>
      </c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9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95"/>
      <c r="DX605" s="90"/>
      <c r="DY605" s="21"/>
      <c r="DZ605" s="21"/>
    </row>
    <row r="606" spans="1:130" hidden="1" outlineLevel="1" x14ac:dyDescent="0.3">
      <c r="A606" s="4"/>
      <c r="B606" s="4"/>
      <c r="C606" s="4" t="s">
        <v>883</v>
      </c>
      <c r="D606" s="4"/>
      <c r="E606" s="12"/>
      <c r="F606" s="34"/>
      <c r="G606" s="28"/>
      <c r="H606" s="28"/>
      <c r="I606" s="26"/>
      <c r="J606" s="24"/>
      <c r="K606" s="31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93"/>
      <c r="AX606" s="76" t="s">
        <v>631</v>
      </c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 t="s">
        <v>631</v>
      </c>
      <c r="DE606" s="76"/>
      <c r="DF606" s="76"/>
      <c r="DG606" s="76"/>
      <c r="DH606" s="9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95"/>
      <c r="DX606" s="90"/>
      <c r="DY606" s="21"/>
      <c r="DZ606" s="21"/>
    </row>
    <row r="607" spans="1:130" hidden="1" outlineLevel="1" x14ac:dyDescent="0.3">
      <c r="A607" s="4"/>
      <c r="B607" s="4"/>
      <c r="C607" s="4" t="s">
        <v>1045</v>
      </c>
      <c r="D607" s="4"/>
      <c r="E607" s="12"/>
      <c r="F607" s="34"/>
      <c r="G607" s="28"/>
      <c r="H607" s="28"/>
      <c r="I607" s="26"/>
      <c r="J607" s="24"/>
      <c r="K607" s="31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93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 t="s">
        <v>631</v>
      </c>
      <c r="DE607" s="76"/>
      <c r="DF607" s="76"/>
      <c r="DG607" s="76"/>
      <c r="DH607" s="9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95"/>
      <c r="DX607" s="90"/>
      <c r="DY607" s="21"/>
      <c r="DZ607" s="21"/>
    </row>
    <row r="608" spans="1:130" hidden="1" outlineLevel="1" x14ac:dyDescent="0.3">
      <c r="A608" s="4"/>
      <c r="B608" s="4"/>
      <c r="C608" s="4" t="s">
        <v>1046</v>
      </c>
      <c r="D608" s="4"/>
      <c r="E608" s="12"/>
      <c r="F608" s="34"/>
      <c r="G608" s="28"/>
      <c r="H608" s="28"/>
      <c r="I608" s="26"/>
      <c r="J608" s="24"/>
      <c r="K608" s="31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93"/>
      <c r="AX608" s="76" t="s">
        <v>631</v>
      </c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 t="s">
        <v>631</v>
      </c>
      <c r="BP608" s="76" t="s">
        <v>631</v>
      </c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9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95"/>
      <c r="DX608" s="90"/>
      <c r="DY608" s="21"/>
      <c r="DZ608" s="21"/>
    </row>
    <row r="609" spans="1:130" hidden="1" outlineLevel="1" x14ac:dyDescent="0.3">
      <c r="A609" s="4"/>
      <c r="B609" s="4"/>
      <c r="C609" s="4" t="s">
        <v>1047</v>
      </c>
      <c r="D609" s="4"/>
      <c r="E609" s="12"/>
      <c r="F609" s="34"/>
      <c r="G609" s="28"/>
      <c r="H609" s="28"/>
      <c r="I609" s="26"/>
      <c r="J609" s="24"/>
      <c r="K609" s="31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93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 t="s">
        <v>631</v>
      </c>
      <c r="DE609" s="76"/>
      <c r="DF609" s="76"/>
      <c r="DG609" s="76"/>
      <c r="DH609" s="9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95"/>
      <c r="DX609" s="90"/>
      <c r="DY609" s="21"/>
      <c r="DZ609" s="21"/>
    </row>
    <row r="610" spans="1:130" hidden="1" outlineLevel="1" x14ac:dyDescent="0.3">
      <c r="A610" s="4"/>
      <c r="B610" s="4"/>
      <c r="C610" s="4" t="s">
        <v>1048</v>
      </c>
      <c r="D610" s="4"/>
      <c r="E610" s="12"/>
      <c r="F610" s="34"/>
      <c r="G610" s="28"/>
      <c r="H610" s="28"/>
      <c r="I610" s="26"/>
      <c r="J610" s="24"/>
      <c r="K610" s="31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93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 t="s">
        <v>631</v>
      </c>
      <c r="DE610" s="76"/>
      <c r="DF610" s="76"/>
      <c r="DG610" s="76"/>
      <c r="DH610" s="9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95"/>
      <c r="DX610" s="90"/>
      <c r="DY610" s="21"/>
      <c r="DZ610" s="21"/>
    </row>
    <row r="611" spans="1:130" hidden="1" outlineLevel="1" x14ac:dyDescent="0.3">
      <c r="A611" s="4"/>
      <c r="B611" s="4"/>
      <c r="C611" s="4" t="s">
        <v>1049</v>
      </c>
      <c r="D611" s="4"/>
      <c r="E611" s="12"/>
      <c r="F611" s="34"/>
      <c r="G611" s="28"/>
      <c r="H611" s="28"/>
      <c r="I611" s="26"/>
      <c r="J611" s="24"/>
      <c r="K611" s="31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93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 t="s">
        <v>631</v>
      </c>
      <c r="DE611" s="76"/>
      <c r="DF611" s="76"/>
      <c r="DG611" s="76"/>
      <c r="DH611" s="9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95"/>
      <c r="DX611" s="90"/>
      <c r="DY611" s="21"/>
      <c r="DZ611" s="21"/>
    </row>
    <row r="612" spans="1:130" hidden="1" outlineLevel="1" x14ac:dyDescent="0.3">
      <c r="A612" s="4"/>
      <c r="B612" s="4"/>
      <c r="C612" s="4" t="s">
        <v>1050</v>
      </c>
      <c r="D612" s="4"/>
      <c r="E612" s="12"/>
      <c r="F612" s="34"/>
      <c r="G612" s="28"/>
      <c r="H612" s="28"/>
      <c r="I612" s="26"/>
      <c r="J612" s="24"/>
      <c r="K612" s="31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93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 t="s">
        <v>631</v>
      </c>
      <c r="DE612" s="76"/>
      <c r="DF612" s="76"/>
      <c r="DG612" s="76"/>
      <c r="DH612" s="9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95"/>
      <c r="DX612" s="90"/>
      <c r="DY612" s="21"/>
      <c r="DZ612" s="21"/>
    </row>
    <row r="613" spans="1:130" hidden="1" outlineLevel="1" x14ac:dyDescent="0.3">
      <c r="A613" s="4"/>
      <c r="B613" s="4"/>
      <c r="C613" s="4" t="s">
        <v>886</v>
      </c>
      <c r="D613" s="4"/>
      <c r="E613" s="12"/>
      <c r="F613" s="34"/>
      <c r="G613" s="28"/>
      <c r="H613" s="28"/>
      <c r="I613" s="26"/>
      <c r="J613" s="24"/>
      <c r="K613" s="31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93"/>
      <c r="AX613" s="76"/>
      <c r="AY613" s="76"/>
      <c r="AZ613" s="76"/>
      <c r="BA613" s="76" t="s">
        <v>631</v>
      </c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 t="s">
        <v>631</v>
      </c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9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95"/>
      <c r="DX613" s="90"/>
      <c r="DY613" s="21"/>
      <c r="DZ613" s="21"/>
    </row>
    <row r="614" spans="1:130" hidden="1" outlineLevel="1" x14ac:dyDescent="0.3">
      <c r="A614" s="4"/>
      <c r="B614" s="4"/>
      <c r="C614" s="4" t="s">
        <v>887</v>
      </c>
      <c r="D614" s="4"/>
      <c r="E614" s="12"/>
      <c r="F614" s="34"/>
      <c r="G614" s="28"/>
      <c r="H614" s="28"/>
      <c r="I614" s="26"/>
      <c r="J614" s="24"/>
      <c r="K614" s="31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93"/>
      <c r="AX614" s="76"/>
      <c r="AY614" s="76"/>
      <c r="AZ614" s="76"/>
      <c r="BA614" s="76" t="s">
        <v>631</v>
      </c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 t="s">
        <v>631</v>
      </c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9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95"/>
      <c r="DX614" s="90"/>
      <c r="DY614" s="21"/>
      <c r="DZ614" s="21"/>
    </row>
    <row r="615" spans="1:130" hidden="1" outlineLevel="1" x14ac:dyDescent="0.3">
      <c r="A615" s="4"/>
      <c r="B615" s="4"/>
      <c r="C615" s="4" t="s">
        <v>1033</v>
      </c>
      <c r="D615" s="4"/>
      <c r="E615" s="12"/>
      <c r="F615" s="34"/>
      <c r="G615" s="28"/>
      <c r="H615" s="28"/>
      <c r="I615" s="26"/>
      <c r="J615" s="24"/>
      <c r="K615" s="31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93" t="s">
        <v>631</v>
      </c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 t="s">
        <v>631</v>
      </c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9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95"/>
      <c r="DX615" s="90"/>
      <c r="DY615" s="21"/>
      <c r="DZ615" s="21"/>
    </row>
    <row r="616" spans="1:130" hidden="1" outlineLevel="1" x14ac:dyDescent="0.3">
      <c r="A616" s="4"/>
      <c r="B616" s="4"/>
      <c r="C616" s="4" t="s">
        <v>1035</v>
      </c>
      <c r="D616" s="4"/>
      <c r="E616" s="12"/>
      <c r="F616" s="34"/>
      <c r="G616" s="28"/>
      <c r="H616" s="28"/>
      <c r="I616" s="26"/>
      <c r="J616" s="24"/>
      <c r="K616" s="31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93"/>
      <c r="AX616" s="76" t="s">
        <v>631</v>
      </c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 t="s">
        <v>631</v>
      </c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9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95"/>
      <c r="DX616" s="90"/>
      <c r="DY616" s="21"/>
      <c r="DZ616" s="21"/>
    </row>
    <row r="617" spans="1:130" hidden="1" outlineLevel="1" x14ac:dyDescent="0.3">
      <c r="A617" s="4"/>
      <c r="B617" s="4"/>
      <c r="C617" s="4" t="s">
        <v>1051</v>
      </c>
      <c r="D617" s="4"/>
      <c r="E617" s="12"/>
      <c r="F617" s="34"/>
      <c r="G617" s="28"/>
      <c r="H617" s="28"/>
      <c r="I617" s="26"/>
      <c r="J617" s="24"/>
      <c r="K617" s="31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93"/>
      <c r="AX617" s="76" t="s">
        <v>631</v>
      </c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 t="s">
        <v>631</v>
      </c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9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95"/>
      <c r="DX617" s="90"/>
      <c r="DY617" s="21"/>
      <c r="DZ617" s="21"/>
    </row>
    <row r="618" spans="1:130" hidden="1" outlineLevel="1" x14ac:dyDescent="0.3">
      <c r="A618" s="4"/>
      <c r="B618" s="4"/>
      <c r="C618" s="4" t="s">
        <v>1037</v>
      </c>
      <c r="D618" s="4"/>
      <c r="E618" s="12"/>
      <c r="F618" s="34"/>
      <c r="G618" s="28"/>
      <c r="H618" s="28"/>
      <c r="I618" s="26"/>
      <c r="J618" s="24"/>
      <c r="K618" s="31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93"/>
      <c r="AX618" s="76" t="s">
        <v>631</v>
      </c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 t="s">
        <v>631</v>
      </c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9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95"/>
      <c r="DX618" s="90"/>
      <c r="DY618" s="21"/>
      <c r="DZ618" s="21"/>
    </row>
    <row r="619" spans="1:130" hidden="1" outlineLevel="1" x14ac:dyDescent="0.3">
      <c r="A619" s="4"/>
      <c r="B619" s="4"/>
      <c r="C619" s="4" t="s">
        <v>1052</v>
      </c>
      <c r="D619" s="4"/>
      <c r="E619" s="12"/>
      <c r="F619" s="34"/>
      <c r="G619" s="28"/>
      <c r="H619" s="28"/>
      <c r="I619" s="26"/>
      <c r="J619" s="24"/>
      <c r="K619" s="31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93"/>
      <c r="AX619" s="76"/>
      <c r="AY619" s="76" t="s">
        <v>631</v>
      </c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 t="s">
        <v>631</v>
      </c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9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95"/>
      <c r="DX619" s="90"/>
      <c r="DY619" s="21"/>
      <c r="DZ619" s="21"/>
    </row>
    <row r="620" spans="1:130" hidden="1" outlineLevel="1" x14ac:dyDescent="0.3">
      <c r="A620" s="4"/>
      <c r="B620" s="4"/>
      <c r="C620" s="4" t="s">
        <v>1039</v>
      </c>
      <c r="D620" s="4"/>
      <c r="E620" s="12"/>
      <c r="F620" s="34"/>
      <c r="G620" s="28"/>
      <c r="H620" s="28"/>
      <c r="I620" s="26"/>
      <c r="J620" s="24"/>
      <c r="K620" s="31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93"/>
      <c r="AX620" s="76" t="s">
        <v>631</v>
      </c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 t="s">
        <v>631</v>
      </c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9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95"/>
      <c r="DX620" s="90"/>
      <c r="DY620" s="21"/>
      <c r="DZ620" s="21"/>
    </row>
    <row r="621" spans="1:130" hidden="1" outlineLevel="1" x14ac:dyDescent="0.3">
      <c r="A621" s="4"/>
      <c r="B621" s="4"/>
      <c r="C621" s="4" t="s">
        <v>1053</v>
      </c>
      <c r="D621" s="4"/>
      <c r="E621" s="12"/>
      <c r="F621" s="34"/>
      <c r="G621" s="28"/>
      <c r="H621" s="28"/>
      <c r="I621" s="26"/>
      <c r="J621" s="24"/>
      <c r="K621" s="31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93"/>
      <c r="AX621" s="76"/>
      <c r="AY621" s="76" t="s">
        <v>631</v>
      </c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 t="s">
        <v>631</v>
      </c>
      <c r="BS621" s="76"/>
      <c r="BT621" s="76"/>
      <c r="BU621" s="76"/>
      <c r="BV621" s="76"/>
      <c r="BW621" s="76"/>
      <c r="BX621" s="76" t="s">
        <v>631</v>
      </c>
      <c r="BY621" s="76" t="s">
        <v>631</v>
      </c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 t="s">
        <v>631</v>
      </c>
      <c r="CL621" s="76"/>
      <c r="CM621" s="76"/>
      <c r="CN621" s="76"/>
      <c r="CO621" s="76"/>
      <c r="CP621" s="76"/>
      <c r="CQ621" s="76"/>
      <c r="CR621" s="76"/>
      <c r="CS621" s="76"/>
      <c r="CT621" s="76"/>
      <c r="CU621" s="76" t="s">
        <v>631</v>
      </c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9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95"/>
      <c r="DX621" s="90"/>
      <c r="DY621" s="21"/>
      <c r="DZ621" s="21"/>
    </row>
    <row r="622" spans="1:130" hidden="1" outlineLevel="1" x14ac:dyDescent="0.3">
      <c r="A622" s="4"/>
      <c r="B622" s="4"/>
      <c r="C622" s="4" t="s">
        <v>1041</v>
      </c>
      <c r="D622" s="4"/>
      <c r="E622" s="12"/>
      <c r="F622" s="34"/>
      <c r="G622" s="28"/>
      <c r="H622" s="28"/>
      <c r="I622" s="26"/>
      <c r="J622" s="24"/>
      <c r="K622" s="31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93"/>
      <c r="AX622" s="76"/>
      <c r="AY622" s="76" t="s">
        <v>631</v>
      </c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 t="s">
        <v>631</v>
      </c>
      <c r="BQ622" s="76"/>
      <c r="BR622" s="76"/>
      <c r="BS622" s="76"/>
      <c r="BT622" s="76"/>
      <c r="BU622" s="76"/>
      <c r="BV622" s="76" t="s">
        <v>631</v>
      </c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9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95"/>
      <c r="DX622" s="90"/>
      <c r="DY622" s="21"/>
      <c r="DZ622" s="21"/>
    </row>
    <row r="623" spans="1:130" hidden="1" outlineLevel="1" x14ac:dyDescent="0.3">
      <c r="A623" s="4"/>
      <c r="B623" s="4"/>
      <c r="C623" s="4" t="s">
        <v>1042</v>
      </c>
      <c r="D623" s="4"/>
      <c r="E623" s="12"/>
      <c r="F623" s="34"/>
      <c r="G623" s="28"/>
      <c r="H623" s="28"/>
      <c r="I623" s="26"/>
      <c r="J623" s="24"/>
      <c r="K623" s="31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93"/>
      <c r="AX623" s="76" t="s">
        <v>631</v>
      </c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 t="s">
        <v>631</v>
      </c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9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95"/>
      <c r="DX623" s="90"/>
      <c r="DY623" s="21"/>
      <c r="DZ623" s="21"/>
    </row>
    <row r="624" spans="1:130" collapsed="1" x14ac:dyDescent="0.3">
      <c r="A624" s="4" t="s">
        <v>126</v>
      </c>
      <c r="B624" s="4" t="s">
        <v>357</v>
      </c>
      <c r="C624" s="91" t="s">
        <v>362</v>
      </c>
      <c r="D624" s="4" t="s">
        <v>361</v>
      </c>
      <c r="E624" s="12">
        <v>274.13</v>
      </c>
      <c r="F624" s="34">
        <f t="shared" si="9"/>
        <v>69629.02</v>
      </c>
      <c r="G624" s="28">
        <f t="shared" si="7"/>
        <v>254</v>
      </c>
      <c r="H624" s="28">
        <f t="shared" si="10"/>
        <v>22</v>
      </c>
      <c r="I624" s="26">
        <f t="shared" si="11"/>
        <v>0</v>
      </c>
      <c r="J624" s="24">
        <f t="shared" si="12"/>
        <v>0</v>
      </c>
      <c r="K624" s="31">
        <f t="shared" si="13"/>
        <v>0</v>
      </c>
      <c r="L624" s="9">
        <v>0</v>
      </c>
      <c r="M624" s="9">
        <v>0</v>
      </c>
      <c r="N624" s="9">
        <v>127</v>
      </c>
      <c r="O624" s="9">
        <v>127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E624" s="6">
        <v>0</v>
      </c>
      <c r="AF624" s="6">
        <v>0</v>
      </c>
      <c r="AG624" s="6">
        <v>34814.51</v>
      </c>
      <c r="AH624" s="6">
        <v>34814.51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93" t="s">
        <v>631</v>
      </c>
      <c r="AX624" s="76" t="s">
        <v>631</v>
      </c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 t="s">
        <v>631</v>
      </c>
      <c r="BP624" s="76" t="s">
        <v>631</v>
      </c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 t="s">
        <v>631</v>
      </c>
      <c r="DH624" s="96" t="s">
        <v>631</v>
      </c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95"/>
      <c r="DX624" s="90">
        <f t="shared" si="8"/>
        <v>6</v>
      </c>
      <c r="DY624" s="21"/>
      <c r="DZ624" s="21"/>
    </row>
    <row r="625" spans="1:130" hidden="1" outlineLevel="1" x14ac:dyDescent="0.3">
      <c r="A625" s="4"/>
      <c r="B625" s="4"/>
      <c r="C625" s="4" t="s">
        <v>1054</v>
      </c>
      <c r="D625" s="4"/>
      <c r="E625" s="12"/>
      <c r="F625" s="34"/>
      <c r="G625" s="28"/>
      <c r="H625" s="28"/>
      <c r="I625" s="26"/>
      <c r="J625" s="24"/>
      <c r="K625" s="31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93"/>
      <c r="AX625" s="76" t="s">
        <v>631</v>
      </c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 t="s">
        <v>631</v>
      </c>
      <c r="BP625" s="76" t="s">
        <v>631</v>
      </c>
      <c r="BQ625" s="76"/>
      <c r="BR625" s="76"/>
      <c r="BS625" s="76"/>
      <c r="BT625" s="76"/>
      <c r="BU625" s="76"/>
      <c r="BV625" s="76"/>
      <c r="BW625" s="76"/>
      <c r="BX625" s="76"/>
      <c r="BY625" s="76"/>
      <c r="BZ625" s="76" t="s">
        <v>631</v>
      </c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9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95"/>
      <c r="DX625" s="90"/>
      <c r="DY625" s="21"/>
      <c r="DZ625" s="21"/>
    </row>
    <row r="626" spans="1:130" hidden="1" outlineLevel="1" x14ac:dyDescent="0.3">
      <c r="A626" s="4"/>
      <c r="B626" s="4"/>
      <c r="C626" s="4" t="s">
        <v>883</v>
      </c>
      <c r="D626" s="4"/>
      <c r="E626" s="12"/>
      <c r="F626" s="34"/>
      <c r="G626" s="28"/>
      <c r="H626" s="28"/>
      <c r="I626" s="26"/>
      <c r="J626" s="24"/>
      <c r="K626" s="31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93"/>
      <c r="AX626" s="76" t="s">
        <v>631</v>
      </c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 t="s">
        <v>631</v>
      </c>
      <c r="DE626" s="76"/>
      <c r="DF626" s="76"/>
      <c r="DG626" s="76"/>
      <c r="DH626" s="9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95"/>
      <c r="DX626" s="90"/>
      <c r="DY626" s="21"/>
      <c r="DZ626" s="21"/>
    </row>
    <row r="627" spans="1:130" hidden="1" outlineLevel="1" x14ac:dyDescent="0.3">
      <c r="A627" s="4"/>
      <c r="B627" s="4"/>
      <c r="C627" s="4" t="s">
        <v>1045</v>
      </c>
      <c r="D627" s="4"/>
      <c r="E627" s="12"/>
      <c r="F627" s="34"/>
      <c r="G627" s="28"/>
      <c r="H627" s="28"/>
      <c r="I627" s="26"/>
      <c r="J627" s="24"/>
      <c r="K627" s="31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93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 t="s">
        <v>631</v>
      </c>
      <c r="DE627" s="76"/>
      <c r="DF627" s="76"/>
      <c r="DG627" s="76"/>
      <c r="DH627" s="9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95"/>
      <c r="DX627" s="90"/>
      <c r="DY627" s="21"/>
      <c r="DZ627" s="21"/>
    </row>
    <row r="628" spans="1:130" hidden="1" outlineLevel="1" x14ac:dyDescent="0.3">
      <c r="A628" s="4"/>
      <c r="B628" s="4"/>
      <c r="C628" s="4" t="s">
        <v>1046</v>
      </c>
      <c r="D628" s="4"/>
      <c r="E628" s="12"/>
      <c r="F628" s="34"/>
      <c r="G628" s="28"/>
      <c r="H628" s="28"/>
      <c r="I628" s="26"/>
      <c r="J628" s="24"/>
      <c r="K628" s="31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93"/>
      <c r="AX628" s="76" t="s">
        <v>631</v>
      </c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 t="s">
        <v>631</v>
      </c>
      <c r="BP628" s="76" t="s">
        <v>631</v>
      </c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9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95"/>
      <c r="DX628" s="90"/>
      <c r="DY628" s="21"/>
      <c r="DZ628" s="21"/>
    </row>
    <row r="629" spans="1:130" hidden="1" outlineLevel="1" x14ac:dyDescent="0.3">
      <c r="A629" s="4"/>
      <c r="B629" s="4"/>
      <c r="C629" s="4" t="s">
        <v>1047</v>
      </c>
      <c r="D629" s="4"/>
      <c r="E629" s="12"/>
      <c r="F629" s="34"/>
      <c r="G629" s="28"/>
      <c r="H629" s="28"/>
      <c r="I629" s="26"/>
      <c r="J629" s="24"/>
      <c r="K629" s="31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93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 t="s">
        <v>631</v>
      </c>
      <c r="DE629" s="76"/>
      <c r="DF629" s="76"/>
      <c r="DG629" s="76"/>
      <c r="DH629" s="9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95"/>
      <c r="DX629" s="90"/>
      <c r="DY629" s="21"/>
      <c r="DZ629" s="21"/>
    </row>
    <row r="630" spans="1:130" hidden="1" outlineLevel="1" x14ac:dyDescent="0.3">
      <c r="A630" s="4"/>
      <c r="B630" s="4"/>
      <c r="C630" s="4" t="s">
        <v>1048</v>
      </c>
      <c r="D630" s="4"/>
      <c r="E630" s="12"/>
      <c r="F630" s="34"/>
      <c r="G630" s="28"/>
      <c r="H630" s="28"/>
      <c r="I630" s="26"/>
      <c r="J630" s="24"/>
      <c r="K630" s="31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93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 t="s">
        <v>631</v>
      </c>
      <c r="DE630" s="76"/>
      <c r="DF630" s="76"/>
      <c r="DG630" s="76"/>
      <c r="DH630" s="9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95"/>
      <c r="DX630" s="90"/>
      <c r="DY630" s="21"/>
      <c r="DZ630" s="21"/>
    </row>
    <row r="631" spans="1:130" hidden="1" outlineLevel="1" x14ac:dyDescent="0.3">
      <c r="A631" s="4"/>
      <c r="B631" s="4"/>
      <c r="C631" s="4" t="s">
        <v>1049</v>
      </c>
      <c r="D631" s="4"/>
      <c r="E631" s="12"/>
      <c r="F631" s="34"/>
      <c r="G631" s="28"/>
      <c r="H631" s="28"/>
      <c r="I631" s="26"/>
      <c r="J631" s="24"/>
      <c r="K631" s="31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93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 t="s">
        <v>631</v>
      </c>
      <c r="DE631" s="76"/>
      <c r="DF631" s="76"/>
      <c r="DG631" s="76"/>
      <c r="DH631" s="9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95"/>
      <c r="DX631" s="90"/>
      <c r="DY631" s="21"/>
      <c r="DZ631" s="21"/>
    </row>
    <row r="632" spans="1:130" hidden="1" outlineLevel="1" x14ac:dyDescent="0.3">
      <c r="A632" s="4"/>
      <c r="B632" s="4"/>
      <c r="C632" s="4" t="s">
        <v>1050</v>
      </c>
      <c r="D632" s="4"/>
      <c r="E632" s="12"/>
      <c r="F632" s="34"/>
      <c r="G632" s="28"/>
      <c r="H632" s="28"/>
      <c r="I632" s="26"/>
      <c r="J632" s="24"/>
      <c r="K632" s="31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93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 t="s">
        <v>631</v>
      </c>
      <c r="DE632" s="76"/>
      <c r="DF632" s="76"/>
      <c r="DG632" s="76"/>
      <c r="DH632" s="9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95"/>
      <c r="DX632" s="90"/>
      <c r="DY632" s="21"/>
      <c r="DZ632" s="21"/>
    </row>
    <row r="633" spans="1:130" hidden="1" outlineLevel="1" x14ac:dyDescent="0.3">
      <c r="A633" s="4"/>
      <c r="B633" s="4"/>
      <c r="C633" s="4" t="s">
        <v>886</v>
      </c>
      <c r="D633" s="4"/>
      <c r="E633" s="12"/>
      <c r="F633" s="34"/>
      <c r="G633" s="28"/>
      <c r="H633" s="28"/>
      <c r="I633" s="26"/>
      <c r="J633" s="24"/>
      <c r="K633" s="31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93"/>
      <c r="AX633" s="76"/>
      <c r="AY633" s="76"/>
      <c r="AZ633" s="76"/>
      <c r="BA633" s="76" t="s">
        <v>631</v>
      </c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 t="s">
        <v>631</v>
      </c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9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95"/>
      <c r="DX633" s="90"/>
      <c r="DY633" s="21"/>
      <c r="DZ633" s="21"/>
    </row>
    <row r="634" spans="1:130" hidden="1" outlineLevel="1" x14ac:dyDescent="0.3">
      <c r="A634" s="4"/>
      <c r="B634" s="4"/>
      <c r="C634" s="4" t="s">
        <v>887</v>
      </c>
      <c r="D634" s="4"/>
      <c r="E634" s="12"/>
      <c r="F634" s="34"/>
      <c r="G634" s="28"/>
      <c r="H634" s="28"/>
      <c r="I634" s="26"/>
      <c r="J634" s="24"/>
      <c r="K634" s="31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93"/>
      <c r="AX634" s="76"/>
      <c r="AY634" s="76"/>
      <c r="AZ634" s="76"/>
      <c r="BA634" s="76" t="s">
        <v>631</v>
      </c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 t="s">
        <v>631</v>
      </c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9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95"/>
      <c r="DX634" s="90"/>
      <c r="DY634" s="21"/>
      <c r="DZ634" s="21"/>
    </row>
    <row r="635" spans="1:130" hidden="1" outlineLevel="1" x14ac:dyDescent="0.3">
      <c r="A635" s="4"/>
      <c r="B635" s="4"/>
      <c r="C635" s="4" t="s">
        <v>1033</v>
      </c>
      <c r="D635" s="4"/>
      <c r="E635" s="12"/>
      <c r="F635" s="34"/>
      <c r="G635" s="28"/>
      <c r="H635" s="28"/>
      <c r="I635" s="26"/>
      <c r="J635" s="24"/>
      <c r="K635" s="31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93" t="s">
        <v>631</v>
      </c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 t="s">
        <v>631</v>
      </c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9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95"/>
      <c r="DX635" s="90"/>
      <c r="DY635" s="21"/>
      <c r="DZ635" s="21"/>
    </row>
    <row r="636" spans="1:130" hidden="1" outlineLevel="1" x14ac:dyDescent="0.3">
      <c r="A636" s="4"/>
      <c r="B636" s="4"/>
      <c r="C636" s="4" t="s">
        <v>1055</v>
      </c>
      <c r="D636" s="4"/>
      <c r="E636" s="12"/>
      <c r="F636" s="34"/>
      <c r="G636" s="28"/>
      <c r="H636" s="28"/>
      <c r="I636" s="26"/>
      <c r="J636" s="24"/>
      <c r="K636" s="31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93" t="s">
        <v>631</v>
      </c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 t="s">
        <v>631</v>
      </c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9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95"/>
      <c r="DX636" s="90"/>
      <c r="DY636" s="21"/>
      <c r="DZ636" s="21"/>
    </row>
    <row r="637" spans="1:130" hidden="1" outlineLevel="1" x14ac:dyDescent="0.3">
      <c r="A637" s="4"/>
      <c r="B637" s="4"/>
      <c r="C637" s="4" t="s">
        <v>1035</v>
      </c>
      <c r="D637" s="4"/>
      <c r="E637" s="12"/>
      <c r="F637" s="34"/>
      <c r="G637" s="28"/>
      <c r="H637" s="28"/>
      <c r="I637" s="26"/>
      <c r="J637" s="24"/>
      <c r="K637" s="31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93"/>
      <c r="AX637" s="76" t="s">
        <v>631</v>
      </c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 t="s">
        <v>631</v>
      </c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9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95"/>
      <c r="DX637" s="90"/>
      <c r="DY637" s="21"/>
      <c r="DZ637" s="21"/>
    </row>
    <row r="638" spans="1:130" hidden="1" outlineLevel="1" x14ac:dyDescent="0.3">
      <c r="A638" s="4"/>
      <c r="B638" s="4"/>
      <c r="C638" s="4" t="s">
        <v>1051</v>
      </c>
      <c r="D638" s="4"/>
      <c r="E638" s="12"/>
      <c r="F638" s="34"/>
      <c r="G638" s="28"/>
      <c r="H638" s="28"/>
      <c r="I638" s="26"/>
      <c r="J638" s="24"/>
      <c r="K638" s="31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93"/>
      <c r="AX638" s="76" t="s">
        <v>631</v>
      </c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 t="s">
        <v>631</v>
      </c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9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95"/>
      <c r="DX638" s="90"/>
      <c r="DY638" s="21"/>
      <c r="DZ638" s="21"/>
    </row>
    <row r="639" spans="1:130" hidden="1" outlineLevel="1" x14ac:dyDescent="0.3">
      <c r="A639" s="4"/>
      <c r="B639" s="4"/>
      <c r="C639" s="4" t="s">
        <v>1037</v>
      </c>
      <c r="D639" s="4"/>
      <c r="E639" s="12"/>
      <c r="F639" s="34"/>
      <c r="G639" s="28"/>
      <c r="H639" s="28"/>
      <c r="I639" s="26"/>
      <c r="J639" s="24"/>
      <c r="K639" s="31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93"/>
      <c r="AX639" s="76" t="s">
        <v>631</v>
      </c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 t="s">
        <v>631</v>
      </c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9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95"/>
      <c r="DX639" s="90"/>
      <c r="DY639" s="21"/>
      <c r="DZ639" s="21"/>
    </row>
    <row r="640" spans="1:130" hidden="1" outlineLevel="1" x14ac:dyDescent="0.3">
      <c r="A640" s="4"/>
      <c r="B640" s="4"/>
      <c r="C640" s="4" t="s">
        <v>1052</v>
      </c>
      <c r="D640" s="4"/>
      <c r="E640" s="12"/>
      <c r="F640" s="34"/>
      <c r="G640" s="28"/>
      <c r="H640" s="28"/>
      <c r="I640" s="26"/>
      <c r="J640" s="24"/>
      <c r="K640" s="31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93"/>
      <c r="AX640" s="76"/>
      <c r="AY640" s="76" t="s">
        <v>631</v>
      </c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 t="s">
        <v>631</v>
      </c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9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95"/>
      <c r="DX640" s="90"/>
      <c r="DY640" s="21"/>
      <c r="DZ640" s="21"/>
    </row>
    <row r="641" spans="1:130" hidden="1" outlineLevel="1" x14ac:dyDescent="0.3">
      <c r="A641" s="4"/>
      <c r="B641" s="4"/>
      <c r="C641" s="4" t="s">
        <v>1039</v>
      </c>
      <c r="D641" s="4"/>
      <c r="E641" s="12"/>
      <c r="F641" s="34"/>
      <c r="G641" s="28"/>
      <c r="H641" s="28"/>
      <c r="I641" s="26"/>
      <c r="J641" s="24"/>
      <c r="K641" s="31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93"/>
      <c r="AX641" s="76" t="s">
        <v>631</v>
      </c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 t="s">
        <v>631</v>
      </c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9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95"/>
      <c r="DX641" s="90"/>
      <c r="DY641" s="21"/>
      <c r="DZ641" s="21"/>
    </row>
    <row r="642" spans="1:130" hidden="1" outlineLevel="1" x14ac:dyDescent="0.3">
      <c r="A642" s="4"/>
      <c r="B642" s="4"/>
      <c r="C642" s="4" t="s">
        <v>1053</v>
      </c>
      <c r="D642" s="4"/>
      <c r="E642" s="12"/>
      <c r="F642" s="34"/>
      <c r="G642" s="28"/>
      <c r="H642" s="28"/>
      <c r="I642" s="26"/>
      <c r="J642" s="24"/>
      <c r="K642" s="31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93"/>
      <c r="AX642" s="76"/>
      <c r="AY642" s="76" t="s">
        <v>631</v>
      </c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 t="s">
        <v>631</v>
      </c>
      <c r="BS642" s="76"/>
      <c r="BT642" s="76"/>
      <c r="BU642" s="76" t="s">
        <v>631</v>
      </c>
      <c r="BV642" s="76"/>
      <c r="BW642" s="76"/>
      <c r="BX642" s="76"/>
      <c r="BY642" s="76" t="s">
        <v>631</v>
      </c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 t="s">
        <v>631</v>
      </c>
      <c r="CL642" s="76"/>
      <c r="CM642" s="76"/>
      <c r="CN642" s="76"/>
      <c r="CO642" s="76"/>
      <c r="CP642" s="76"/>
      <c r="CQ642" s="76"/>
      <c r="CR642" s="76"/>
      <c r="CS642" s="76"/>
      <c r="CT642" s="76"/>
      <c r="CU642" s="76" t="s">
        <v>631</v>
      </c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9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95"/>
      <c r="DX642" s="90"/>
      <c r="DY642" s="21"/>
      <c r="DZ642" s="21"/>
    </row>
    <row r="643" spans="1:130" hidden="1" outlineLevel="1" x14ac:dyDescent="0.3">
      <c r="A643" s="4"/>
      <c r="B643" s="4"/>
      <c r="C643" s="4" t="s">
        <v>1041</v>
      </c>
      <c r="D643" s="4"/>
      <c r="E643" s="12"/>
      <c r="F643" s="34"/>
      <c r="G643" s="28"/>
      <c r="H643" s="28"/>
      <c r="I643" s="26"/>
      <c r="J643" s="24"/>
      <c r="K643" s="31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93"/>
      <c r="AX643" s="76"/>
      <c r="AY643" s="76" t="s">
        <v>631</v>
      </c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 t="s">
        <v>631</v>
      </c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9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95"/>
      <c r="DX643" s="90"/>
      <c r="DY643" s="21"/>
      <c r="DZ643" s="21"/>
    </row>
    <row r="644" spans="1:130" hidden="1" outlineLevel="1" x14ac:dyDescent="0.3">
      <c r="A644" s="4"/>
      <c r="B644" s="4"/>
      <c r="C644" s="4" t="s">
        <v>1042</v>
      </c>
      <c r="D644" s="4"/>
      <c r="E644" s="12"/>
      <c r="F644" s="34"/>
      <c r="G644" s="28"/>
      <c r="H644" s="28"/>
      <c r="I644" s="26"/>
      <c r="J644" s="24"/>
      <c r="K644" s="31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93"/>
      <c r="AX644" s="76" t="s">
        <v>631</v>
      </c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 t="s">
        <v>631</v>
      </c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9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95"/>
      <c r="DX644" s="90"/>
      <c r="DY644" s="21"/>
      <c r="DZ644" s="21"/>
    </row>
    <row r="645" spans="1:130" hidden="1" outlineLevel="1" x14ac:dyDescent="0.3">
      <c r="A645" s="4"/>
      <c r="B645" s="4"/>
      <c r="C645" s="4" t="s">
        <v>1056</v>
      </c>
      <c r="D645" s="4"/>
      <c r="E645" s="12"/>
      <c r="F645" s="34"/>
      <c r="G645" s="28"/>
      <c r="H645" s="28"/>
      <c r="I645" s="26"/>
      <c r="J645" s="24"/>
      <c r="K645" s="31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93"/>
      <c r="AX645" s="76" t="s">
        <v>631</v>
      </c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 t="s">
        <v>631</v>
      </c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9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95"/>
      <c r="DX645" s="90"/>
      <c r="DY645" s="21"/>
      <c r="DZ645" s="21"/>
    </row>
    <row r="646" spans="1:130" collapsed="1" x14ac:dyDescent="0.3">
      <c r="A646" s="4" t="s">
        <v>126</v>
      </c>
      <c r="B646" s="4" t="s">
        <v>357</v>
      </c>
      <c r="C646" s="91" t="s">
        <v>365</v>
      </c>
      <c r="D646" s="4" t="s">
        <v>366</v>
      </c>
      <c r="E646" s="12">
        <v>18.98</v>
      </c>
      <c r="F646" s="34">
        <f t="shared" si="9"/>
        <v>1898</v>
      </c>
      <c r="G646" s="28">
        <f t="shared" si="7"/>
        <v>100</v>
      </c>
      <c r="H646" s="28">
        <f t="shared" si="10"/>
        <v>9</v>
      </c>
      <c r="I646" s="26">
        <f t="shared" si="11"/>
        <v>0</v>
      </c>
      <c r="J646" s="24">
        <f t="shared" si="12"/>
        <v>0</v>
      </c>
      <c r="K646" s="31">
        <f t="shared" si="13"/>
        <v>0</v>
      </c>
      <c r="L646" s="9">
        <v>0</v>
      </c>
      <c r="M646" s="9">
        <v>0</v>
      </c>
      <c r="N646" s="9">
        <v>50</v>
      </c>
      <c r="O646" s="9">
        <v>50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E646" s="6">
        <v>0</v>
      </c>
      <c r="AF646" s="6">
        <v>0</v>
      </c>
      <c r="AG646" s="6">
        <v>949</v>
      </c>
      <c r="AH646" s="6">
        <v>949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93" t="s">
        <v>631</v>
      </c>
      <c r="AX646" s="76" t="s">
        <v>631</v>
      </c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 t="s">
        <v>631</v>
      </c>
      <c r="BP646" s="76" t="s">
        <v>631</v>
      </c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 t="s">
        <v>631</v>
      </c>
      <c r="DH646" s="96" t="s">
        <v>631</v>
      </c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95"/>
      <c r="DX646" s="90">
        <f t="shared" si="8"/>
        <v>6</v>
      </c>
      <c r="DY646" s="21"/>
      <c r="DZ646" s="21"/>
    </row>
    <row r="647" spans="1:130" hidden="1" outlineLevel="1" x14ac:dyDescent="0.3">
      <c r="A647" s="4"/>
      <c r="B647" s="4"/>
      <c r="C647" s="4" t="s">
        <v>1057</v>
      </c>
      <c r="D647" s="4"/>
      <c r="E647" s="12"/>
      <c r="F647" s="34"/>
      <c r="G647" s="28"/>
      <c r="H647" s="28"/>
      <c r="I647" s="26"/>
      <c r="J647" s="24"/>
      <c r="K647" s="31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93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 t="s">
        <v>631</v>
      </c>
      <c r="BP647" s="76" t="s">
        <v>631</v>
      </c>
      <c r="BQ647" s="76"/>
      <c r="BR647" s="76"/>
      <c r="BS647" s="76"/>
      <c r="BT647" s="76"/>
      <c r="BU647" s="76"/>
      <c r="BV647" s="76"/>
      <c r="BW647" s="76"/>
      <c r="BX647" s="76"/>
      <c r="BY647" s="76"/>
      <c r="BZ647" s="76" t="s">
        <v>631</v>
      </c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9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95"/>
      <c r="DX647" s="90"/>
      <c r="DY647" s="21"/>
      <c r="DZ647" s="21"/>
    </row>
    <row r="648" spans="1:130" hidden="1" outlineLevel="1" x14ac:dyDescent="0.3">
      <c r="A648" s="4"/>
      <c r="B648" s="4"/>
      <c r="C648" s="4" t="s">
        <v>1058</v>
      </c>
      <c r="D648" s="4"/>
      <c r="E648" s="12"/>
      <c r="F648" s="34"/>
      <c r="G648" s="28"/>
      <c r="H648" s="28"/>
      <c r="I648" s="26"/>
      <c r="J648" s="24"/>
      <c r="K648" s="31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93"/>
      <c r="AX648" s="76" t="s">
        <v>631</v>
      </c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 t="s">
        <v>631</v>
      </c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9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95"/>
      <c r="DX648" s="90"/>
      <c r="DY648" s="21"/>
      <c r="DZ648" s="21"/>
    </row>
    <row r="649" spans="1:130" hidden="1" outlineLevel="1" x14ac:dyDescent="0.3">
      <c r="A649" s="4"/>
      <c r="B649" s="4"/>
      <c r="C649" s="4" t="s">
        <v>1059</v>
      </c>
      <c r="D649" s="4"/>
      <c r="E649" s="12"/>
      <c r="F649" s="34"/>
      <c r="G649" s="28"/>
      <c r="H649" s="28"/>
      <c r="I649" s="26"/>
      <c r="J649" s="24"/>
      <c r="K649" s="31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93" t="s">
        <v>631</v>
      </c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 t="s">
        <v>631</v>
      </c>
      <c r="BP649" s="76"/>
      <c r="BQ649" s="76"/>
      <c r="BR649" s="76"/>
      <c r="BS649" s="76"/>
      <c r="BT649" s="76" t="s">
        <v>631</v>
      </c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9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95"/>
      <c r="DX649" s="90"/>
      <c r="DY649" s="21"/>
      <c r="DZ649" s="21"/>
    </row>
    <row r="650" spans="1:130" hidden="1" outlineLevel="1" x14ac:dyDescent="0.3">
      <c r="A650" s="4"/>
      <c r="B650" s="4"/>
      <c r="C650" s="4" t="s">
        <v>894</v>
      </c>
      <c r="D650" s="4"/>
      <c r="E650" s="12"/>
      <c r="F650" s="34"/>
      <c r="G650" s="28"/>
      <c r="H650" s="28"/>
      <c r="I650" s="26"/>
      <c r="J650" s="24"/>
      <c r="K650" s="31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93" t="s">
        <v>631</v>
      </c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 t="s">
        <v>631</v>
      </c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9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95"/>
      <c r="DX650" s="90"/>
      <c r="DY650" s="21"/>
      <c r="DZ650" s="21"/>
    </row>
    <row r="651" spans="1:130" x14ac:dyDescent="0.3">
      <c r="A651" s="4" t="s">
        <v>126</v>
      </c>
      <c r="B651" s="4" t="s">
        <v>357</v>
      </c>
      <c r="C651" s="91" t="s">
        <v>367</v>
      </c>
      <c r="D651" s="4" t="s">
        <v>366</v>
      </c>
      <c r="E651" s="12">
        <v>6.03</v>
      </c>
      <c r="F651" s="34">
        <f t="shared" si="9"/>
        <v>940.68000000000006</v>
      </c>
      <c r="G651" s="28">
        <f t="shared" si="7"/>
        <v>156</v>
      </c>
      <c r="H651" s="28">
        <f t="shared" si="10"/>
        <v>13</v>
      </c>
      <c r="I651" s="26">
        <f t="shared" si="11"/>
        <v>0</v>
      </c>
      <c r="J651" s="24">
        <f t="shared" si="12"/>
        <v>0</v>
      </c>
      <c r="K651" s="31">
        <f t="shared" si="13"/>
        <v>0</v>
      </c>
      <c r="L651" s="9">
        <v>0</v>
      </c>
      <c r="M651" s="9">
        <v>156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E651" s="6">
        <v>0</v>
      </c>
      <c r="AF651" s="6">
        <v>940.68000000000006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93"/>
      <c r="AX651" s="76" t="s">
        <v>631</v>
      </c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 t="s">
        <v>631</v>
      </c>
      <c r="BP651" s="76" t="s">
        <v>631</v>
      </c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 t="s">
        <v>631</v>
      </c>
      <c r="DH651" s="96" t="s">
        <v>631</v>
      </c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95"/>
      <c r="DX651" s="90">
        <f t="shared" si="8"/>
        <v>5</v>
      </c>
      <c r="DY651" s="21"/>
      <c r="DZ651" s="21"/>
    </row>
    <row r="652" spans="1:130" x14ac:dyDescent="0.3">
      <c r="A652" s="4" t="s">
        <v>126</v>
      </c>
      <c r="B652" s="4" t="s">
        <v>357</v>
      </c>
      <c r="C652" s="91" t="s">
        <v>368</v>
      </c>
      <c r="D652" s="4" t="s">
        <v>369</v>
      </c>
      <c r="E652" s="12">
        <v>6.06</v>
      </c>
      <c r="F652" s="34">
        <f t="shared" si="9"/>
        <v>1999.8</v>
      </c>
      <c r="G652" s="28">
        <f t="shared" si="7"/>
        <v>330</v>
      </c>
      <c r="H652" s="28">
        <f t="shared" si="10"/>
        <v>28</v>
      </c>
      <c r="I652" s="26">
        <f t="shared" si="11"/>
        <v>0</v>
      </c>
      <c r="J652" s="24">
        <f t="shared" si="12"/>
        <v>0</v>
      </c>
      <c r="K652" s="31">
        <f t="shared" si="13"/>
        <v>0</v>
      </c>
      <c r="L652" s="9">
        <v>25</v>
      </c>
      <c r="M652" s="9">
        <v>330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E652" s="6">
        <v>151.5</v>
      </c>
      <c r="AF652" s="6">
        <v>1999.8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93"/>
      <c r="AX652" s="76" t="s">
        <v>631</v>
      </c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 t="s">
        <v>631</v>
      </c>
      <c r="BP652" s="76" t="s">
        <v>631</v>
      </c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 t="s">
        <v>631</v>
      </c>
      <c r="DH652" s="96" t="s">
        <v>631</v>
      </c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95"/>
      <c r="DX652" s="90">
        <f t="shared" si="8"/>
        <v>5</v>
      </c>
      <c r="DY652" s="21"/>
      <c r="DZ652" s="21"/>
    </row>
    <row r="653" spans="1:130" collapsed="1" x14ac:dyDescent="0.3">
      <c r="A653" s="4" t="s">
        <v>126</v>
      </c>
      <c r="B653" s="4" t="s">
        <v>370</v>
      </c>
      <c r="C653" s="91" t="s">
        <v>386</v>
      </c>
      <c r="D653" s="4" t="s">
        <v>387</v>
      </c>
      <c r="E653" s="12">
        <v>11805.59</v>
      </c>
      <c r="F653" s="34">
        <f t="shared" si="9"/>
        <v>6327796.2400000002</v>
      </c>
      <c r="G653" s="28">
        <f t="shared" si="7"/>
        <v>536</v>
      </c>
      <c r="H653" s="28">
        <f t="shared" si="10"/>
        <v>45</v>
      </c>
      <c r="I653" s="26">
        <f t="shared" si="11"/>
        <v>2750702.47</v>
      </c>
      <c r="J653" s="24">
        <f t="shared" si="12"/>
        <v>233</v>
      </c>
      <c r="K653" s="31">
        <f t="shared" si="13"/>
        <v>47</v>
      </c>
      <c r="L653" s="9">
        <v>40</v>
      </c>
      <c r="M653" s="9">
        <v>0</v>
      </c>
      <c r="N653" s="9">
        <v>30</v>
      </c>
      <c r="O653" s="9">
        <v>40</v>
      </c>
      <c r="P653" s="9">
        <v>50</v>
      </c>
      <c r="Q653" s="9">
        <v>50</v>
      </c>
      <c r="R653" s="9">
        <v>50</v>
      </c>
      <c r="S653" s="9">
        <v>50</v>
      </c>
      <c r="T653" s="9">
        <v>50</v>
      </c>
      <c r="U653" s="9">
        <v>58</v>
      </c>
      <c r="V653" s="9">
        <v>50</v>
      </c>
      <c r="W653" s="9">
        <v>50</v>
      </c>
      <c r="X653" s="9">
        <v>58</v>
      </c>
      <c r="Y653" s="9">
        <v>50</v>
      </c>
      <c r="Z653" s="9">
        <v>40</v>
      </c>
      <c r="AA653" s="9">
        <v>58</v>
      </c>
      <c r="AB653" s="9">
        <v>45</v>
      </c>
      <c r="AC653" s="9">
        <v>40</v>
      </c>
      <c r="AE653" s="6">
        <v>472223.60000000003</v>
      </c>
      <c r="AF653" s="6">
        <v>0</v>
      </c>
      <c r="AG653" s="6">
        <v>354167.69999999995</v>
      </c>
      <c r="AH653" s="6">
        <v>472223.6</v>
      </c>
      <c r="AI653" s="6">
        <v>590279.5</v>
      </c>
      <c r="AJ653" s="6">
        <v>590279.5</v>
      </c>
      <c r="AK653" s="6">
        <v>590279.5</v>
      </c>
      <c r="AL653" s="6">
        <v>590279.5</v>
      </c>
      <c r="AM653" s="6">
        <v>590279.5</v>
      </c>
      <c r="AN653" s="6">
        <v>684724.22</v>
      </c>
      <c r="AO653" s="6">
        <v>590279.5</v>
      </c>
      <c r="AP653" s="6">
        <v>590279.5</v>
      </c>
      <c r="AQ653" s="6">
        <v>684724.22</v>
      </c>
      <c r="AR653" s="6">
        <v>590279.5</v>
      </c>
      <c r="AS653" s="6">
        <v>472223.6</v>
      </c>
      <c r="AT653" s="6">
        <v>684724.22</v>
      </c>
      <c r="AU653" s="6">
        <v>531251.55000000005</v>
      </c>
      <c r="AV653" s="6">
        <v>472223.6</v>
      </c>
      <c r="AW653" s="93" t="s">
        <v>631</v>
      </c>
      <c r="AX653" s="76" t="s">
        <v>631</v>
      </c>
      <c r="AY653" s="76" t="s">
        <v>631</v>
      </c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 t="s">
        <v>631</v>
      </c>
      <c r="BK653" s="76"/>
      <c r="BL653" s="76"/>
      <c r="BM653" s="76"/>
      <c r="BN653" s="76"/>
      <c r="BO653" s="76" t="s">
        <v>631</v>
      </c>
      <c r="BP653" s="76" t="s">
        <v>631</v>
      </c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 t="s">
        <v>631</v>
      </c>
      <c r="CX653" s="76"/>
      <c r="CY653" s="76"/>
      <c r="CZ653" s="76"/>
      <c r="DA653" s="76"/>
      <c r="DB653" s="76"/>
      <c r="DC653" s="76"/>
      <c r="DD653" s="76"/>
      <c r="DE653" s="76"/>
      <c r="DF653" s="76"/>
      <c r="DG653" s="76" t="s">
        <v>631</v>
      </c>
      <c r="DH653" s="76" t="s">
        <v>631</v>
      </c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95"/>
      <c r="DX653" s="90">
        <f t="shared" si="8"/>
        <v>9</v>
      </c>
      <c r="DY653" s="21"/>
      <c r="DZ653" s="21"/>
    </row>
    <row r="654" spans="1:130" hidden="1" outlineLevel="1" x14ac:dyDescent="0.3">
      <c r="A654" s="4"/>
      <c r="B654" s="4"/>
      <c r="C654" s="4" t="s">
        <v>910</v>
      </c>
      <c r="D654" s="4"/>
      <c r="E654" s="12"/>
      <c r="F654" s="34"/>
      <c r="G654" s="28"/>
      <c r="H654" s="28"/>
      <c r="I654" s="26"/>
      <c r="J654" s="24"/>
      <c r="K654" s="31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93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 t="s">
        <v>631</v>
      </c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95"/>
      <c r="DX654" s="90"/>
      <c r="DY654" s="21"/>
      <c r="DZ654" s="21"/>
    </row>
    <row r="655" spans="1:130" hidden="1" outlineLevel="1" x14ac:dyDescent="0.3">
      <c r="A655" s="4"/>
      <c r="B655" s="4"/>
      <c r="C655" s="4" t="s">
        <v>911</v>
      </c>
      <c r="D655" s="4"/>
      <c r="E655" s="12"/>
      <c r="F655" s="34"/>
      <c r="G655" s="28"/>
      <c r="H655" s="28"/>
      <c r="I655" s="26"/>
      <c r="J655" s="24"/>
      <c r="K655" s="31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93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 t="s">
        <v>631</v>
      </c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95"/>
      <c r="DX655" s="90"/>
      <c r="DY655" s="21"/>
      <c r="DZ655" s="21"/>
    </row>
    <row r="656" spans="1:130" hidden="1" outlineLevel="1" x14ac:dyDescent="0.3">
      <c r="A656" s="4"/>
      <c r="B656" s="4"/>
      <c r="C656" s="4" t="s">
        <v>1123</v>
      </c>
      <c r="D656" s="4"/>
      <c r="E656" s="12"/>
      <c r="F656" s="34"/>
      <c r="G656" s="28"/>
      <c r="H656" s="28"/>
      <c r="I656" s="26"/>
      <c r="J656" s="24"/>
      <c r="K656" s="31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93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 t="s">
        <v>631</v>
      </c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95"/>
      <c r="DX656" s="90"/>
      <c r="DY656" s="21"/>
      <c r="DZ656" s="21"/>
    </row>
    <row r="657" spans="1:130" hidden="1" outlineLevel="1" x14ac:dyDescent="0.3">
      <c r="A657" s="4"/>
      <c r="B657" s="4"/>
      <c r="C657" s="4" t="s">
        <v>1124</v>
      </c>
      <c r="D657" s="4"/>
      <c r="E657" s="12"/>
      <c r="F657" s="34"/>
      <c r="G657" s="28"/>
      <c r="H657" s="28"/>
      <c r="I657" s="26"/>
      <c r="J657" s="24"/>
      <c r="K657" s="31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93" t="s">
        <v>631</v>
      </c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 t="s">
        <v>631</v>
      </c>
      <c r="BP657" s="76" t="s">
        <v>631</v>
      </c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95"/>
      <c r="DX657" s="90"/>
      <c r="DY657" s="21"/>
      <c r="DZ657" s="21"/>
    </row>
    <row r="658" spans="1:130" hidden="1" outlineLevel="1" x14ac:dyDescent="0.3">
      <c r="A658" s="4"/>
      <c r="B658" s="4"/>
      <c r="C658" s="4" t="s">
        <v>1125</v>
      </c>
      <c r="D658" s="4"/>
      <c r="E658" s="12"/>
      <c r="F658" s="34"/>
      <c r="G658" s="28"/>
      <c r="H658" s="28"/>
      <c r="I658" s="26"/>
      <c r="J658" s="24"/>
      <c r="K658" s="31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93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 t="s">
        <v>631</v>
      </c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95"/>
      <c r="DX658" s="90"/>
      <c r="DY658" s="21"/>
      <c r="DZ658" s="21"/>
    </row>
    <row r="659" spans="1:130" hidden="1" outlineLevel="1" x14ac:dyDescent="0.3">
      <c r="A659" s="4"/>
      <c r="B659" s="4"/>
      <c r="C659" s="4" t="s">
        <v>1126</v>
      </c>
      <c r="D659" s="4"/>
      <c r="E659" s="12"/>
      <c r="F659" s="34"/>
      <c r="G659" s="28"/>
      <c r="H659" s="28"/>
      <c r="I659" s="26"/>
      <c r="J659" s="24"/>
      <c r="K659" s="31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93" t="s">
        <v>631</v>
      </c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 t="s">
        <v>631</v>
      </c>
      <c r="BQ659" s="76"/>
      <c r="BR659" s="76"/>
      <c r="BS659" s="76"/>
      <c r="BT659" s="76"/>
      <c r="BU659" s="76"/>
      <c r="BV659" s="76"/>
      <c r="BW659" s="76"/>
      <c r="BX659" s="76"/>
      <c r="BY659" s="76"/>
      <c r="BZ659" s="76" t="s">
        <v>631</v>
      </c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95"/>
      <c r="DX659" s="90"/>
      <c r="DY659" s="21"/>
      <c r="DZ659" s="21"/>
    </row>
    <row r="660" spans="1:130" hidden="1" outlineLevel="1" x14ac:dyDescent="0.3">
      <c r="A660" s="4"/>
      <c r="B660" s="4"/>
      <c r="C660" s="4" t="s">
        <v>1127</v>
      </c>
      <c r="D660" s="4"/>
      <c r="E660" s="12"/>
      <c r="F660" s="34"/>
      <c r="G660" s="28"/>
      <c r="H660" s="28"/>
      <c r="I660" s="26"/>
      <c r="J660" s="24"/>
      <c r="K660" s="31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93" t="s">
        <v>631</v>
      </c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 t="s">
        <v>631</v>
      </c>
      <c r="BQ660" s="76"/>
      <c r="BR660" s="76"/>
      <c r="BS660" s="76"/>
      <c r="BT660" s="76"/>
      <c r="BU660" s="76"/>
      <c r="BV660" s="76"/>
      <c r="BW660" s="76"/>
      <c r="BX660" s="76"/>
      <c r="BY660" s="76"/>
      <c r="BZ660" s="76" t="s">
        <v>631</v>
      </c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95"/>
      <c r="DX660" s="90"/>
      <c r="DY660" s="21"/>
      <c r="DZ660" s="21"/>
    </row>
    <row r="661" spans="1:130" hidden="1" outlineLevel="1" x14ac:dyDescent="0.3">
      <c r="A661" s="4"/>
      <c r="B661" s="4"/>
      <c r="C661" s="4" t="s">
        <v>1128</v>
      </c>
      <c r="D661" s="4"/>
      <c r="E661" s="12"/>
      <c r="F661" s="34"/>
      <c r="G661" s="28"/>
      <c r="H661" s="28"/>
      <c r="I661" s="26"/>
      <c r="J661" s="24"/>
      <c r="K661" s="31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93" t="s">
        <v>631</v>
      </c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 t="s">
        <v>631</v>
      </c>
      <c r="BQ661" s="76"/>
      <c r="BR661" s="76"/>
      <c r="BS661" s="76"/>
      <c r="BT661" s="76"/>
      <c r="BU661" s="76"/>
      <c r="BV661" s="76"/>
      <c r="BW661" s="76"/>
      <c r="BX661" s="76"/>
      <c r="BY661" s="76"/>
      <c r="BZ661" s="76" t="s">
        <v>631</v>
      </c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95"/>
      <c r="DX661" s="90"/>
      <c r="DY661" s="21"/>
      <c r="DZ661" s="21"/>
    </row>
    <row r="662" spans="1:130" hidden="1" outlineLevel="1" x14ac:dyDescent="0.3">
      <c r="A662" s="4"/>
      <c r="B662" s="4"/>
      <c r="C662" s="4" t="s">
        <v>1129</v>
      </c>
      <c r="D662" s="4"/>
      <c r="E662" s="12"/>
      <c r="F662" s="34"/>
      <c r="G662" s="28"/>
      <c r="H662" s="28"/>
      <c r="I662" s="26"/>
      <c r="J662" s="24"/>
      <c r="K662" s="31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93" t="s">
        <v>631</v>
      </c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 t="s">
        <v>631</v>
      </c>
      <c r="BQ662" s="76"/>
      <c r="BR662" s="76"/>
      <c r="BS662" s="76"/>
      <c r="BT662" s="76"/>
      <c r="BU662" s="76"/>
      <c r="BV662" s="76"/>
      <c r="BW662" s="76"/>
      <c r="BX662" s="76"/>
      <c r="BY662" s="76"/>
      <c r="BZ662" s="76" t="s">
        <v>631</v>
      </c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 t="s">
        <v>631</v>
      </c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95"/>
      <c r="DX662" s="90"/>
      <c r="DY662" s="21"/>
      <c r="DZ662" s="21"/>
    </row>
    <row r="663" spans="1:130" hidden="1" outlineLevel="1" x14ac:dyDescent="0.3">
      <c r="A663" s="4"/>
      <c r="B663" s="4"/>
      <c r="C663" s="4" t="s">
        <v>1130</v>
      </c>
      <c r="D663" s="4"/>
      <c r="E663" s="12"/>
      <c r="F663" s="34"/>
      <c r="G663" s="28"/>
      <c r="H663" s="28"/>
      <c r="I663" s="26"/>
      <c r="J663" s="24"/>
      <c r="K663" s="31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93" t="s">
        <v>631</v>
      </c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 t="s">
        <v>631</v>
      </c>
      <c r="BQ663" s="76"/>
      <c r="BR663" s="76"/>
      <c r="BS663" s="76"/>
      <c r="BT663" s="76"/>
      <c r="BU663" s="76"/>
      <c r="BV663" s="76"/>
      <c r="BW663" s="76"/>
      <c r="BX663" s="76"/>
      <c r="BY663" s="76"/>
      <c r="BZ663" s="76" t="s">
        <v>631</v>
      </c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 t="s">
        <v>631</v>
      </c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95"/>
      <c r="DX663" s="90"/>
      <c r="DY663" s="21"/>
      <c r="DZ663" s="21"/>
    </row>
    <row r="664" spans="1:130" hidden="1" outlineLevel="1" x14ac:dyDescent="0.3">
      <c r="A664" s="4"/>
      <c r="B664" s="4"/>
      <c r="C664" s="4" t="s">
        <v>1131</v>
      </c>
      <c r="D664" s="4"/>
      <c r="E664" s="12"/>
      <c r="F664" s="34"/>
      <c r="G664" s="28"/>
      <c r="H664" s="28"/>
      <c r="I664" s="26"/>
      <c r="J664" s="24"/>
      <c r="K664" s="31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93" t="s">
        <v>631</v>
      </c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 t="s">
        <v>631</v>
      </c>
      <c r="BQ664" s="76"/>
      <c r="BR664" s="76"/>
      <c r="BS664" s="76"/>
      <c r="BT664" s="76"/>
      <c r="BU664" s="76"/>
      <c r="BV664" s="76"/>
      <c r="BW664" s="76"/>
      <c r="BX664" s="76"/>
      <c r="BY664" s="76"/>
      <c r="BZ664" s="76" t="s">
        <v>631</v>
      </c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95"/>
      <c r="DX664" s="90"/>
      <c r="DY664" s="21"/>
      <c r="DZ664" s="21"/>
    </row>
    <row r="665" spans="1:130" hidden="1" outlineLevel="1" x14ac:dyDescent="0.3">
      <c r="A665" s="4"/>
      <c r="B665" s="4"/>
      <c r="C665" s="4" t="s">
        <v>1132</v>
      </c>
      <c r="D665" s="4"/>
      <c r="E665" s="12"/>
      <c r="F665" s="34"/>
      <c r="G665" s="28"/>
      <c r="H665" s="28"/>
      <c r="I665" s="26"/>
      <c r="J665" s="24"/>
      <c r="K665" s="31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93" t="s">
        <v>631</v>
      </c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 t="s">
        <v>631</v>
      </c>
      <c r="BQ665" s="76"/>
      <c r="BR665" s="76"/>
      <c r="BS665" s="76"/>
      <c r="BT665" s="76"/>
      <c r="BU665" s="76"/>
      <c r="BV665" s="76"/>
      <c r="BW665" s="76"/>
      <c r="BX665" s="76"/>
      <c r="BY665" s="76"/>
      <c r="BZ665" s="76" t="s">
        <v>631</v>
      </c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95"/>
      <c r="DX665" s="90"/>
      <c r="DY665" s="21"/>
      <c r="DZ665" s="21"/>
    </row>
    <row r="666" spans="1:130" hidden="1" outlineLevel="1" x14ac:dyDescent="0.3">
      <c r="A666" s="4"/>
      <c r="B666" s="4"/>
      <c r="C666" s="4" t="s">
        <v>1133</v>
      </c>
      <c r="D666" s="4"/>
      <c r="E666" s="12"/>
      <c r="F666" s="34"/>
      <c r="G666" s="28"/>
      <c r="H666" s="28"/>
      <c r="I666" s="26"/>
      <c r="J666" s="24"/>
      <c r="K666" s="31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93" t="s">
        <v>631</v>
      </c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 t="s">
        <v>631</v>
      </c>
      <c r="BQ666" s="76"/>
      <c r="BR666" s="76"/>
      <c r="BS666" s="76"/>
      <c r="BT666" s="76"/>
      <c r="BU666" s="76"/>
      <c r="BV666" s="76"/>
      <c r="BW666" s="76"/>
      <c r="BX666" s="76"/>
      <c r="BY666" s="76"/>
      <c r="BZ666" s="76" t="s">
        <v>631</v>
      </c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95"/>
      <c r="DX666" s="90"/>
      <c r="DY666" s="21"/>
      <c r="DZ666" s="21"/>
    </row>
    <row r="667" spans="1:130" hidden="1" outlineLevel="1" x14ac:dyDescent="0.3">
      <c r="A667" s="4"/>
      <c r="B667" s="4"/>
      <c r="C667" s="4" t="s">
        <v>1134</v>
      </c>
      <c r="D667" s="4"/>
      <c r="E667" s="12"/>
      <c r="F667" s="34"/>
      <c r="G667" s="28"/>
      <c r="H667" s="28"/>
      <c r="I667" s="26"/>
      <c r="J667" s="24"/>
      <c r="K667" s="31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93" t="s">
        <v>631</v>
      </c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 t="s">
        <v>631</v>
      </c>
      <c r="BQ667" s="76"/>
      <c r="BR667" s="76"/>
      <c r="BS667" s="76"/>
      <c r="BT667" s="76"/>
      <c r="BU667" s="76"/>
      <c r="BV667" s="76"/>
      <c r="BW667" s="76"/>
      <c r="BX667" s="76"/>
      <c r="BY667" s="76"/>
      <c r="BZ667" s="76" t="s">
        <v>631</v>
      </c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95"/>
      <c r="DX667" s="90"/>
      <c r="DY667" s="21"/>
      <c r="DZ667" s="21"/>
    </row>
    <row r="668" spans="1:130" hidden="1" outlineLevel="1" x14ac:dyDescent="0.3">
      <c r="A668" s="4"/>
      <c r="B668" s="4"/>
      <c r="C668" s="4" t="s">
        <v>1135</v>
      </c>
      <c r="D668" s="4"/>
      <c r="E668" s="12"/>
      <c r="F668" s="34"/>
      <c r="G668" s="28"/>
      <c r="H668" s="28"/>
      <c r="I668" s="26"/>
      <c r="J668" s="24"/>
      <c r="K668" s="31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93" t="s">
        <v>631</v>
      </c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 t="s">
        <v>631</v>
      </c>
      <c r="BQ668" s="76"/>
      <c r="BR668" s="76"/>
      <c r="BS668" s="76"/>
      <c r="BT668" s="76"/>
      <c r="BU668" s="76"/>
      <c r="BV668" s="76"/>
      <c r="BW668" s="76"/>
      <c r="BX668" s="76"/>
      <c r="BY668" s="76"/>
      <c r="BZ668" s="76" t="s">
        <v>631</v>
      </c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95"/>
      <c r="DX668" s="90"/>
      <c r="DY668" s="21"/>
      <c r="DZ668" s="21"/>
    </row>
    <row r="669" spans="1:130" hidden="1" outlineLevel="1" x14ac:dyDescent="0.3">
      <c r="A669" s="4"/>
      <c r="B669" s="4"/>
      <c r="C669" s="4" t="s">
        <v>1136</v>
      </c>
      <c r="D669" s="4"/>
      <c r="E669" s="12"/>
      <c r="F669" s="34"/>
      <c r="G669" s="28"/>
      <c r="H669" s="28"/>
      <c r="I669" s="26"/>
      <c r="J669" s="24"/>
      <c r="K669" s="31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93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 t="s">
        <v>631</v>
      </c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95"/>
      <c r="DX669" s="90"/>
      <c r="DY669" s="21"/>
      <c r="DZ669" s="21"/>
    </row>
    <row r="670" spans="1:130" hidden="1" outlineLevel="1" x14ac:dyDescent="0.3">
      <c r="A670" s="4"/>
      <c r="B670" s="4"/>
      <c r="C670" s="4" t="s">
        <v>1137</v>
      </c>
      <c r="D670" s="4"/>
      <c r="E670" s="12"/>
      <c r="F670" s="34"/>
      <c r="G670" s="28"/>
      <c r="H670" s="28"/>
      <c r="I670" s="26"/>
      <c r="J670" s="24"/>
      <c r="K670" s="31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93" t="s">
        <v>631</v>
      </c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 t="s">
        <v>631</v>
      </c>
      <c r="BQ670" s="76"/>
      <c r="BR670" s="76"/>
      <c r="BS670" s="76"/>
      <c r="BT670" s="76"/>
      <c r="BU670" s="76"/>
      <c r="BV670" s="76"/>
      <c r="BW670" s="76"/>
      <c r="BX670" s="76"/>
      <c r="BY670" s="76"/>
      <c r="BZ670" s="76" t="s">
        <v>631</v>
      </c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95"/>
      <c r="DX670" s="90"/>
      <c r="DY670" s="21"/>
      <c r="DZ670" s="21"/>
    </row>
    <row r="671" spans="1:130" hidden="1" outlineLevel="1" x14ac:dyDescent="0.3">
      <c r="A671" s="4"/>
      <c r="B671" s="4"/>
      <c r="C671" s="4" t="s">
        <v>1138</v>
      </c>
      <c r="D671" s="4"/>
      <c r="E671" s="12"/>
      <c r="F671" s="34"/>
      <c r="G671" s="28"/>
      <c r="H671" s="28"/>
      <c r="I671" s="26"/>
      <c r="J671" s="24"/>
      <c r="K671" s="31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93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 t="s">
        <v>631</v>
      </c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95"/>
      <c r="DX671" s="90"/>
      <c r="DY671" s="21"/>
      <c r="DZ671" s="21"/>
    </row>
    <row r="672" spans="1:130" hidden="1" outlineLevel="1" x14ac:dyDescent="0.3">
      <c r="A672" s="4"/>
      <c r="B672" s="4"/>
      <c r="C672" s="4" t="s">
        <v>1139</v>
      </c>
      <c r="D672" s="4"/>
      <c r="E672" s="12"/>
      <c r="F672" s="34"/>
      <c r="G672" s="28"/>
      <c r="H672" s="28"/>
      <c r="I672" s="26"/>
      <c r="J672" s="24"/>
      <c r="K672" s="31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93" t="s">
        <v>631</v>
      </c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 t="s">
        <v>631</v>
      </c>
      <c r="BQ672" s="76"/>
      <c r="BR672" s="76"/>
      <c r="BS672" s="76"/>
      <c r="BT672" s="76"/>
      <c r="BU672" s="76"/>
      <c r="BV672" s="76"/>
      <c r="BW672" s="76"/>
      <c r="BX672" s="76"/>
      <c r="BY672" s="76"/>
      <c r="BZ672" s="76" t="s">
        <v>631</v>
      </c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95"/>
      <c r="DX672" s="90"/>
      <c r="DY672" s="21"/>
      <c r="DZ672" s="21"/>
    </row>
    <row r="673" spans="1:130" hidden="1" outlineLevel="1" x14ac:dyDescent="0.3">
      <c r="A673" s="4"/>
      <c r="B673" s="4"/>
      <c r="C673" s="4" t="s">
        <v>1140</v>
      </c>
      <c r="D673" s="4"/>
      <c r="E673" s="12"/>
      <c r="F673" s="34"/>
      <c r="G673" s="28"/>
      <c r="H673" s="28"/>
      <c r="I673" s="26"/>
      <c r="J673" s="24"/>
      <c r="K673" s="31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93"/>
      <c r="AX673" s="76"/>
      <c r="AY673" s="76" t="s">
        <v>631</v>
      </c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 t="s">
        <v>631</v>
      </c>
      <c r="BS673" s="76"/>
      <c r="BT673" s="76"/>
      <c r="BU673" s="76"/>
      <c r="BV673" s="76"/>
      <c r="BW673" s="76"/>
      <c r="BX673" s="76"/>
      <c r="BY673" s="76"/>
      <c r="BZ673" s="76" t="s">
        <v>631</v>
      </c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95"/>
      <c r="DX673" s="90"/>
      <c r="DY673" s="21"/>
      <c r="DZ673" s="21"/>
    </row>
    <row r="674" spans="1:130" hidden="1" outlineLevel="1" x14ac:dyDescent="0.3">
      <c r="A674" s="4"/>
      <c r="B674" s="4"/>
      <c r="C674" s="4" t="s">
        <v>1141</v>
      </c>
      <c r="D674" s="4"/>
      <c r="E674" s="12"/>
      <c r="F674" s="34"/>
      <c r="G674" s="28"/>
      <c r="H674" s="28"/>
      <c r="I674" s="26"/>
      <c r="J674" s="24"/>
      <c r="K674" s="31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93" t="s">
        <v>631</v>
      </c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 t="s">
        <v>631</v>
      </c>
      <c r="BP674" s="76" t="s">
        <v>631</v>
      </c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95"/>
      <c r="DX674" s="90"/>
      <c r="DY674" s="21"/>
      <c r="DZ674" s="21"/>
    </row>
    <row r="675" spans="1:130" hidden="1" outlineLevel="1" x14ac:dyDescent="0.3">
      <c r="A675" s="4"/>
      <c r="B675" s="4"/>
      <c r="C675" s="4" t="s">
        <v>1142</v>
      </c>
      <c r="D675" s="4"/>
      <c r="E675" s="12"/>
      <c r="F675" s="34"/>
      <c r="G675" s="28"/>
      <c r="H675" s="28"/>
      <c r="I675" s="26"/>
      <c r="J675" s="24"/>
      <c r="K675" s="31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93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 t="s">
        <v>631</v>
      </c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95"/>
      <c r="DX675" s="90"/>
      <c r="DY675" s="21"/>
      <c r="DZ675" s="21"/>
    </row>
    <row r="676" spans="1:130" hidden="1" outlineLevel="1" x14ac:dyDescent="0.3">
      <c r="A676" s="4"/>
      <c r="B676" s="4"/>
      <c r="C676" s="4" t="s">
        <v>1143</v>
      </c>
      <c r="D676" s="4"/>
      <c r="E676" s="12"/>
      <c r="F676" s="34"/>
      <c r="G676" s="28"/>
      <c r="H676" s="28"/>
      <c r="I676" s="26"/>
      <c r="J676" s="24"/>
      <c r="K676" s="31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93" t="s">
        <v>631</v>
      </c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 t="s">
        <v>631</v>
      </c>
      <c r="BQ676" s="76"/>
      <c r="BR676" s="76"/>
      <c r="BS676" s="76"/>
      <c r="BT676" s="76"/>
      <c r="BU676" s="76"/>
      <c r="BV676" s="76"/>
      <c r="BW676" s="76"/>
      <c r="BX676" s="76"/>
      <c r="BY676" s="76"/>
      <c r="BZ676" s="76" t="s">
        <v>631</v>
      </c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95"/>
      <c r="DX676" s="90"/>
      <c r="DY676" s="21"/>
      <c r="DZ676" s="21"/>
    </row>
    <row r="677" spans="1:130" hidden="1" outlineLevel="1" x14ac:dyDescent="0.3">
      <c r="A677" s="4"/>
      <c r="B677" s="4"/>
      <c r="C677" s="4" t="s">
        <v>1144</v>
      </c>
      <c r="D677" s="4"/>
      <c r="E677" s="12"/>
      <c r="F677" s="34"/>
      <c r="G677" s="28"/>
      <c r="H677" s="28"/>
      <c r="I677" s="26"/>
      <c r="J677" s="24"/>
      <c r="K677" s="31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93" t="s">
        <v>631</v>
      </c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 t="s">
        <v>631</v>
      </c>
      <c r="BP677" s="76" t="s">
        <v>631</v>
      </c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95"/>
      <c r="DX677" s="90"/>
      <c r="DY677" s="21"/>
      <c r="DZ677" s="21"/>
    </row>
    <row r="678" spans="1:130" hidden="1" outlineLevel="1" x14ac:dyDescent="0.3">
      <c r="A678" s="4"/>
      <c r="B678" s="4"/>
      <c r="C678" s="4" t="s">
        <v>1145</v>
      </c>
      <c r="D678" s="4"/>
      <c r="E678" s="12"/>
      <c r="F678" s="34"/>
      <c r="G678" s="28"/>
      <c r="H678" s="28"/>
      <c r="I678" s="26"/>
      <c r="J678" s="24"/>
      <c r="K678" s="31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93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 t="s">
        <v>631</v>
      </c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95"/>
      <c r="DX678" s="90"/>
      <c r="DY678" s="21"/>
      <c r="DZ678" s="21"/>
    </row>
    <row r="679" spans="1:130" hidden="1" outlineLevel="1" x14ac:dyDescent="0.3">
      <c r="A679" s="4"/>
      <c r="B679" s="4"/>
      <c r="C679" s="4" t="s">
        <v>1146</v>
      </c>
      <c r="D679" s="4"/>
      <c r="E679" s="12"/>
      <c r="F679" s="34"/>
      <c r="G679" s="28"/>
      <c r="H679" s="28"/>
      <c r="I679" s="26"/>
      <c r="J679" s="24"/>
      <c r="K679" s="31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93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 t="s">
        <v>631</v>
      </c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95"/>
      <c r="DX679" s="90"/>
      <c r="DY679" s="21"/>
      <c r="DZ679" s="21"/>
    </row>
    <row r="680" spans="1:130" hidden="1" outlineLevel="1" x14ac:dyDescent="0.3">
      <c r="A680" s="4"/>
      <c r="B680" s="4"/>
      <c r="C680" s="4" t="s">
        <v>1147</v>
      </c>
      <c r="D680" s="4"/>
      <c r="E680" s="12"/>
      <c r="F680" s="34"/>
      <c r="G680" s="28"/>
      <c r="H680" s="28"/>
      <c r="I680" s="26"/>
      <c r="J680" s="24"/>
      <c r="K680" s="31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93" t="s">
        <v>631</v>
      </c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 t="s">
        <v>631</v>
      </c>
      <c r="BQ680" s="76"/>
      <c r="BR680" s="76"/>
      <c r="BS680" s="76"/>
      <c r="BT680" s="76"/>
      <c r="BU680" s="76"/>
      <c r="BV680" s="76"/>
      <c r="BW680" s="76"/>
      <c r="BX680" s="76"/>
      <c r="BY680" s="76"/>
      <c r="BZ680" s="76" t="s">
        <v>631</v>
      </c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 t="s">
        <v>631</v>
      </c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95"/>
      <c r="DX680" s="90"/>
      <c r="DY680" s="21"/>
      <c r="DZ680" s="21"/>
    </row>
    <row r="681" spans="1:130" hidden="1" outlineLevel="1" x14ac:dyDescent="0.3">
      <c r="A681" s="4"/>
      <c r="B681" s="4"/>
      <c r="C681" s="4" t="s">
        <v>1148</v>
      </c>
      <c r="D681" s="4"/>
      <c r="E681" s="12"/>
      <c r="F681" s="34"/>
      <c r="G681" s="28"/>
      <c r="H681" s="28"/>
      <c r="I681" s="26"/>
      <c r="J681" s="24"/>
      <c r="K681" s="31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93"/>
      <c r="AX681" s="76"/>
      <c r="AY681" s="76" t="s">
        <v>631</v>
      </c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 t="s">
        <v>631</v>
      </c>
      <c r="BQ681" s="76"/>
      <c r="BR681" s="76" t="s">
        <v>631</v>
      </c>
      <c r="BS681" s="76"/>
      <c r="BT681" s="76"/>
      <c r="BU681" s="76"/>
      <c r="BV681" s="76"/>
      <c r="BW681" s="76"/>
      <c r="BX681" s="76"/>
      <c r="BY681" s="76"/>
      <c r="BZ681" s="76" t="s">
        <v>631</v>
      </c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95"/>
      <c r="DX681" s="90"/>
      <c r="DY681" s="21"/>
      <c r="DZ681" s="21"/>
    </row>
    <row r="682" spans="1:130" hidden="1" outlineLevel="1" x14ac:dyDescent="0.3">
      <c r="A682" s="4"/>
      <c r="B682" s="4"/>
      <c r="C682" s="4" t="s">
        <v>1149</v>
      </c>
      <c r="D682" s="4"/>
      <c r="E682" s="12"/>
      <c r="F682" s="34"/>
      <c r="G682" s="28"/>
      <c r="H682" s="28"/>
      <c r="I682" s="26"/>
      <c r="J682" s="24"/>
      <c r="K682" s="31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93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 t="s">
        <v>631</v>
      </c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95"/>
      <c r="DX682" s="90"/>
      <c r="DY682" s="21"/>
      <c r="DZ682" s="21"/>
    </row>
    <row r="683" spans="1:130" hidden="1" outlineLevel="1" x14ac:dyDescent="0.3">
      <c r="A683" s="4"/>
      <c r="B683" s="4"/>
      <c r="C683" s="4" t="s">
        <v>1150</v>
      </c>
      <c r="D683" s="4"/>
      <c r="E683" s="12"/>
      <c r="F683" s="34"/>
      <c r="G683" s="28"/>
      <c r="H683" s="28"/>
      <c r="I683" s="26"/>
      <c r="J683" s="24"/>
      <c r="K683" s="31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93" t="s">
        <v>631</v>
      </c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 t="s">
        <v>631</v>
      </c>
      <c r="BQ683" s="76"/>
      <c r="BR683" s="76"/>
      <c r="BS683" s="76"/>
      <c r="BT683" s="76"/>
      <c r="BU683" s="76"/>
      <c r="BV683" s="76"/>
      <c r="BW683" s="76"/>
      <c r="BX683" s="76"/>
      <c r="BY683" s="76"/>
      <c r="BZ683" s="76" t="s">
        <v>631</v>
      </c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95"/>
      <c r="DX683" s="90"/>
      <c r="DY683" s="21"/>
      <c r="DZ683" s="21"/>
    </row>
    <row r="684" spans="1:130" hidden="1" outlineLevel="1" x14ac:dyDescent="0.3">
      <c r="A684" s="4"/>
      <c r="B684" s="4"/>
      <c r="C684" s="4" t="s">
        <v>1151</v>
      </c>
      <c r="D684" s="4"/>
      <c r="E684" s="12"/>
      <c r="F684" s="34"/>
      <c r="G684" s="28"/>
      <c r="H684" s="28"/>
      <c r="I684" s="26"/>
      <c r="J684" s="24"/>
      <c r="K684" s="31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93" t="s">
        <v>631</v>
      </c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 t="s">
        <v>631</v>
      </c>
      <c r="BQ684" s="76"/>
      <c r="BR684" s="76"/>
      <c r="BS684" s="76"/>
      <c r="BT684" s="76"/>
      <c r="BU684" s="76"/>
      <c r="BV684" s="76"/>
      <c r="BW684" s="76"/>
      <c r="BX684" s="76"/>
      <c r="BY684" s="76"/>
      <c r="BZ684" s="76" t="s">
        <v>631</v>
      </c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95"/>
      <c r="DX684" s="90"/>
      <c r="DY684" s="21"/>
      <c r="DZ684" s="21"/>
    </row>
    <row r="685" spans="1:130" hidden="1" outlineLevel="1" x14ac:dyDescent="0.3">
      <c r="A685" s="4"/>
      <c r="B685" s="4"/>
      <c r="C685" s="4" t="s">
        <v>1152</v>
      </c>
      <c r="D685" s="4"/>
      <c r="E685" s="12"/>
      <c r="F685" s="34"/>
      <c r="G685" s="28"/>
      <c r="H685" s="28"/>
      <c r="I685" s="26"/>
      <c r="J685" s="24"/>
      <c r="K685" s="31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93" t="s">
        <v>631</v>
      </c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 t="s">
        <v>631</v>
      </c>
      <c r="BQ685" s="76"/>
      <c r="BR685" s="76"/>
      <c r="BS685" s="76"/>
      <c r="BT685" s="76"/>
      <c r="BU685" s="76"/>
      <c r="BV685" s="76"/>
      <c r="BW685" s="76"/>
      <c r="BX685" s="76"/>
      <c r="BY685" s="76"/>
      <c r="BZ685" s="76" t="s">
        <v>631</v>
      </c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95"/>
      <c r="DX685" s="90"/>
      <c r="DY685" s="21"/>
      <c r="DZ685" s="21"/>
    </row>
    <row r="686" spans="1:130" hidden="1" outlineLevel="1" x14ac:dyDescent="0.3">
      <c r="A686" s="4"/>
      <c r="B686" s="4"/>
      <c r="C686" s="4" t="s">
        <v>1153</v>
      </c>
      <c r="D686" s="4"/>
      <c r="E686" s="12"/>
      <c r="F686" s="34"/>
      <c r="G686" s="28"/>
      <c r="H686" s="28"/>
      <c r="I686" s="26"/>
      <c r="J686" s="24"/>
      <c r="K686" s="31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93" t="s">
        <v>631</v>
      </c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 t="s">
        <v>631</v>
      </c>
      <c r="BQ686" s="76"/>
      <c r="BR686" s="76"/>
      <c r="BS686" s="76"/>
      <c r="BT686" s="76"/>
      <c r="BU686" s="76"/>
      <c r="BV686" s="76"/>
      <c r="BW686" s="76"/>
      <c r="BX686" s="76"/>
      <c r="BY686" s="76"/>
      <c r="BZ686" s="76" t="s">
        <v>631</v>
      </c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95"/>
      <c r="DX686" s="90"/>
      <c r="DY686" s="21"/>
      <c r="DZ686" s="21"/>
    </row>
    <row r="687" spans="1:130" hidden="1" outlineLevel="1" x14ac:dyDescent="0.3">
      <c r="A687" s="4"/>
      <c r="B687" s="4"/>
      <c r="C687" s="4" t="s">
        <v>1154</v>
      </c>
      <c r="D687" s="4"/>
      <c r="E687" s="12"/>
      <c r="F687" s="34"/>
      <c r="G687" s="28"/>
      <c r="H687" s="28"/>
      <c r="I687" s="26"/>
      <c r="J687" s="24"/>
      <c r="K687" s="31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93" t="s">
        <v>631</v>
      </c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 t="s">
        <v>631</v>
      </c>
      <c r="BQ687" s="76"/>
      <c r="BR687" s="76"/>
      <c r="BS687" s="76"/>
      <c r="BT687" s="76"/>
      <c r="BU687" s="76"/>
      <c r="BV687" s="76"/>
      <c r="BW687" s="76"/>
      <c r="BX687" s="76"/>
      <c r="BY687" s="76"/>
      <c r="BZ687" s="76" t="s">
        <v>631</v>
      </c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95"/>
      <c r="DX687" s="90"/>
      <c r="DY687" s="21"/>
      <c r="DZ687" s="21"/>
    </row>
    <row r="688" spans="1:130" hidden="1" outlineLevel="1" x14ac:dyDescent="0.3">
      <c r="A688" s="4"/>
      <c r="B688" s="4"/>
      <c r="C688" s="4" t="s">
        <v>1155</v>
      </c>
      <c r="D688" s="4"/>
      <c r="E688" s="12"/>
      <c r="F688" s="34"/>
      <c r="G688" s="28"/>
      <c r="H688" s="28"/>
      <c r="I688" s="26"/>
      <c r="J688" s="24"/>
      <c r="K688" s="31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93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 t="s">
        <v>631</v>
      </c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 t="s">
        <v>631</v>
      </c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95"/>
      <c r="DX688" s="90"/>
      <c r="DY688" s="21"/>
      <c r="DZ688" s="21"/>
    </row>
    <row r="689" spans="1:130" hidden="1" outlineLevel="1" x14ac:dyDescent="0.3">
      <c r="A689" s="4"/>
      <c r="B689" s="4"/>
      <c r="C689" s="4" t="s">
        <v>1156</v>
      </c>
      <c r="D689" s="4"/>
      <c r="E689" s="12"/>
      <c r="F689" s="34"/>
      <c r="G689" s="28"/>
      <c r="H689" s="28"/>
      <c r="I689" s="26"/>
      <c r="J689" s="24"/>
      <c r="K689" s="31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93"/>
      <c r="AX689" s="76"/>
      <c r="AY689" s="76" t="s">
        <v>631</v>
      </c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 t="s">
        <v>631</v>
      </c>
      <c r="BQ689" s="76"/>
      <c r="BR689" s="76" t="s">
        <v>631</v>
      </c>
      <c r="BS689" s="76"/>
      <c r="BT689" s="76"/>
      <c r="BU689" s="76"/>
      <c r="BV689" s="76"/>
      <c r="BW689" s="76"/>
      <c r="BX689" s="76"/>
      <c r="BY689" s="76"/>
      <c r="BZ689" s="76" t="s">
        <v>631</v>
      </c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95"/>
      <c r="DX689" s="90"/>
      <c r="DY689" s="21"/>
      <c r="DZ689" s="21"/>
    </row>
    <row r="690" spans="1:130" hidden="1" outlineLevel="1" x14ac:dyDescent="0.3">
      <c r="A690" s="4"/>
      <c r="B690" s="4"/>
      <c r="C690" s="4" t="s">
        <v>1157</v>
      </c>
      <c r="D690" s="4"/>
      <c r="E690" s="12"/>
      <c r="F690" s="34"/>
      <c r="G690" s="28"/>
      <c r="H690" s="28"/>
      <c r="I690" s="26"/>
      <c r="J690" s="24"/>
      <c r="K690" s="31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93" t="s">
        <v>631</v>
      </c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 t="s">
        <v>631</v>
      </c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95"/>
      <c r="DX690" s="90"/>
      <c r="DY690" s="21"/>
      <c r="DZ690" s="21"/>
    </row>
    <row r="691" spans="1:130" hidden="1" outlineLevel="1" x14ac:dyDescent="0.3">
      <c r="A691" s="4"/>
      <c r="B691" s="4"/>
      <c r="C691" s="4" t="s">
        <v>1158</v>
      </c>
      <c r="D691" s="4"/>
      <c r="E691" s="12"/>
      <c r="F691" s="34"/>
      <c r="G691" s="28"/>
      <c r="H691" s="28"/>
      <c r="I691" s="26"/>
      <c r="J691" s="24"/>
      <c r="K691" s="31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93" t="s">
        <v>631</v>
      </c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 t="s">
        <v>631</v>
      </c>
      <c r="BQ691" s="76"/>
      <c r="BR691" s="76"/>
      <c r="BS691" s="76"/>
      <c r="BT691" s="76"/>
      <c r="BU691" s="76"/>
      <c r="BV691" s="76"/>
      <c r="BW691" s="76"/>
      <c r="BX691" s="76"/>
      <c r="BY691" s="76"/>
      <c r="BZ691" s="76" t="s">
        <v>631</v>
      </c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95"/>
      <c r="DX691" s="90"/>
      <c r="DY691" s="21"/>
      <c r="DZ691" s="21"/>
    </row>
    <row r="692" spans="1:130" hidden="1" outlineLevel="1" x14ac:dyDescent="0.3">
      <c r="A692" s="4"/>
      <c r="B692" s="4"/>
      <c r="C692" s="4" t="s">
        <v>1159</v>
      </c>
      <c r="D692" s="4"/>
      <c r="E692" s="12"/>
      <c r="F692" s="34"/>
      <c r="G692" s="28"/>
      <c r="H692" s="28"/>
      <c r="I692" s="26"/>
      <c r="J692" s="24"/>
      <c r="K692" s="31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93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 t="s">
        <v>631</v>
      </c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95"/>
      <c r="DX692" s="90"/>
      <c r="DY692" s="21"/>
      <c r="DZ692" s="21"/>
    </row>
    <row r="693" spans="1:130" hidden="1" outlineLevel="1" x14ac:dyDescent="0.3">
      <c r="A693" s="4"/>
      <c r="B693" s="4"/>
      <c r="C693" s="4" t="s">
        <v>1160</v>
      </c>
      <c r="D693" s="4"/>
      <c r="E693" s="12"/>
      <c r="F693" s="34"/>
      <c r="G693" s="28"/>
      <c r="H693" s="28"/>
      <c r="I693" s="26"/>
      <c r="J693" s="24"/>
      <c r="K693" s="31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93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 t="s">
        <v>631</v>
      </c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95"/>
      <c r="DX693" s="90"/>
      <c r="DY693" s="21"/>
      <c r="DZ693" s="21"/>
    </row>
    <row r="694" spans="1:130" hidden="1" outlineLevel="1" x14ac:dyDescent="0.3">
      <c r="A694" s="4"/>
      <c r="B694" s="4"/>
      <c r="C694" s="4" t="s">
        <v>1161</v>
      </c>
      <c r="D694" s="4"/>
      <c r="E694" s="12"/>
      <c r="F694" s="34"/>
      <c r="G694" s="28"/>
      <c r="H694" s="28"/>
      <c r="I694" s="26"/>
      <c r="J694" s="24"/>
      <c r="K694" s="31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93" t="s">
        <v>631</v>
      </c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 t="s">
        <v>631</v>
      </c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95"/>
      <c r="DX694" s="90"/>
      <c r="DY694" s="21"/>
      <c r="DZ694" s="21"/>
    </row>
    <row r="695" spans="1:130" hidden="1" outlineLevel="1" x14ac:dyDescent="0.3">
      <c r="A695" s="4"/>
      <c r="B695" s="4"/>
      <c r="C695" s="4" t="s">
        <v>1162</v>
      </c>
      <c r="D695" s="4"/>
      <c r="E695" s="12"/>
      <c r="F695" s="34"/>
      <c r="G695" s="28"/>
      <c r="H695" s="28"/>
      <c r="I695" s="26"/>
      <c r="J695" s="24"/>
      <c r="K695" s="31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93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 t="s">
        <v>631</v>
      </c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95"/>
      <c r="DX695" s="90"/>
      <c r="DY695" s="21"/>
      <c r="DZ695" s="21"/>
    </row>
    <row r="696" spans="1:130" hidden="1" outlineLevel="1" x14ac:dyDescent="0.3">
      <c r="A696" s="4"/>
      <c r="B696" s="4"/>
      <c r="C696" s="4" t="s">
        <v>1163</v>
      </c>
      <c r="D696" s="4"/>
      <c r="E696" s="12"/>
      <c r="F696" s="34"/>
      <c r="G696" s="28"/>
      <c r="H696" s="28"/>
      <c r="I696" s="26"/>
      <c r="J696" s="24"/>
      <c r="K696" s="31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93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 t="s">
        <v>631</v>
      </c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95"/>
      <c r="DX696" s="90"/>
      <c r="DY696" s="21"/>
      <c r="DZ696" s="21"/>
    </row>
    <row r="697" spans="1:130" hidden="1" outlineLevel="1" x14ac:dyDescent="0.3">
      <c r="A697" s="4"/>
      <c r="B697" s="4"/>
      <c r="C697" s="4" t="s">
        <v>1164</v>
      </c>
      <c r="D697" s="4"/>
      <c r="E697" s="12"/>
      <c r="F697" s="34"/>
      <c r="G697" s="28"/>
      <c r="H697" s="28"/>
      <c r="I697" s="26"/>
      <c r="J697" s="24"/>
      <c r="K697" s="31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93" t="s">
        <v>631</v>
      </c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 t="s">
        <v>631</v>
      </c>
      <c r="BP697" s="76" t="s">
        <v>631</v>
      </c>
      <c r="BQ697" s="76"/>
      <c r="BR697" s="76"/>
      <c r="BS697" s="76"/>
      <c r="BT697" s="76"/>
      <c r="BU697" s="76"/>
      <c r="BV697" s="76"/>
      <c r="BW697" s="76"/>
      <c r="BX697" s="76"/>
      <c r="BY697" s="76"/>
      <c r="BZ697" s="76" t="s">
        <v>631</v>
      </c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 t="s">
        <v>631</v>
      </c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95"/>
      <c r="DX697" s="90"/>
      <c r="DY697" s="21"/>
      <c r="DZ697" s="21"/>
    </row>
    <row r="698" spans="1:130" hidden="1" outlineLevel="1" x14ac:dyDescent="0.3">
      <c r="A698" s="4"/>
      <c r="B698" s="4"/>
      <c r="C698" s="4" t="s">
        <v>1165</v>
      </c>
      <c r="D698" s="4"/>
      <c r="E698" s="12"/>
      <c r="F698" s="34"/>
      <c r="G698" s="28"/>
      <c r="H698" s="28"/>
      <c r="I698" s="26"/>
      <c r="J698" s="24"/>
      <c r="K698" s="31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93" t="s">
        <v>631</v>
      </c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 t="s">
        <v>631</v>
      </c>
      <c r="BP698" s="76" t="s">
        <v>631</v>
      </c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95"/>
      <c r="DX698" s="90"/>
      <c r="DY698" s="21"/>
      <c r="DZ698" s="21"/>
    </row>
    <row r="699" spans="1:130" hidden="1" outlineLevel="1" x14ac:dyDescent="0.3">
      <c r="A699" s="4"/>
      <c r="B699" s="4"/>
      <c r="C699" s="4" t="s">
        <v>1166</v>
      </c>
      <c r="D699" s="4"/>
      <c r="E699" s="12"/>
      <c r="F699" s="34"/>
      <c r="G699" s="28"/>
      <c r="H699" s="28"/>
      <c r="I699" s="26"/>
      <c r="J699" s="24"/>
      <c r="K699" s="31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93" t="s">
        <v>631</v>
      </c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 t="s">
        <v>631</v>
      </c>
      <c r="BP699" s="76" t="s">
        <v>631</v>
      </c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95"/>
      <c r="DX699" s="90"/>
      <c r="DY699" s="21"/>
      <c r="DZ699" s="21"/>
    </row>
    <row r="700" spans="1:130" hidden="1" outlineLevel="1" x14ac:dyDescent="0.3">
      <c r="A700" s="4"/>
      <c r="B700" s="4"/>
      <c r="C700" s="4" t="s">
        <v>1167</v>
      </c>
      <c r="D700" s="4"/>
      <c r="E700" s="12"/>
      <c r="F700" s="34"/>
      <c r="G700" s="28"/>
      <c r="H700" s="28"/>
      <c r="I700" s="26"/>
      <c r="J700" s="24"/>
      <c r="K700" s="31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93"/>
      <c r="AX700" s="76"/>
      <c r="AY700" s="76" t="s">
        <v>631</v>
      </c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 t="s">
        <v>631</v>
      </c>
      <c r="BQ700" s="76"/>
      <c r="BR700" s="76"/>
      <c r="BS700" s="76"/>
      <c r="BT700" s="76"/>
      <c r="BU700" s="76"/>
      <c r="BV700" s="76"/>
      <c r="BW700" s="76"/>
      <c r="BX700" s="76"/>
      <c r="BY700" s="76"/>
      <c r="BZ700" s="76" t="s">
        <v>631</v>
      </c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95"/>
      <c r="DX700" s="90"/>
      <c r="DY700" s="21"/>
      <c r="DZ700" s="21"/>
    </row>
    <row r="701" spans="1:130" hidden="1" outlineLevel="1" x14ac:dyDescent="0.3">
      <c r="A701" s="4"/>
      <c r="B701" s="4"/>
      <c r="C701" s="4" t="s">
        <v>1168</v>
      </c>
      <c r="D701" s="4"/>
      <c r="E701" s="12"/>
      <c r="F701" s="34"/>
      <c r="G701" s="28"/>
      <c r="H701" s="28"/>
      <c r="I701" s="26"/>
      <c r="J701" s="24"/>
      <c r="K701" s="31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93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 t="s">
        <v>631</v>
      </c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95"/>
      <c r="DX701" s="90"/>
      <c r="DY701" s="21"/>
      <c r="DZ701" s="21"/>
    </row>
    <row r="702" spans="1:130" hidden="1" outlineLevel="1" x14ac:dyDescent="0.3">
      <c r="A702" s="4"/>
      <c r="B702" s="4"/>
      <c r="C702" s="4" t="s">
        <v>1169</v>
      </c>
      <c r="D702" s="4"/>
      <c r="E702" s="12"/>
      <c r="F702" s="34"/>
      <c r="G702" s="28"/>
      <c r="H702" s="28"/>
      <c r="I702" s="26"/>
      <c r="J702" s="24"/>
      <c r="K702" s="31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93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 t="s">
        <v>631</v>
      </c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95"/>
      <c r="DX702" s="90"/>
      <c r="DY702" s="21"/>
      <c r="DZ702" s="21"/>
    </row>
    <row r="703" spans="1:130" hidden="1" outlineLevel="1" x14ac:dyDescent="0.3">
      <c r="A703" s="4"/>
      <c r="B703" s="4"/>
      <c r="C703" s="4" t="s">
        <v>1170</v>
      </c>
      <c r="D703" s="4"/>
      <c r="E703" s="12"/>
      <c r="F703" s="34"/>
      <c r="G703" s="28"/>
      <c r="H703" s="28"/>
      <c r="I703" s="26"/>
      <c r="J703" s="24"/>
      <c r="K703" s="31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93"/>
      <c r="AX703" s="76"/>
      <c r="AY703" s="76" t="s">
        <v>631</v>
      </c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 t="s">
        <v>631</v>
      </c>
      <c r="BQ703" s="76"/>
      <c r="BR703" s="76" t="s">
        <v>631</v>
      </c>
      <c r="BS703" s="76"/>
      <c r="BT703" s="76"/>
      <c r="BU703" s="76"/>
      <c r="BV703" s="76"/>
      <c r="BW703" s="76"/>
      <c r="BX703" s="76"/>
      <c r="BY703" s="76"/>
      <c r="BZ703" s="76" t="s">
        <v>631</v>
      </c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95"/>
      <c r="DX703" s="90"/>
      <c r="DY703" s="21"/>
      <c r="DZ703" s="21"/>
    </row>
    <row r="704" spans="1:130" hidden="1" outlineLevel="1" x14ac:dyDescent="0.3">
      <c r="A704" s="4"/>
      <c r="B704" s="4"/>
      <c r="C704" s="4" t="s">
        <v>1171</v>
      </c>
      <c r="D704" s="4"/>
      <c r="E704" s="12"/>
      <c r="F704" s="34"/>
      <c r="G704" s="28"/>
      <c r="H704" s="28"/>
      <c r="I704" s="26"/>
      <c r="J704" s="24"/>
      <c r="K704" s="31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93"/>
      <c r="AX704" s="76"/>
      <c r="AY704" s="76" t="s">
        <v>631</v>
      </c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 t="s">
        <v>631</v>
      </c>
      <c r="BQ704" s="76"/>
      <c r="BR704" s="76"/>
      <c r="BS704" s="76"/>
      <c r="BT704" s="76"/>
      <c r="BU704" s="76"/>
      <c r="BV704" s="76"/>
      <c r="BW704" s="76"/>
      <c r="BX704" s="76"/>
      <c r="BY704" s="76"/>
      <c r="BZ704" s="76" t="s">
        <v>631</v>
      </c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95"/>
      <c r="DX704" s="90"/>
      <c r="DY704" s="21"/>
      <c r="DZ704" s="21"/>
    </row>
    <row r="705" spans="1:130" hidden="1" outlineLevel="1" x14ac:dyDescent="0.3">
      <c r="A705" s="4"/>
      <c r="B705" s="4"/>
      <c r="C705" s="4" t="s">
        <v>912</v>
      </c>
      <c r="D705" s="4"/>
      <c r="E705" s="12"/>
      <c r="F705" s="34"/>
      <c r="G705" s="28"/>
      <c r="H705" s="28"/>
      <c r="I705" s="26"/>
      <c r="J705" s="24"/>
      <c r="K705" s="31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93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 t="s">
        <v>631</v>
      </c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95"/>
      <c r="DX705" s="90"/>
      <c r="DY705" s="21"/>
      <c r="DZ705" s="21"/>
    </row>
    <row r="706" spans="1:130" hidden="1" outlineLevel="1" x14ac:dyDescent="0.3">
      <c r="A706" s="4"/>
      <c r="B706" s="4"/>
      <c r="C706" s="4" t="s">
        <v>913</v>
      </c>
      <c r="D706" s="4"/>
      <c r="E706" s="12"/>
      <c r="F706" s="34"/>
      <c r="G706" s="28"/>
      <c r="H706" s="28"/>
      <c r="I706" s="26"/>
      <c r="J706" s="24"/>
      <c r="K706" s="31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93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 t="s">
        <v>631</v>
      </c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 t="s">
        <v>631</v>
      </c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95"/>
      <c r="DX706" s="90"/>
      <c r="DY706" s="21"/>
      <c r="DZ706" s="21"/>
    </row>
    <row r="707" spans="1:130" hidden="1" outlineLevel="1" x14ac:dyDescent="0.3">
      <c r="A707" s="4"/>
      <c r="B707" s="4"/>
      <c r="C707" s="4" t="s">
        <v>1096</v>
      </c>
      <c r="D707" s="4"/>
      <c r="E707" s="12"/>
      <c r="F707" s="34"/>
      <c r="G707" s="28"/>
      <c r="H707" s="28"/>
      <c r="I707" s="26"/>
      <c r="J707" s="24"/>
      <c r="K707" s="31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93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 t="s">
        <v>631</v>
      </c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95"/>
      <c r="DX707" s="90"/>
      <c r="DY707" s="21"/>
      <c r="DZ707" s="21"/>
    </row>
    <row r="708" spans="1:130" hidden="1" outlineLevel="1" x14ac:dyDescent="0.3">
      <c r="A708" s="4"/>
      <c r="B708" s="4"/>
      <c r="C708" s="4" t="s">
        <v>1172</v>
      </c>
      <c r="D708" s="4"/>
      <c r="E708" s="12"/>
      <c r="F708" s="34"/>
      <c r="G708" s="28"/>
      <c r="H708" s="28"/>
      <c r="I708" s="26"/>
      <c r="J708" s="24"/>
      <c r="K708" s="31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93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 t="s">
        <v>631</v>
      </c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95"/>
      <c r="DX708" s="90"/>
      <c r="DY708" s="21"/>
      <c r="DZ708" s="21"/>
    </row>
    <row r="709" spans="1:130" hidden="1" outlineLevel="1" x14ac:dyDescent="0.3">
      <c r="A709" s="4"/>
      <c r="B709" s="4"/>
      <c r="C709" s="4" t="s">
        <v>1173</v>
      </c>
      <c r="D709" s="4"/>
      <c r="E709" s="12"/>
      <c r="F709" s="34"/>
      <c r="G709" s="28"/>
      <c r="H709" s="28"/>
      <c r="I709" s="26"/>
      <c r="J709" s="24"/>
      <c r="K709" s="31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93"/>
      <c r="AX709" s="76" t="s">
        <v>631</v>
      </c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 t="s">
        <v>631</v>
      </c>
      <c r="BQ709" s="76"/>
      <c r="BR709" s="76"/>
      <c r="BS709" s="76"/>
      <c r="BT709" s="76"/>
      <c r="BU709" s="76"/>
      <c r="BV709" s="76"/>
      <c r="BW709" s="76"/>
      <c r="BX709" s="76"/>
      <c r="BY709" s="76"/>
      <c r="BZ709" s="76" t="s">
        <v>631</v>
      </c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95"/>
      <c r="DX709" s="90"/>
      <c r="DY709" s="21"/>
      <c r="DZ709" s="21"/>
    </row>
    <row r="710" spans="1:130" hidden="1" outlineLevel="1" x14ac:dyDescent="0.3">
      <c r="A710" s="4"/>
      <c r="B710" s="4"/>
      <c r="C710" s="4" t="s">
        <v>1174</v>
      </c>
      <c r="D710" s="4"/>
      <c r="E710" s="12"/>
      <c r="F710" s="34"/>
      <c r="G710" s="28"/>
      <c r="H710" s="28"/>
      <c r="I710" s="26"/>
      <c r="J710" s="24"/>
      <c r="K710" s="31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93"/>
      <c r="AX710" s="76"/>
      <c r="AY710" s="76" t="s">
        <v>631</v>
      </c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 t="s">
        <v>631</v>
      </c>
      <c r="BQ710" s="76"/>
      <c r="BR710" s="76" t="s">
        <v>631</v>
      </c>
      <c r="BS710" s="76"/>
      <c r="BT710" s="76"/>
      <c r="BU710" s="76"/>
      <c r="BV710" s="76"/>
      <c r="BW710" s="76"/>
      <c r="BX710" s="76"/>
      <c r="BY710" s="76"/>
      <c r="BZ710" s="76" t="s">
        <v>631</v>
      </c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95"/>
      <c r="DX710" s="90"/>
      <c r="DY710" s="21"/>
      <c r="DZ710" s="21"/>
    </row>
    <row r="711" spans="1:130" hidden="1" outlineLevel="1" x14ac:dyDescent="0.3">
      <c r="A711" s="4"/>
      <c r="B711" s="4"/>
      <c r="C711" s="4" t="s">
        <v>1175</v>
      </c>
      <c r="D711" s="4"/>
      <c r="E711" s="12"/>
      <c r="F711" s="34"/>
      <c r="G711" s="28"/>
      <c r="H711" s="28"/>
      <c r="I711" s="26"/>
      <c r="J711" s="24"/>
      <c r="K711" s="31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93" t="s">
        <v>631</v>
      </c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 t="s">
        <v>631</v>
      </c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 t="s">
        <v>631</v>
      </c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95"/>
      <c r="DX711" s="90"/>
      <c r="DY711" s="21"/>
      <c r="DZ711" s="21"/>
    </row>
    <row r="712" spans="1:130" hidden="1" outlineLevel="1" x14ac:dyDescent="0.3">
      <c r="A712" s="4"/>
      <c r="B712" s="4"/>
      <c r="C712" s="4" t="s">
        <v>1176</v>
      </c>
      <c r="D712" s="4"/>
      <c r="E712" s="12"/>
      <c r="F712" s="34"/>
      <c r="G712" s="28"/>
      <c r="H712" s="28"/>
      <c r="I712" s="26"/>
      <c r="J712" s="24"/>
      <c r="K712" s="31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93" t="s">
        <v>631</v>
      </c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 t="s">
        <v>631</v>
      </c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 t="s">
        <v>631</v>
      </c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95"/>
      <c r="DX712" s="90"/>
      <c r="DY712" s="21"/>
      <c r="DZ712" s="21"/>
    </row>
    <row r="713" spans="1:130" hidden="1" outlineLevel="1" x14ac:dyDescent="0.3">
      <c r="A713" s="4"/>
      <c r="B713" s="4"/>
      <c r="C713" s="4" t="s">
        <v>1177</v>
      </c>
      <c r="D713" s="4"/>
      <c r="E713" s="12"/>
      <c r="F713" s="34"/>
      <c r="G713" s="28"/>
      <c r="H713" s="28"/>
      <c r="I713" s="26"/>
      <c r="J713" s="24"/>
      <c r="K713" s="31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93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 t="s">
        <v>631</v>
      </c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95"/>
      <c r="DX713" s="90"/>
      <c r="DY713" s="21"/>
      <c r="DZ713" s="21"/>
    </row>
    <row r="714" spans="1:130" hidden="1" outlineLevel="1" x14ac:dyDescent="0.3">
      <c r="A714" s="4"/>
      <c r="B714" s="4"/>
      <c r="C714" s="4" t="s">
        <v>1178</v>
      </c>
      <c r="D714" s="4"/>
      <c r="E714" s="12"/>
      <c r="F714" s="34"/>
      <c r="G714" s="28"/>
      <c r="H714" s="28"/>
      <c r="I714" s="26"/>
      <c r="J714" s="24"/>
      <c r="K714" s="31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93" t="s">
        <v>631</v>
      </c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 t="s">
        <v>631</v>
      </c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 t="s">
        <v>631</v>
      </c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95"/>
      <c r="DX714" s="90"/>
      <c r="DY714" s="21"/>
      <c r="DZ714" s="21"/>
    </row>
    <row r="715" spans="1:130" hidden="1" outlineLevel="1" x14ac:dyDescent="0.3">
      <c r="A715" s="4"/>
      <c r="B715" s="4"/>
      <c r="C715" s="4" t="s">
        <v>1179</v>
      </c>
      <c r="D715" s="4"/>
      <c r="E715" s="12"/>
      <c r="F715" s="34"/>
      <c r="G715" s="28"/>
      <c r="H715" s="28"/>
      <c r="I715" s="26"/>
      <c r="J715" s="24"/>
      <c r="K715" s="31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93" t="s">
        <v>631</v>
      </c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 t="s">
        <v>631</v>
      </c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 t="s">
        <v>631</v>
      </c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95"/>
      <c r="DX715" s="90"/>
      <c r="DY715" s="21"/>
      <c r="DZ715" s="21"/>
    </row>
    <row r="716" spans="1:130" hidden="1" outlineLevel="1" x14ac:dyDescent="0.3">
      <c r="A716" s="4"/>
      <c r="B716" s="4"/>
      <c r="C716" s="4" t="s">
        <v>1180</v>
      </c>
      <c r="D716" s="4"/>
      <c r="E716" s="12"/>
      <c r="F716" s="34"/>
      <c r="G716" s="28"/>
      <c r="H716" s="28"/>
      <c r="I716" s="26"/>
      <c r="J716" s="24"/>
      <c r="K716" s="31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93"/>
      <c r="AX716" s="76"/>
      <c r="AY716" s="76" t="s">
        <v>631</v>
      </c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 t="s">
        <v>631</v>
      </c>
      <c r="BQ716" s="76"/>
      <c r="BR716" s="76" t="s">
        <v>631</v>
      </c>
      <c r="BS716" s="76"/>
      <c r="BT716" s="76"/>
      <c r="BU716" s="76"/>
      <c r="BV716" s="76"/>
      <c r="BW716" s="76"/>
      <c r="BX716" s="76"/>
      <c r="BY716" s="76"/>
      <c r="BZ716" s="76" t="s">
        <v>631</v>
      </c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95"/>
      <c r="DX716" s="90"/>
      <c r="DY716" s="21"/>
      <c r="DZ716" s="21"/>
    </row>
    <row r="717" spans="1:130" hidden="1" outlineLevel="1" x14ac:dyDescent="0.3">
      <c r="A717" s="4"/>
      <c r="B717" s="4"/>
      <c r="C717" s="4" t="s">
        <v>1181</v>
      </c>
      <c r="D717" s="4"/>
      <c r="E717" s="12"/>
      <c r="F717" s="34"/>
      <c r="G717" s="28"/>
      <c r="H717" s="28"/>
      <c r="I717" s="26"/>
      <c r="J717" s="24"/>
      <c r="K717" s="31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93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 t="s">
        <v>631</v>
      </c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95"/>
      <c r="DX717" s="90"/>
      <c r="DY717" s="21"/>
      <c r="DZ717" s="21"/>
    </row>
    <row r="718" spans="1:130" hidden="1" outlineLevel="1" x14ac:dyDescent="0.3">
      <c r="A718" s="4"/>
      <c r="B718" s="4"/>
      <c r="C718" s="4" t="s">
        <v>1182</v>
      </c>
      <c r="D718" s="4"/>
      <c r="E718" s="12"/>
      <c r="F718" s="34"/>
      <c r="G718" s="28"/>
      <c r="H718" s="28"/>
      <c r="I718" s="26"/>
      <c r="J718" s="24"/>
      <c r="K718" s="31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93"/>
      <c r="AX718" s="76"/>
      <c r="AY718" s="76" t="s">
        <v>631</v>
      </c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 t="s">
        <v>631</v>
      </c>
      <c r="BQ718" s="76"/>
      <c r="BR718" s="76"/>
      <c r="BS718" s="76"/>
      <c r="BT718" s="76"/>
      <c r="BU718" s="76"/>
      <c r="BV718" s="76"/>
      <c r="BW718" s="76"/>
      <c r="BX718" s="76"/>
      <c r="BY718" s="76"/>
      <c r="BZ718" s="76" t="s">
        <v>631</v>
      </c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95"/>
      <c r="DX718" s="90"/>
      <c r="DY718" s="21"/>
      <c r="DZ718" s="21"/>
    </row>
    <row r="719" spans="1:130" hidden="1" outlineLevel="1" x14ac:dyDescent="0.3">
      <c r="A719" s="4"/>
      <c r="B719" s="4"/>
      <c r="C719" s="4" t="s">
        <v>1183</v>
      </c>
      <c r="D719" s="4"/>
      <c r="E719" s="12"/>
      <c r="F719" s="34"/>
      <c r="G719" s="28"/>
      <c r="H719" s="28"/>
      <c r="I719" s="26"/>
      <c r="J719" s="24"/>
      <c r="K719" s="31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93" t="s">
        <v>631</v>
      </c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 t="s">
        <v>631</v>
      </c>
      <c r="BQ719" s="76"/>
      <c r="BR719" s="76"/>
      <c r="BS719" s="76"/>
      <c r="BT719" s="76"/>
      <c r="BU719" s="76"/>
      <c r="BV719" s="76"/>
      <c r="BW719" s="76"/>
      <c r="BX719" s="76"/>
      <c r="BY719" s="76"/>
      <c r="BZ719" s="76" t="s">
        <v>631</v>
      </c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95"/>
      <c r="DX719" s="90"/>
      <c r="DY719" s="21"/>
      <c r="DZ719" s="21"/>
    </row>
    <row r="720" spans="1:130" hidden="1" outlineLevel="1" x14ac:dyDescent="0.3">
      <c r="A720" s="4"/>
      <c r="B720" s="4"/>
      <c r="C720" s="4" t="s">
        <v>1184</v>
      </c>
      <c r="D720" s="4"/>
      <c r="E720" s="12"/>
      <c r="F720" s="34"/>
      <c r="G720" s="28"/>
      <c r="H720" s="28"/>
      <c r="I720" s="26"/>
      <c r="J720" s="24"/>
      <c r="K720" s="31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93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 t="s">
        <v>631</v>
      </c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95"/>
      <c r="DX720" s="90"/>
      <c r="DY720" s="21"/>
      <c r="DZ720" s="21"/>
    </row>
    <row r="721" spans="1:130" hidden="1" outlineLevel="1" x14ac:dyDescent="0.3">
      <c r="A721" s="4"/>
      <c r="B721" s="4"/>
      <c r="C721" s="4" t="s">
        <v>1185</v>
      </c>
      <c r="D721" s="4"/>
      <c r="E721" s="12"/>
      <c r="F721" s="34"/>
      <c r="G721" s="28"/>
      <c r="H721" s="28"/>
      <c r="I721" s="26"/>
      <c r="J721" s="24"/>
      <c r="K721" s="31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93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 t="s">
        <v>631</v>
      </c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95"/>
      <c r="DX721" s="90"/>
      <c r="DY721" s="21"/>
      <c r="DZ721" s="21"/>
    </row>
    <row r="722" spans="1:130" hidden="1" outlineLevel="1" x14ac:dyDescent="0.3">
      <c r="A722" s="4"/>
      <c r="B722" s="4"/>
      <c r="C722" s="4" t="s">
        <v>1186</v>
      </c>
      <c r="D722" s="4"/>
      <c r="E722" s="12"/>
      <c r="F722" s="34"/>
      <c r="G722" s="28"/>
      <c r="H722" s="28"/>
      <c r="I722" s="26"/>
      <c r="J722" s="24"/>
      <c r="K722" s="31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93" t="s">
        <v>631</v>
      </c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 t="s">
        <v>631</v>
      </c>
      <c r="BQ722" s="76"/>
      <c r="BR722" s="76"/>
      <c r="BS722" s="76"/>
      <c r="BT722" s="76"/>
      <c r="BU722" s="76"/>
      <c r="BV722" s="76"/>
      <c r="BW722" s="76"/>
      <c r="BX722" s="76"/>
      <c r="BY722" s="76"/>
      <c r="BZ722" s="76" t="s">
        <v>631</v>
      </c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95"/>
      <c r="DX722" s="90"/>
      <c r="DY722" s="21"/>
      <c r="DZ722" s="21"/>
    </row>
    <row r="723" spans="1:130" hidden="1" outlineLevel="1" x14ac:dyDescent="0.3">
      <c r="A723" s="4"/>
      <c r="B723" s="4"/>
      <c r="C723" s="4" t="s">
        <v>386</v>
      </c>
      <c r="D723" s="4"/>
      <c r="E723" s="12"/>
      <c r="F723" s="34"/>
      <c r="G723" s="28"/>
      <c r="H723" s="28"/>
      <c r="I723" s="26"/>
      <c r="J723" s="24"/>
      <c r="K723" s="31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93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 t="s">
        <v>631</v>
      </c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95"/>
      <c r="DX723" s="90"/>
      <c r="DY723" s="21"/>
      <c r="DZ723" s="21"/>
    </row>
    <row r="724" spans="1:130" hidden="1" outlineLevel="1" x14ac:dyDescent="0.3">
      <c r="A724" s="4"/>
      <c r="B724" s="4"/>
      <c r="C724" s="4" t="s">
        <v>969</v>
      </c>
      <c r="D724" s="4"/>
      <c r="E724" s="12"/>
      <c r="F724" s="34"/>
      <c r="G724" s="28"/>
      <c r="H724" s="28"/>
      <c r="I724" s="26"/>
      <c r="J724" s="24"/>
      <c r="K724" s="31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93"/>
      <c r="AX724" s="76"/>
      <c r="AY724" s="76" t="s">
        <v>631</v>
      </c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 t="s">
        <v>631</v>
      </c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95"/>
      <c r="DX724" s="90"/>
      <c r="DY724" s="21"/>
      <c r="DZ724" s="21"/>
    </row>
    <row r="725" spans="1:130" hidden="1" outlineLevel="1" x14ac:dyDescent="0.3">
      <c r="A725" s="4"/>
      <c r="B725" s="4"/>
      <c r="C725" s="4" t="s">
        <v>970</v>
      </c>
      <c r="D725" s="4"/>
      <c r="E725" s="12"/>
      <c r="F725" s="34"/>
      <c r="G725" s="28"/>
      <c r="H725" s="28"/>
      <c r="I725" s="26"/>
      <c r="J725" s="24"/>
      <c r="K725" s="31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93"/>
      <c r="AX725" s="76"/>
      <c r="AY725" s="76" t="s">
        <v>631</v>
      </c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 t="s">
        <v>631</v>
      </c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95"/>
      <c r="DX725" s="90"/>
      <c r="DY725" s="21"/>
      <c r="DZ725" s="21"/>
    </row>
    <row r="726" spans="1:130" hidden="1" outlineLevel="1" x14ac:dyDescent="0.3">
      <c r="A726" s="4"/>
      <c r="B726" s="4"/>
      <c r="C726" s="4" t="s">
        <v>1110</v>
      </c>
      <c r="D726" s="4"/>
      <c r="E726" s="12"/>
      <c r="F726" s="34"/>
      <c r="G726" s="28"/>
      <c r="H726" s="28"/>
      <c r="I726" s="26"/>
      <c r="J726" s="24"/>
      <c r="K726" s="31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93" t="s">
        <v>631</v>
      </c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 t="s">
        <v>631</v>
      </c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95"/>
      <c r="DX726" s="90"/>
      <c r="DY726" s="21"/>
      <c r="DZ726" s="21"/>
    </row>
    <row r="727" spans="1:130" hidden="1" outlineLevel="1" x14ac:dyDescent="0.3">
      <c r="A727" s="4"/>
      <c r="B727" s="4"/>
      <c r="C727" s="4" t="s">
        <v>972</v>
      </c>
      <c r="D727" s="4"/>
      <c r="E727" s="12"/>
      <c r="F727" s="34"/>
      <c r="G727" s="28"/>
      <c r="H727" s="28"/>
      <c r="I727" s="26"/>
      <c r="J727" s="24"/>
      <c r="K727" s="31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93"/>
      <c r="AX727" s="76"/>
      <c r="AY727" s="76"/>
      <c r="AZ727" s="76"/>
      <c r="BA727" s="76"/>
      <c r="BB727" s="76" t="s">
        <v>631</v>
      </c>
      <c r="BC727" s="76"/>
      <c r="BD727" s="76" t="s">
        <v>631</v>
      </c>
      <c r="BE727" s="76"/>
      <c r="BF727" s="76"/>
      <c r="BG727" s="76" t="s">
        <v>631</v>
      </c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95"/>
      <c r="DX727" s="90"/>
      <c r="DY727" s="21"/>
      <c r="DZ727" s="21"/>
    </row>
    <row r="728" spans="1:130" hidden="1" outlineLevel="1" x14ac:dyDescent="0.3">
      <c r="A728" s="4"/>
      <c r="B728" s="4"/>
      <c r="C728" s="4" t="s">
        <v>973</v>
      </c>
      <c r="D728" s="4"/>
      <c r="E728" s="12"/>
      <c r="F728" s="34"/>
      <c r="G728" s="28"/>
      <c r="H728" s="28"/>
      <c r="I728" s="26"/>
      <c r="J728" s="24"/>
      <c r="K728" s="31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93" t="s">
        <v>631</v>
      </c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 t="s">
        <v>631</v>
      </c>
      <c r="BQ728" s="76"/>
      <c r="BR728" s="76"/>
      <c r="BS728" s="76"/>
      <c r="BT728" s="76" t="s">
        <v>631</v>
      </c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95"/>
      <c r="DX728" s="90"/>
      <c r="DY728" s="21"/>
      <c r="DZ728" s="21"/>
    </row>
    <row r="729" spans="1:130" hidden="1" outlineLevel="1" x14ac:dyDescent="0.3">
      <c r="A729" s="4"/>
      <c r="B729" s="4"/>
      <c r="C729" s="4" t="s">
        <v>974</v>
      </c>
      <c r="D729" s="4"/>
      <c r="E729" s="12"/>
      <c r="F729" s="34"/>
      <c r="G729" s="28"/>
      <c r="H729" s="28"/>
      <c r="I729" s="26"/>
      <c r="J729" s="24"/>
      <c r="K729" s="31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93" t="s">
        <v>631</v>
      </c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 t="s">
        <v>631</v>
      </c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95"/>
      <c r="DX729" s="90"/>
      <c r="DY729" s="21"/>
      <c r="DZ729" s="21"/>
    </row>
    <row r="730" spans="1:130" hidden="1" outlineLevel="1" x14ac:dyDescent="0.3">
      <c r="A730" s="4"/>
      <c r="B730" s="4"/>
      <c r="C730" s="4" t="s">
        <v>975</v>
      </c>
      <c r="D730" s="4"/>
      <c r="E730" s="12"/>
      <c r="F730" s="34"/>
      <c r="G730" s="28"/>
      <c r="H730" s="28"/>
      <c r="I730" s="26"/>
      <c r="J730" s="24"/>
      <c r="K730" s="31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93"/>
      <c r="AX730" s="76"/>
      <c r="AY730" s="76"/>
      <c r="AZ730" s="76"/>
      <c r="BA730" s="76" t="s">
        <v>631</v>
      </c>
      <c r="BB730" s="76"/>
      <c r="BC730" s="76"/>
      <c r="BD730" s="76" t="s">
        <v>631</v>
      </c>
      <c r="BE730" s="76"/>
      <c r="BF730" s="76"/>
      <c r="BG730" s="76" t="s">
        <v>631</v>
      </c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95"/>
      <c r="DX730" s="90"/>
      <c r="DY730" s="21"/>
      <c r="DZ730" s="21"/>
    </row>
    <row r="731" spans="1:130" hidden="1" outlineLevel="1" x14ac:dyDescent="0.3">
      <c r="A731" s="4"/>
      <c r="B731" s="4"/>
      <c r="C731" s="4" t="s">
        <v>976</v>
      </c>
      <c r="D731" s="4"/>
      <c r="E731" s="12"/>
      <c r="F731" s="34"/>
      <c r="G731" s="28"/>
      <c r="H731" s="28"/>
      <c r="I731" s="26"/>
      <c r="J731" s="24"/>
      <c r="K731" s="31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93"/>
      <c r="AX731" s="76"/>
      <c r="AY731" s="76"/>
      <c r="AZ731" s="76"/>
      <c r="BA731" s="76" t="s">
        <v>631</v>
      </c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95"/>
      <c r="DX731" s="90"/>
      <c r="DY731" s="21"/>
      <c r="DZ731" s="21"/>
    </row>
    <row r="732" spans="1:130" hidden="1" outlineLevel="1" x14ac:dyDescent="0.3">
      <c r="A732" s="4"/>
      <c r="B732" s="4"/>
      <c r="C732" s="4" t="s">
        <v>977</v>
      </c>
      <c r="D732" s="4"/>
      <c r="E732" s="12"/>
      <c r="F732" s="34"/>
      <c r="G732" s="28"/>
      <c r="H732" s="28"/>
      <c r="I732" s="26"/>
      <c r="J732" s="24"/>
      <c r="K732" s="31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93" t="s">
        <v>631</v>
      </c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 t="s">
        <v>631</v>
      </c>
      <c r="BQ732" s="76"/>
      <c r="BR732" s="76"/>
      <c r="BS732" s="76"/>
      <c r="BT732" s="76" t="s">
        <v>631</v>
      </c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95"/>
      <c r="DX732" s="90"/>
      <c r="DY732" s="21"/>
      <c r="DZ732" s="21"/>
    </row>
    <row r="733" spans="1:130" hidden="1" outlineLevel="1" x14ac:dyDescent="0.3">
      <c r="A733" s="4"/>
      <c r="B733" s="4"/>
      <c r="C733" s="4" t="s">
        <v>978</v>
      </c>
      <c r="D733" s="4"/>
      <c r="E733" s="12"/>
      <c r="F733" s="34"/>
      <c r="G733" s="28"/>
      <c r="H733" s="28"/>
      <c r="I733" s="26"/>
      <c r="J733" s="24"/>
      <c r="K733" s="31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93" t="s">
        <v>631</v>
      </c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 t="s">
        <v>631</v>
      </c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95"/>
      <c r="DX733" s="90"/>
      <c r="DY733" s="21"/>
      <c r="DZ733" s="21"/>
    </row>
    <row r="734" spans="1:130" hidden="1" outlineLevel="1" x14ac:dyDescent="0.3">
      <c r="A734" s="4"/>
      <c r="B734" s="4"/>
      <c r="C734" s="4" t="s">
        <v>980</v>
      </c>
      <c r="D734" s="4"/>
      <c r="E734" s="12"/>
      <c r="F734" s="34"/>
      <c r="G734" s="28"/>
      <c r="H734" s="28"/>
      <c r="I734" s="26"/>
      <c r="J734" s="24"/>
      <c r="K734" s="31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93"/>
      <c r="AX734" s="76"/>
      <c r="AY734" s="76"/>
      <c r="AZ734" s="76"/>
      <c r="BA734" s="76" t="s">
        <v>631</v>
      </c>
      <c r="BB734" s="76"/>
      <c r="BC734" s="76"/>
      <c r="BD734" s="76"/>
      <c r="BE734" s="76"/>
      <c r="BF734" s="76"/>
      <c r="BG734" s="76"/>
      <c r="BH734" s="76"/>
      <c r="BI734" s="76" t="s">
        <v>631</v>
      </c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95"/>
      <c r="DX734" s="90"/>
      <c r="DY734" s="21"/>
      <c r="DZ734" s="21"/>
    </row>
    <row r="735" spans="1:130" hidden="1" outlineLevel="1" x14ac:dyDescent="0.3">
      <c r="A735" s="4"/>
      <c r="B735" s="4"/>
      <c r="C735" s="4" t="s">
        <v>1187</v>
      </c>
      <c r="D735" s="4"/>
      <c r="E735" s="12"/>
      <c r="F735" s="34"/>
      <c r="G735" s="28"/>
      <c r="H735" s="28"/>
      <c r="I735" s="26"/>
      <c r="J735" s="24"/>
      <c r="K735" s="31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93" t="s">
        <v>631</v>
      </c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 t="s">
        <v>631</v>
      </c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95"/>
      <c r="DX735" s="90"/>
      <c r="DY735" s="21"/>
      <c r="DZ735" s="21"/>
    </row>
    <row r="736" spans="1:130" hidden="1" outlineLevel="1" x14ac:dyDescent="0.3">
      <c r="A736" s="4"/>
      <c r="B736" s="4"/>
      <c r="C736" s="4" t="s">
        <v>1188</v>
      </c>
      <c r="D736" s="4"/>
      <c r="E736" s="12"/>
      <c r="F736" s="34"/>
      <c r="G736" s="28"/>
      <c r="H736" s="28"/>
      <c r="I736" s="26"/>
      <c r="J736" s="24"/>
      <c r="K736" s="31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93" t="s">
        <v>631</v>
      </c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 t="s">
        <v>631</v>
      </c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95"/>
      <c r="DX736" s="90"/>
      <c r="DY736" s="21"/>
      <c r="DZ736" s="21"/>
    </row>
    <row r="737" spans="1:130" hidden="1" outlineLevel="1" x14ac:dyDescent="0.3">
      <c r="A737" s="4"/>
      <c r="B737" s="4"/>
      <c r="C737" s="4" t="s">
        <v>1189</v>
      </c>
      <c r="D737" s="4"/>
      <c r="E737" s="12"/>
      <c r="F737" s="34"/>
      <c r="G737" s="28"/>
      <c r="H737" s="28"/>
      <c r="I737" s="26"/>
      <c r="J737" s="24"/>
      <c r="K737" s="31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93" t="s">
        <v>631</v>
      </c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 t="s">
        <v>631</v>
      </c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95"/>
      <c r="DX737" s="90"/>
      <c r="DY737" s="21"/>
      <c r="DZ737" s="21"/>
    </row>
    <row r="738" spans="1:130" hidden="1" outlineLevel="1" x14ac:dyDescent="0.3">
      <c r="A738" s="4"/>
      <c r="B738" s="4"/>
      <c r="C738" s="4" t="s">
        <v>1190</v>
      </c>
      <c r="D738" s="4"/>
      <c r="E738" s="12"/>
      <c r="F738" s="34"/>
      <c r="G738" s="28"/>
      <c r="H738" s="28"/>
      <c r="I738" s="26"/>
      <c r="J738" s="24"/>
      <c r="K738" s="31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93" t="s">
        <v>631</v>
      </c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 t="s">
        <v>631</v>
      </c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95"/>
      <c r="DX738" s="90"/>
      <c r="DY738" s="21"/>
      <c r="DZ738" s="21"/>
    </row>
    <row r="739" spans="1:130" hidden="1" outlineLevel="1" x14ac:dyDescent="0.3">
      <c r="A739" s="4"/>
      <c r="B739" s="4"/>
      <c r="C739" s="4" t="s">
        <v>1191</v>
      </c>
      <c r="D739" s="4"/>
      <c r="E739" s="12"/>
      <c r="F739" s="34"/>
      <c r="G739" s="28"/>
      <c r="H739" s="28"/>
      <c r="I739" s="26"/>
      <c r="J739" s="24"/>
      <c r="K739" s="31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93" t="s">
        <v>631</v>
      </c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 t="s">
        <v>631</v>
      </c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95"/>
      <c r="DX739" s="90"/>
      <c r="DY739" s="21"/>
      <c r="DZ739" s="21"/>
    </row>
    <row r="740" spans="1:130" hidden="1" outlineLevel="1" x14ac:dyDescent="0.3">
      <c r="A740" s="4"/>
      <c r="B740" s="4"/>
      <c r="C740" s="4" t="s">
        <v>1192</v>
      </c>
      <c r="D740" s="4"/>
      <c r="E740" s="12"/>
      <c r="F740" s="34"/>
      <c r="G740" s="28"/>
      <c r="H740" s="28"/>
      <c r="I740" s="26"/>
      <c r="J740" s="24"/>
      <c r="K740" s="31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93" t="s">
        <v>631</v>
      </c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 t="s">
        <v>631</v>
      </c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95"/>
      <c r="DX740" s="90"/>
      <c r="DY740" s="21"/>
      <c r="DZ740" s="21"/>
    </row>
    <row r="741" spans="1:130" hidden="1" outlineLevel="1" x14ac:dyDescent="0.3">
      <c r="A741" s="4"/>
      <c r="B741" s="4"/>
      <c r="C741" s="4" t="s">
        <v>1193</v>
      </c>
      <c r="D741" s="4"/>
      <c r="E741" s="12"/>
      <c r="F741" s="34"/>
      <c r="G741" s="28"/>
      <c r="H741" s="28"/>
      <c r="I741" s="26"/>
      <c r="J741" s="24"/>
      <c r="K741" s="31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93"/>
      <c r="AX741" s="76" t="s">
        <v>631</v>
      </c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 t="s">
        <v>631</v>
      </c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95"/>
      <c r="DX741" s="90"/>
      <c r="DY741" s="21"/>
      <c r="DZ741" s="21"/>
    </row>
    <row r="742" spans="1:130" hidden="1" outlineLevel="1" x14ac:dyDescent="0.3">
      <c r="A742" s="4"/>
      <c r="B742" s="4"/>
      <c r="C742" s="4" t="s">
        <v>1194</v>
      </c>
      <c r="D742" s="4"/>
      <c r="E742" s="12"/>
      <c r="F742" s="34"/>
      <c r="G742" s="28"/>
      <c r="H742" s="28"/>
      <c r="I742" s="26"/>
      <c r="J742" s="24"/>
      <c r="K742" s="31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93" t="s">
        <v>631</v>
      </c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 t="s">
        <v>631</v>
      </c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95"/>
      <c r="DX742" s="90"/>
      <c r="DY742" s="21"/>
      <c r="DZ742" s="21"/>
    </row>
    <row r="743" spans="1:130" hidden="1" outlineLevel="1" x14ac:dyDescent="0.3">
      <c r="A743" s="4"/>
      <c r="B743" s="4"/>
      <c r="C743" s="4" t="s">
        <v>1195</v>
      </c>
      <c r="D743" s="4"/>
      <c r="E743" s="12"/>
      <c r="F743" s="34"/>
      <c r="G743" s="28"/>
      <c r="H743" s="28"/>
      <c r="I743" s="26"/>
      <c r="J743" s="24"/>
      <c r="K743" s="31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93" t="s">
        <v>631</v>
      </c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 t="s">
        <v>631</v>
      </c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95"/>
      <c r="DX743" s="90"/>
      <c r="DY743" s="21"/>
      <c r="DZ743" s="21"/>
    </row>
    <row r="744" spans="1:130" hidden="1" outlineLevel="1" x14ac:dyDescent="0.3">
      <c r="A744" s="4"/>
      <c r="B744" s="4"/>
      <c r="C744" s="4" t="s">
        <v>1196</v>
      </c>
      <c r="D744" s="4"/>
      <c r="E744" s="12"/>
      <c r="F744" s="34"/>
      <c r="G744" s="28"/>
      <c r="H744" s="28"/>
      <c r="I744" s="26"/>
      <c r="J744" s="24"/>
      <c r="K744" s="31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93" t="s">
        <v>631</v>
      </c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 t="s">
        <v>631</v>
      </c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95"/>
      <c r="DX744" s="90"/>
      <c r="DY744" s="21"/>
      <c r="DZ744" s="21"/>
    </row>
    <row r="745" spans="1:130" hidden="1" outlineLevel="1" x14ac:dyDescent="0.3">
      <c r="A745" s="4"/>
      <c r="B745" s="4"/>
      <c r="C745" s="4" t="s">
        <v>1197</v>
      </c>
      <c r="D745" s="4"/>
      <c r="E745" s="12"/>
      <c r="F745" s="34"/>
      <c r="G745" s="28"/>
      <c r="H745" s="28"/>
      <c r="I745" s="26"/>
      <c r="J745" s="24"/>
      <c r="K745" s="31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93" t="s">
        <v>631</v>
      </c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 t="s">
        <v>631</v>
      </c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95"/>
      <c r="DX745" s="90"/>
      <c r="DY745" s="21"/>
      <c r="DZ745" s="21"/>
    </row>
    <row r="746" spans="1:130" hidden="1" outlineLevel="1" x14ac:dyDescent="0.3">
      <c r="A746" s="4"/>
      <c r="B746" s="4"/>
      <c r="C746" s="4" t="s">
        <v>1198</v>
      </c>
      <c r="D746" s="4"/>
      <c r="E746" s="12"/>
      <c r="F746" s="34"/>
      <c r="G746" s="28"/>
      <c r="H746" s="28"/>
      <c r="I746" s="26"/>
      <c r="J746" s="24"/>
      <c r="K746" s="31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93" t="s">
        <v>631</v>
      </c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 t="s">
        <v>631</v>
      </c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95"/>
      <c r="DX746" s="90"/>
      <c r="DY746" s="21"/>
      <c r="DZ746" s="21"/>
    </row>
    <row r="747" spans="1:130" hidden="1" outlineLevel="1" x14ac:dyDescent="0.3">
      <c r="A747" s="4"/>
      <c r="B747" s="4"/>
      <c r="C747" s="4" t="s">
        <v>1199</v>
      </c>
      <c r="D747" s="4"/>
      <c r="E747" s="12"/>
      <c r="F747" s="34"/>
      <c r="G747" s="28"/>
      <c r="H747" s="28"/>
      <c r="I747" s="26"/>
      <c r="J747" s="24"/>
      <c r="K747" s="31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93" t="s">
        <v>631</v>
      </c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 t="s">
        <v>631</v>
      </c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95"/>
      <c r="DX747" s="90"/>
      <c r="DY747" s="21"/>
      <c r="DZ747" s="21"/>
    </row>
    <row r="748" spans="1:130" hidden="1" outlineLevel="1" x14ac:dyDescent="0.3">
      <c r="A748" s="4"/>
      <c r="B748" s="4"/>
      <c r="C748" s="4" t="s">
        <v>1200</v>
      </c>
      <c r="D748" s="4"/>
      <c r="E748" s="12"/>
      <c r="F748" s="34"/>
      <c r="G748" s="28"/>
      <c r="H748" s="28"/>
      <c r="I748" s="26"/>
      <c r="J748" s="24"/>
      <c r="K748" s="31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93"/>
      <c r="AX748" s="76" t="s">
        <v>631</v>
      </c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 t="s">
        <v>631</v>
      </c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95"/>
      <c r="DX748" s="90"/>
      <c r="DY748" s="21"/>
      <c r="DZ748" s="21"/>
    </row>
    <row r="749" spans="1:130" hidden="1" outlineLevel="1" x14ac:dyDescent="0.3">
      <c r="A749" s="4"/>
      <c r="B749" s="4"/>
      <c r="C749" s="4" t="s">
        <v>1201</v>
      </c>
      <c r="D749" s="4"/>
      <c r="E749" s="12"/>
      <c r="F749" s="34"/>
      <c r="G749" s="28"/>
      <c r="H749" s="28"/>
      <c r="I749" s="26"/>
      <c r="J749" s="24"/>
      <c r="K749" s="31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93"/>
      <c r="AX749" s="76"/>
      <c r="AY749" s="76" t="s">
        <v>631</v>
      </c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 t="s">
        <v>631</v>
      </c>
      <c r="BK749" s="76"/>
      <c r="BL749" s="76"/>
      <c r="BM749" s="76"/>
      <c r="BN749" s="76"/>
      <c r="BO749" s="76"/>
      <c r="BP749" s="76"/>
      <c r="BQ749" s="76"/>
      <c r="BR749" s="76" t="s">
        <v>631</v>
      </c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95"/>
      <c r="DX749" s="90"/>
      <c r="DY749" s="21"/>
      <c r="DZ749" s="21"/>
    </row>
    <row r="750" spans="1:130" hidden="1" outlineLevel="1" x14ac:dyDescent="0.3">
      <c r="A750" s="4"/>
      <c r="B750" s="4"/>
      <c r="C750" s="4" t="s">
        <v>1202</v>
      </c>
      <c r="D750" s="4"/>
      <c r="E750" s="12"/>
      <c r="F750" s="34"/>
      <c r="G750" s="28"/>
      <c r="H750" s="28"/>
      <c r="I750" s="26"/>
      <c r="J750" s="24"/>
      <c r="K750" s="31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93"/>
      <c r="AX750" s="76" t="s">
        <v>631</v>
      </c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 t="s">
        <v>631</v>
      </c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95"/>
      <c r="DX750" s="90"/>
      <c r="DY750" s="21"/>
      <c r="DZ750" s="21"/>
    </row>
    <row r="751" spans="1:130" hidden="1" outlineLevel="1" x14ac:dyDescent="0.3">
      <c r="A751" s="4"/>
      <c r="B751" s="4"/>
      <c r="C751" s="4" t="s">
        <v>1203</v>
      </c>
      <c r="D751" s="4"/>
      <c r="E751" s="12"/>
      <c r="F751" s="34"/>
      <c r="G751" s="28"/>
      <c r="H751" s="28"/>
      <c r="I751" s="26"/>
      <c r="J751" s="24"/>
      <c r="K751" s="31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93" t="s">
        <v>631</v>
      </c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 t="s">
        <v>631</v>
      </c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95"/>
      <c r="DX751" s="90"/>
      <c r="DY751" s="21"/>
      <c r="DZ751" s="21"/>
    </row>
    <row r="752" spans="1:130" hidden="1" outlineLevel="1" x14ac:dyDescent="0.3">
      <c r="A752" s="4"/>
      <c r="B752" s="4"/>
      <c r="C752" s="4" t="s">
        <v>1204</v>
      </c>
      <c r="D752" s="4"/>
      <c r="E752" s="12"/>
      <c r="F752" s="34"/>
      <c r="G752" s="28"/>
      <c r="H752" s="28"/>
      <c r="I752" s="26"/>
      <c r="J752" s="24"/>
      <c r="K752" s="31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93"/>
      <c r="AX752" s="76"/>
      <c r="AY752" s="76" t="s">
        <v>631</v>
      </c>
      <c r="AZ752" s="76"/>
      <c r="BA752" s="76" t="s">
        <v>631</v>
      </c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 t="s">
        <v>631</v>
      </c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95"/>
      <c r="DX752" s="90"/>
      <c r="DY752" s="21"/>
      <c r="DZ752" s="21"/>
    </row>
    <row r="753" spans="1:130" hidden="1" outlineLevel="1" x14ac:dyDescent="0.3">
      <c r="A753" s="4"/>
      <c r="B753" s="4"/>
      <c r="C753" s="4" t="s">
        <v>1205</v>
      </c>
      <c r="D753" s="4"/>
      <c r="E753" s="12"/>
      <c r="F753" s="34"/>
      <c r="G753" s="28"/>
      <c r="H753" s="28"/>
      <c r="I753" s="26"/>
      <c r="J753" s="24"/>
      <c r="K753" s="31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93" t="s">
        <v>631</v>
      </c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 t="s">
        <v>631</v>
      </c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95"/>
      <c r="DX753" s="90"/>
      <c r="DY753" s="21"/>
      <c r="DZ753" s="21"/>
    </row>
    <row r="754" spans="1:130" hidden="1" outlineLevel="1" x14ac:dyDescent="0.3">
      <c r="A754" s="4"/>
      <c r="B754" s="4"/>
      <c r="C754" s="4" t="s">
        <v>1206</v>
      </c>
      <c r="D754" s="4"/>
      <c r="E754" s="12"/>
      <c r="F754" s="34"/>
      <c r="G754" s="28"/>
      <c r="H754" s="28"/>
      <c r="I754" s="26"/>
      <c r="J754" s="24"/>
      <c r="K754" s="31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93" t="s">
        <v>631</v>
      </c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 t="s">
        <v>631</v>
      </c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95"/>
      <c r="DX754" s="90"/>
      <c r="DY754" s="21"/>
      <c r="DZ754" s="21"/>
    </row>
    <row r="755" spans="1:130" hidden="1" outlineLevel="1" x14ac:dyDescent="0.3">
      <c r="A755" s="4"/>
      <c r="B755" s="4"/>
      <c r="C755" s="4" t="s">
        <v>1207</v>
      </c>
      <c r="D755" s="4"/>
      <c r="E755" s="12"/>
      <c r="F755" s="34"/>
      <c r="G755" s="28"/>
      <c r="H755" s="28"/>
      <c r="I755" s="26"/>
      <c r="J755" s="24"/>
      <c r="K755" s="31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93"/>
      <c r="AX755" s="76" t="s">
        <v>631</v>
      </c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 t="s">
        <v>631</v>
      </c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95"/>
      <c r="DX755" s="90"/>
      <c r="DY755" s="21"/>
      <c r="DZ755" s="21"/>
    </row>
    <row r="756" spans="1:130" hidden="1" outlineLevel="1" x14ac:dyDescent="0.3">
      <c r="A756" s="4"/>
      <c r="B756" s="4"/>
      <c r="C756" s="4" t="s">
        <v>1208</v>
      </c>
      <c r="D756" s="4"/>
      <c r="E756" s="12"/>
      <c r="F756" s="34"/>
      <c r="G756" s="28"/>
      <c r="H756" s="28"/>
      <c r="I756" s="26"/>
      <c r="J756" s="24"/>
      <c r="K756" s="31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93" t="s">
        <v>631</v>
      </c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 t="s">
        <v>631</v>
      </c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95"/>
      <c r="DX756" s="90"/>
      <c r="DY756" s="21"/>
      <c r="DZ756" s="21"/>
    </row>
    <row r="757" spans="1:130" hidden="1" outlineLevel="1" x14ac:dyDescent="0.3">
      <c r="A757" s="4"/>
      <c r="B757" s="4"/>
      <c r="C757" s="4" t="s">
        <v>1209</v>
      </c>
      <c r="D757" s="4"/>
      <c r="E757" s="12"/>
      <c r="F757" s="34"/>
      <c r="G757" s="28"/>
      <c r="H757" s="28"/>
      <c r="I757" s="26"/>
      <c r="J757" s="24"/>
      <c r="K757" s="31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93" t="s">
        <v>631</v>
      </c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 t="s">
        <v>631</v>
      </c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95"/>
      <c r="DX757" s="90"/>
      <c r="DY757" s="21"/>
      <c r="DZ757" s="21"/>
    </row>
    <row r="758" spans="1:130" hidden="1" outlineLevel="1" x14ac:dyDescent="0.3">
      <c r="A758" s="4"/>
      <c r="B758" s="4"/>
      <c r="C758" s="4" t="s">
        <v>1210</v>
      </c>
      <c r="D758" s="4"/>
      <c r="E758" s="12"/>
      <c r="F758" s="34"/>
      <c r="G758" s="28"/>
      <c r="H758" s="28"/>
      <c r="I758" s="26"/>
      <c r="J758" s="24"/>
      <c r="K758" s="31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93"/>
      <c r="AX758" s="76"/>
      <c r="AY758" s="76" t="s">
        <v>631</v>
      </c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 t="s">
        <v>631</v>
      </c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95"/>
      <c r="DX758" s="90"/>
      <c r="DY758" s="21"/>
      <c r="DZ758" s="21"/>
    </row>
    <row r="759" spans="1:130" hidden="1" outlineLevel="1" x14ac:dyDescent="0.3">
      <c r="A759" s="4"/>
      <c r="B759" s="4"/>
      <c r="C759" s="4" t="s">
        <v>1211</v>
      </c>
      <c r="D759" s="4"/>
      <c r="E759" s="12"/>
      <c r="F759" s="34"/>
      <c r="G759" s="28"/>
      <c r="H759" s="28"/>
      <c r="I759" s="26"/>
      <c r="J759" s="24"/>
      <c r="K759" s="31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93" t="s">
        <v>631</v>
      </c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 t="s">
        <v>631</v>
      </c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95"/>
      <c r="DX759" s="90"/>
      <c r="DY759" s="21"/>
      <c r="DZ759" s="21"/>
    </row>
    <row r="760" spans="1:130" hidden="1" outlineLevel="1" x14ac:dyDescent="0.3">
      <c r="A760" s="4"/>
      <c r="B760" s="4"/>
      <c r="C760" s="4" t="s">
        <v>1212</v>
      </c>
      <c r="D760" s="4"/>
      <c r="E760" s="12"/>
      <c r="F760" s="34"/>
      <c r="G760" s="28"/>
      <c r="H760" s="28"/>
      <c r="I760" s="26"/>
      <c r="J760" s="24"/>
      <c r="K760" s="31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93" t="s">
        <v>631</v>
      </c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 t="s">
        <v>631</v>
      </c>
      <c r="BQ760" s="76"/>
      <c r="BR760" s="76"/>
      <c r="BS760" s="76"/>
      <c r="BT760" s="76" t="s">
        <v>631</v>
      </c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95"/>
      <c r="DX760" s="90"/>
      <c r="DY760" s="21"/>
      <c r="DZ760" s="21"/>
    </row>
    <row r="761" spans="1:130" hidden="1" outlineLevel="1" x14ac:dyDescent="0.3">
      <c r="A761" s="4"/>
      <c r="B761" s="4"/>
      <c r="C761" s="4" t="s">
        <v>1213</v>
      </c>
      <c r="D761" s="4"/>
      <c r="E761" s="12"/>
      <c r="F761" s="34"/>
      <c r="G761" s="28"/>
      <c r="H761" s="28"/>
      <c r="I761" s="26"/>
      <c r="J761" s="24"/>
      <c r="K761" s="31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93" t="s">
        <v>631</v>
      </c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 t="s">
        <v>631</v>
      </c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95"/>
      <c r="DX761" s="90"/>
      <c r="DY761" s="21"/>
      <c r="DZ761" s="21"/>
    </row>
    <row r="762" spans="1:130" hidden="1" outlineLevel="1" x14ac:dyDescent="0.3">
      <c r="A762" s="4"/>
      <c r="B762" s="4"/>
      <c r="C762" s="4" t="s">
        <v>1214</v>
      </c>
      <c r="D762" s="4"/>
      <c r="E762" s="12"/>
      <c r="F762" s="34"/>
      <c r="G762" s="28"/>
      <c r="H762" s="28"/>
      <c r="I762" s="26"/>
      <c r="J762" s="24"/>
      <c r="K762" s="31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93" t="s">
        <v>631</v>
      </c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 t="s">
        <v>631</v>
      </c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95"/>
      <c r="DX762" s="90"/>
      <c r="DY762" s="21"/>
      <c r="DZ762" s="21"/>
    </row>
    <row r="763" spans="1:130" hidden="1" outlineLevel="1" x14ac:dyDescent="0.3">
      <c r="A763" s="4"/>
      <c r="B763" s="4"/>
      <c r="C763" s="4" t="s">
        <v>1215</v>
      </c>
      <c r="D763" s="4"/>
      <c r="E763" s="12"/>
      <c r="F763" s="34"/>
      <c r="G763" s="28"/>
      <c r="H763" s="28"/>
      <c r="I763" s="26"/>
      <c r="J763" s="24"/>
      <c r="K763" s="31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93"/>
      <c r="AX763" s="76"/>
      <c r="AY763" s="76" t="s">
        <v>631</v>
      </c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 t="s">
        <v>631</v>
      </c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95"/>
      <c r="DX763" s="90"/>
      <c r="DY763" s="21"/>
      <c r="DZ763" s="21"/>
    </row>
    <row r="764" spans="1:130" hidden="1" outlineLevel="1" x14ac:dyDescent="0.3">
      <c r="A764" s="4"/>
      <c r="B764" s="4"/>
      <c r="C764" s="4" t="s">
        <v>1216</v>
      </c>
      <c r="D764" s="4"/>
      <c r="E764" s="12"/>
      <c r="F764" s="34"/>
      <c r="G764" s="28"/>
      <c r="H764" s="28"/>
      <c r="I764" s="26"/>
      <c r="J764" s="24"/>
      <c r="K764" s="31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93" t="s">
        <v>631</v>
      </c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 t="s">
        <v>631</v>
      </c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95"/>
      <c r="DX764" s="90"/>
      <c r="DY764" s="21"/>
      <c r="DZ764" s="21"/>
    </row>
    <row r="765" spans="1:130" hidden="1" outlineLevel="1" x14ac:dyDescent="0.3">
      <c r="A765" s="4"/>
      <c r="B765" s="4"/>
      <c r="C765" s="4" t="s">
        <v>1217</v>
      </c>
      <c r="D765" s="4"/>
      <c r="E765" s="12"/>
      <c r="F765" s="34"/>
      <c r="G765" s="28"/>
      <c r="H765" s="28"/>
      <c r="I765" s="26"/>
      <c r="J765" s="24"/>
      <c r="K765" s="31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93"/>
      <c r="AX765" s="76"/>
      <c r="AY765" s="76" t="s">
        <v>631</v>
      </c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 t="s">
        <v>631</v>
      </c>
      <c r="BK765" s="76"/>
      <c r="BL765" s="76"/>
      <c r="BM765" s="76"/>
      <c r="BN765" s="76"/>
      <c r="BO765" s="76"/>
      <c r="BP765" s="76" t="s">
        <v>631</v>
      </c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95"/>
      <c r="DX765" s="90"/>
      <c r="DY765" s="21"/>
      <c r="DZ765" s="21"/>
    </row>
    <row r="766" spans="1:130" hidden="1" outlineLevel="1" x14ac:dyDescent="0.3">
      <c r="A766" s="4"/>
      <c r="B766" s="4"/>
      <c r="C766" s="4" t="s">
        <v>1218</v>
      </c>
      <c r="D766" s="4"/>
      <c r="E766" s="12"/>
      <c r="F766" s="34"/>
      <c r="G766" s="28"/>
      <c r="H766" s="28"/>
      <c r="I766" s="26"/>
      <c r="J766" s="24"/>
      <c r="K766" s="31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93"/>
      <c r="AX766" s="76" t="s">
        <v>631</v>
      </c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95"/>
      <c r="DX766" s="90"/>
      <c r="DY766" s="21"/>
      <c r="DZ766" s="21"/>
    </row>
    <row r="767" spans="1:130" hidden="1" outlineLevel="1" x14ac:dyDescent="0.3">
      <c r="A767" s="4"/>
      <c r="B767" s="4"/>
      <c r="C767" s="4" t="s">
        <v>1219</v>
      </c>
      <c r="D767" s="4"/>
      <c r="E767" s="12"/>
      <c r="F767" s="34"/>
      <c r="G767" s="28"/>
      <c r="H767" s="28"/>
      <c r="I767" s="26"/>
      <c r="J767" s="24"/>
      <c r="K767" s="31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93"/>
      <c r="AX767" s="76" t="s">
        <v>631</v>
      </c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 t="s">
        <v>631</v>
      </c>
      <c r="BQ767" s="76"/>
      <c r="BR767" s="76"/>
      <c r="BS767" s="76"/>
      <c r="BT767" s="76"/>
      <c r="BU767" s="76"/>
      <c r="BV767" s="76" t="s">
        <v>631</v>
      </c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95"/>
      <c r="DX767" s="90"/>
      <c r="DY767" s="21"/>
      <c r="DZ767" s="21"/>
    </row>
    <row r="768" spans="1:130" hidden="1" outlineLevel="1" x14ac:dyDescent="0.3">
      <c r="A768" s="4"/>
      <c r="B768" s="4"/>
      <c r="C768" s="4" t="s">
        <v>1220</v>
      </c>
      <c r="D768" s="4"/>
      <c r="E768" s="12"/>
      <c r="F768" s="34"/>
      <c r="G768" s="28"/>
      <c r="H768" s="28"/>
      <c r="I768" s="26"/>
      <c r="J768" s="24"/>
      <c r="K768" s="31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93" t="s">
        <v>631</v>
      </c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 t="s">
        <v>631</v>
      </c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95"/>
      <c r="DX768" s="90"/>
      <c r="DY768" s="21"/>
      <c r="DZ768" s="21"/>
    </row>
    <row r="769" spans="1:130" hidden="1" outlineLevel="1" x14ac:dyDescent="0.3">
      <c r="A769" s="4"/>
      <c r="B769" s="4"/>
      <c r="C769" s="4" t="s">
        <v>1221</v>
      </c>
      <c r="D769" s="4"/>
      <c r="E769" s="12"/>
      <c r="F769" s="34"/>
      <c r="G769" s="28"/>
      <c r="H769" s="28"/>
      <c r="I769" s="26"/>
      <c r="J769" s="24"/>
      <c r="K769" s="31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93"/>
      <c r="AX769" s="76"/>
      <c r="AY769" s="76" t="s">
        <v>631</v>
      </c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 t="s">
        <v>631</v>
      </c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95"/>
      <c r="DX769" s="90"/>
      <c r="DY769" s="21"/>
      <c r="DZ769" s="21"/>
    </row>
    <row r="770" spans="1:130" hidden="1" outlineLevel="1" x14ac:dyDescent="0.3">
      <c r="A770" s="4"/>
      <c r="B770" s="4"/>
      <c r="C770" s="4" t="s">
        <v>1222</v>
      </c>
      <c r="D770" s="4"/>
      <c r="E770" s="12"/>
      <c r="F770" s="34"/>
      <c r="G770" s="28"/>
      <c r="H770" s="28"/>
      <c r="I770" s="26"/>
      <c r="J770" s="24"/>
      <c r="K770" s="31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93"/>
      <c r="AX770" s="76" t="s">
        <v>631</v>
      </c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95"/>
      <c r="DX770" s="90"/>
      <c r="DY770" s="21"/>
      <c r="DZ770" s="21"/>
    </row>
    <row r="771" spans="1:130" hidden="1" outlineLevel="1" x14ac:dyDescent="0.3">
      <c r="A771" s="4"/>
      <c r="B771" s="4"/>
      <c r="C771" s="4" t="s">
        <v>1223</v>
      </c>
      <c r="D771" s="4"/>
      <c r="E771" s="12"/>
      <c r="F771" s="34"/>
      <c r="G771" s="28"/>
      <c r="H771" s="28"/>
      <c r="I771" s="26"/>
      <c r="J771" s="24"/>
      <c r="K771" s="31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93"/>
      <c r="AX771" s="76" t="s">
        <v>631</v>
      </c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95"/>
      <c r="DX771" s="90"/>
      <c r="DY771" s="21"/>
      <c r="DZ771" s="21"/>
    </row>
    <row r="772" spans="1:130" hidden="1" outlineLevel="1" x14ac:dyDescent="0.3">
      <c r="A772" s="4"/>
      <c r="B772" s="4"/>
      <c r="C772" s="4" t="s">
        <v>1224</v>
      </c>
      <c r="D772" s="4"/>
      <c r="E772" s="12"/>
      <c r="F772" s="34"/>
      <c r="G772" s="28"/>
      <c r="H772" s="28"/>
      <c r="I772" s="26"/>
      <c r="J772" s="24"/>
      <c r="K772" s="31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93"/>
      <c r="AX772" s="76" t="s">
        <v>631</v>
      </c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 t="s">
        <v>631</v>
      </c>
      <c r="BQ772" s="76"/>
      <c r="BR772" s="76" t="s">
        <v>631</v>
      </c>
      <c r="BS772" s="76"/>
      <c r="BT772" s="76"/>
      <c r="BU772" s="76"/>
      <c r="BV772" s="76" t="s">
        <v>631</v>
      </c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95"/>
      <c r="DX772" s="90"/>
      <c r="DY772" s="21"/>
      <c r="DZ772" s="21"/>
    </row>
    <row r="773" spans="1:130" hidden="1" outlineLevel="1" x14ac:dyDescent="0.3">
      <c r="A773" s="4"/>
      <c r="B773" s="4"/>
      <c r="C773" s="4" t="s">
        <v>1225</v>
      </c>
      <c r="D773" s="4"/>
      <c r="E773" s="12"/>
      <c r="F773" s="34"/>
      <c r="G773" s="28"/>
      <c r="H773" s="28"/>
      <c r="I773" s="26"/>
      <c r="J773" s="24"/>
      <c r="K773" s="31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93"/>
      <c r="AX773" s="76" t="s">
        <v>631</v>
      </c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95"/>
      <c r="DX773" s="90"/>
      <c r="DY773" s="21"/>
      <c r="DZ773" s="21"/>
    </row>
    <row r="774" spans="1:130" hidden="1" outlineLevel="1" x14ac:dyDescent="0.3">
      <c r="A774" s="4"/>
      <c r="B774" s="4"/>
      <c r="C774" s="4" t="s">
        <v>1226</v>
      </c>
      <c r="D774" s="4"/>
      <c r="E774" s="12"/>
      <c r="F774" s="34"/>
      <c r="G774" s="28"/>
      <c r="H774" s="28"/>
      <c r="I774" s="26"/>
      <c r="J774" s="24"/>
      <c r="K774" s="31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93"/>
      <c r="AX774" s="76" t="s">
        <v>631</v>
      </c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 t="s">
        <v>631</v>
      </c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95"/>
      <c r="DX774" s="90"/>
      <c r="DY774" s="21"/>
      <c r="DZ774" s="21"/>
    </row>
    <row r="775" spans="1:130" hidden="1" outlineLevel="1" x14ac:dyDescent="0.3">
      <c r="A775" s="4"/>
      <c r="B775" s="4"/>
      <c r="C775" s="4" t="s">
        <v>1227</v>
      </c>
      <c r="D775" s="4"/>
      <c r="E775" s="12"/>
      <c r="F775" s="34"/>
      <c r="G775" s="28"/>
      <c r="H775" s="28"/>
      <c r="I775" s="26"/>
      <c r="J775" s="24"/>
      <c r="K775" s="31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93"/>
      <c r="AX775" s="76"/>
      <c r="AY775" s="76" t="s">
        <v>631</v>
      </c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 t="s">
        <v>631</v>
      </c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95"/>
      <c r="DX775" s="90"/>
      <c r="DY775" s="21"/>
      <c r="DZ775" s="21"/>
    </row>
    <row r="776" spans="1:130" hidden="1" outlineLevel="1" x14ac:dyDescent="0.3">
      <c r="A776" s="4"/>
      <c r="B776" s="4"/>
      <c r="C776" s="4" t="s">
        <v>866</v>
      </c>
      <c r="D776" s="4"/>
      <c r="E776" s="12"/>
      <c r="F776" s="34"/>
      <c r="G776" s="28"/>
      <c r="H776" s="28"/>
      <c r="I776" s="26"/>
      <c r="J776" s="24"/>
      <c r="K776" s="31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93"/>
      <c r="AX776" s="76"/>
      <c r="AY776" s="76"/>
      <c r="AZ776" s="76"/>
      <c r="BA776" s="76" t="s">
        <v>631</v>
      </c>
      <c r="BB776" s="76"/>
      <c r="BC776" s="76"/>
      <c r="BD776" s="76"/>
      <c r="BE776" s="76"/>
      <c r="BF776" s="76"/>
      <c r="BG776" s="76" t="s">
        <v>631</v>
      </c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95"/>
      <c r="DX776" s="90"/>
      <c r="DY776" s="21"/>
      <c r="DZ776" s="21"/>
    </row>
    <row r="777" spans="1:130" hidden="1" outlineLevel="1" x14ac:dyDescent="0.3">
      <c r="A777" s="4"/>
      <c r="B777" s="4"/>
      <c r="C777" s="4" t="s">
        <v>867</v>
      </c>
      <c r="D777" s="4"/>
      <c r="E777" s="12"/>
      <c r="F777" s="34"/>
      <c r="G777" s="28"/>
      <c r="H777" s="28"/>
      <c r="I777" s="26"/>
      <c r="J777" s="24"/>
      <c r="K777" s="31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93"/>
      <c r="AX777" s="76"/>
      <c r="AY777" s="76"/>
      <c r="AZ777" s="76"/>
      <c r="BA777" s="76" t="s">
        <v>631</v>
      </c>
      <c r="BB777" s="76" t="s">
        <v>631</v>
      </c>
      <c r="BC777" s="76"/>
      <c r="BD777" s="76"/>
      <c r="BE777" s="76"/>
      <c r="BF777" s="76"/>
      <c r="BG777" s="76" t="s">
        <v>631</v>
      </c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95"/>
      <c r="DX777" s="90"/>
      <c r="DY777" s="21"/>
      <c r="DZ777" s="21"/>
    </row>
    <row r="778" spans="1:130" hidden="1" outlineLevel="1" x14ac:dyDescent="0.3">
      <c r="A778" s="4"/>
      <c r="B778" s="4"/>
      <c r="C778" s="4" t="s">
        <v>868</v>
      </c>
      <c r="D778" s="4"/>
      <c r="E778" s="12"/>
      <c r="F778" s="34"/>
      <c r="G778" s="28"/>
      <c r="H778" s="28"/>
      <c r="I778" s="26"/>
      <c r="J778" s="24"/>
      <c r="K778" s="31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93"/>
      <c r="AX778" s="76" t="s">
        <v>631</v>
      </c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95"/>
      <c r="DX778" s="90"/>
      <c r="DY778" s="21"/>
      <c r="DZ778" s="21"/>
    </row>
    <row r="779" spans="1:130" hidden="1" outlineLevel="1" x14ac:dyDescent="0.3">
      <c r="A779" s="4"/>
      <c r="B779" s="4"/>
      <c r="C779" s="4" t="s">
        <v>869</v>
      </c>
      <c r="D779" s="4"/>
      <c r="E779" s="12"/>
      <c r="F779" s="34"/>
      <c r="G779" s="28"/>
      <c r="H779" s="28"/>
      <c r="I779" s="26"/>
      <c r="J779" s="24"/>
      <c r="K779" s="31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93" t="s">
        <v>631</v>
      </c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 t="s">
        <v>631</v>
      </c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95"/>
      <c r="DX779" s="90"/>
      <c r="DY779" s="21"/>
      <c r="DZ779" s="21"/>
    </row>
    <row r="780" spans="1:130" hidden="1" outlineLevel="1" x14ac:dyDescent="0.3">
      <c r="A780" s="4"/>
      <c r="B780" s="4"/>
      <c r="C780" s="4" t="s">
        <v>1228</v>
      </c>
      <c r="D780" s="4"/>
      <c r="E780" s="12"/>
      <c r="F780" s="34"/>
      <c r="G780" s="28"/>
      <c r="H780" s="28"/>
      <c r="I780" s="26"/>
      <c r="J780" s="24"/>
      <c r="K780" s="31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93"/>
      <c r="AX780" s="76"/>
      <c r="AY780" s="76" t="s">
        <v>631</v>
      </c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 t="s">
        <v>631</v>
      </c>
      <c r="BQ780" s="76"/>
      <c r="BR780" s="76" t="s">
        <v>631</v>
      </c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95"/>
      <c r="DX780" s="90"/>
      <c r="DY780" s="21"/>
      <c r="DZ780" s="21"/>
    </row>
    <row r="781" spans="1:130" hidden="1" outlineLevel="1" x14ac:dyDescent="0.3">
      <c r="A781" s="4"/>
      <c r="B781" s="4"/>
      <c r="C781" s="4" t="s">
        <v>981</v>
      </c>
      <c r="D781" s="4"/>
      <c r="E781" s="12"/>
      <c r="F781" s="34"/>
      <c r="G781" s="28"/>
      <c r="H781" s="28"/>
      <c r="I781" s="26"/>
      <c r="J781" s="24"/>
      <c r="K781" s="31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93" t="s">
        <v>631</v>
      </c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 t="s">
        <v>631</v>
      </c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95"/>
      <c r="DX781" s="90"/>
      <c r="DY781" s="21"/>
      <c r="DZ781" s="21"/>
    </row>
    <row r="782" spans="1:130" hidden="1" outlineLevel="1" x14ac:dyDescent="0.3">
      <c r="A782" s="4"/>
      <c r="B782" s="4"/>
      <c r="C782" s="4" t="s">
        <v>1121</v>
      </c>
      <c r="D782" s="4"/>
      <c r="E782" s="12"/>
      <c r="F782" s="34"/>
      <c r="G782" s="28"/>
      <c r="H782" s="28"/>
      <c r="I782" s="26"/>
      <c r="J782" s="24"/>
      <c r="K782" s="31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93" t="s">
        <v>631</v>
      </c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 t="s">
        <v>631</v>
      </c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95"/>
      <c r="DX782" s="90"/>
      <c r="DY782" s="21"/>
      <c r="DZ782" s="21"/>
    </row>
    <row r="783" spans="1:130" hidden="1" outlineLevel="1" x14ac:dyDescent="0.3">
      <c r="A783" s="4"/>
      <c r="B783" s="4"/>
      <c r="C783" s="4" t="s">
        <v>1122</v>
      </c>
      <c r="D783" s="4"/>
      <c r="E783" s="12"/>
      <c r="F783" s="34"/>
      <c r="G783" s="28"/>
      <c r="H783" s="28"/>
      <c r="I783" s="26"/>
      <c r="J783" s="24"/>
      <c r="K783" s="31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93" t="s">
        <v>631</v>
      </c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 t="s">
        <v>631</v>
      </c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95"/>
      <c r="DX783" s="90"/>
      <c r="DY783" s="21"/>
      <c r="DZ783" s="21"/>
    </row>
    <row r="784" spans="1:130" hidden="1" outlineLevel="1" x14ac:dyDescent="0.3">
      <c r="A784" s="4"/>
      <c r="B784" s="4"/>
      <c r="C784" s="4" t="s">
        <v>1229</v>
      </c>
      <c r="D784" s="4"/>
      <c r="E784" s="12"/>
      <c r="F784" s="34"/>
      <c r="G784" s="28"/>
      <c r="H784" s="28"/>
      <c r="I784" s="26"/>
      <c r="J784" s="24"/>
      <c r="K784" s="31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93" t="s">
        <v>631</v>
      </c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 t="s">
        <v>631</v>
      </c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95"/>
      <c r="DX784" s="90"/>
      <c r="DY784" s="21"/>
      <c r="DZ784" s="21"/>
    </row>
    <row r="785" spans="1:130" hidden="1" outlineLevel="1" x14ac:dyDescent="0.3">
      <c r="A785" s="4"/>
      <c r="B785" s="4"/>
      <c r="C785" s="4" t="s">
        <v>1230</v>
      </c>
      <c r="D785" s="4"/>
      <c r="E785" s="12"/>
      <c r="F785" s="34"/>
      <c r="G785" s="28"/>
      <c r="H785" s="28"/>
      <c r="I785" s="26"/>
      <c r="J785" s="24"/>
      <c r="K785" s="31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93"/>
      <c r="AX785" s="76"/>
      <c r="AY785" s="76" t="s">
        <v>631</v>
      </c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 t="s">
        <v>631</v>
      </c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95"/>
      <c r="DX785" s="90"/>
      <c r="DY785" s="21"/>
      <c r="DZ785" s="21"/>
    </row>
    <row r="786" spans="1:130" hidden="1" outlineLevel="1" x14ac:dyDescent="0.3">
      <c r="A786" s="4"/>
      <c r="B786" s="4"/>
      <c r="C786" s="4" t="s">
        <v>1231</v>
      </c>
      <c r="D786" s="4"/>
      <c r="E786" s="12"/>
      <c r="F786" s="34"/>
      <c r="G786" s="28"/>
      <c r="H786" s="28"/>
      <c r="I786" s="26"/>
      <c r="J786" s="24"/>
      <c r="K786" s="31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93" t="s">
        <v>631</v>
      </c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 t="s">
        <v>631</v>
      </c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95"/>
      <c r="DX786" s="90"/>
      <c r="DY786" s="21"/>
      <c r="DZ786" s="21"/>
    </row>
    <row r="787" spans="1:130" hidden="1" outlineLevel="1" x14ac:dyDescent="0.3">
      <c r="A787" s="4"/>
      <c r="B787" s="4"/>
      <c r="C787" s="4" t="s">
        <v>1232</v>
      </c>
      <c r="D787" s="4"/>
      <c r="E787" s="12"/>
      <c r="F787" s="34"/>
      <c r="G787" s="28"/>
      <c r="H787" s="28"/>
      <c r="I787" s="26"/>
      <c r="J787" s="24"/>
      <c r="K787" s="31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93" t="s">
        <v>631</v>
      </c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 t="s">
        <v>631</v>
      </c>
      <c r="BQ787" s="76"/>
      <c r="BR787" s="76"/>
      <c r="BS787" s="76"/>
      <c r="BT787" s="76" t="s">
        <v>631</v>
      </c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95"/>
      <c r="DX787" s="90"/>
      <c r="DY787" s="21"/>
      <c r="DZ787" s="21"/>
    </row>
    <row r="788" spans="1:130" hidden="1" outlineLevel="1" x14ac:dyDescent="0.3">
      <c r="A788" s="4"/>
      <c r="B788" s="4"/>
      <c r="C788" s="4" t="s">
        <v>1233</v>
      </c>
      <c r="D788" s="4"/>
      <c r="E788" s="12"/>
      <c r="F788" s="34"/>
      <c r="G788" s="28"/>
      <c r="H788" s="28"/>
      <c r="I788" s="26"/>
      <c r="J788" s="24"/>
      <c r="K788" s="31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93" t="s">
        <v>631</v>
      </c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 t="s">
        <v>631</v>
      </c>
      <c r="BK788" s="76"/>
      <c r="BL788" s="76"/>
      <c r="BM788" s="76"/>
      <c r="BN788" s="76"/>
      <c r="BO788" s="76"/>
      <c r="BP788" s="76" t="s">
        <v>631</v>
      </c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95"/>
      <c r="DX788" s="90"/>
      <c r="DY788" s="21"/>
      <c r="DZ788" s="21"/>
    </row>
    <row r="789" spans="1:130" hidden="1" outlineLevel="1" x14ac:dyDescent="0.3">
      <c r="A789" s="4"/>
      <c r="B789" s="4"/>
      <c r="C789" s="4" t="s">
        <v>1234</v>
      </c>
      <c r="D789" s="4"/>
      <c r="E789" s="12"/>
      <c r="F789" s="34"/>
      <c r="G789" s="28"/>
      <c r="H789" s="28"/>
      <c r="I789" s="26"/>
      <c r="J789" s="24"/>
      <c r="K789" s="31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93"/>
      <c r="AX789" s="76" t="s">
        <v>631</v>
      </c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 t="s">
        <v>631</v>
      </c>
      <c r="BQ789" s="76"/>
      <c r="BR789" s="76"/>
      <c r="BS789" s="76"/>
      <c r="BT789" s="76"/>
      <c r="BU789" s="76"/>
      <c r="BV789" s="76" t="s">
        <v>631</v>
      </c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95"/>
      <c r="DX789" s="90"/>
      <c r="DY789" s="21"/>
      <c r="DZ789" s="21"/>
    </row>
    <row r="790" spans="1:130" x14ac:dyDescent="0.3">
      <c r="A790" s="4" t="s">
        <v>126</v>
      </c>
      <c r="B790" s="4" t="s">
        <v>388</v>
      </c>
      <c r="C790" s="91" t="s">
        <v>389</v>
      </c>
      <c r="D790" s="4" t="s">
        <v>390</v>
      </c>
      <c r="E790" s="12">
        <v>7.55</v>
      </c>
      <c r="F790" s="34">
        <f t="shared" si="9"/>
        <v>89112.65</v>
      </c>
      <c r="G790" s="28">
        <f t="shared" si="7"/>
        <v>11803</v>
      </c>
      <c r="H790" s="28">
        <f t="shared" si="10"/>
        <v>984</v>
      </c>
      <c r="I790" s="26">
        <f t="shared" si="11"/>
        <v>9633.7999999999993</v>
      </c>
      <c r="J790" s="24">
        <f t="shared" si="12"/>
        <v>1276</v>
      </c>
      <c r="K790" s="31">
        <f t="shared" si="13"/>
        <v>256</v>
      </c>
      <c r="L790" s="9">
        <v>0</v>
      </c>
      <c r="M790" s="9">
        <v>1500</v>
      </c>
      <c r="N790" s="9">
        <v>2000</v>
      </c>
      <c r="O790" s="9">
        <v>282</v>
      </c>
      <c r="P790" s="9">
        <v>2171</v>
      </c>
      <c r="Q790" s="9">
        <v>2171</v>
      </c>
      <c r="R790" s="9">
        <v>2171</v>
      </c>
      <c r="S790" s="9">
        <v>290</v>
      </c>
      <c r="T790" s="9">
        <v>232</v>
      </c>
      <c r="U790" s="9">
        <v>232</v>
      </c>
      <c r="V790" s="9">
        <v>290</v>
      </c>
      <c r="W790" s="9">
        <v>232</v>
      </c>
      <c r="X790" s="9">
        <v>232</v>
      </c>
      <c r="Y790" s="9">
        <v>290</v>
      </c>
      <c r="Z790" s="9">
        <v>232</v>
      </c>
      <c r="AA790" s="9">
        <v>232</v>
      </c>
      <c r="AB790" s="9">
        <v>290</v>
      </c>
      <c r="AC790" s="9">
        <v>232</v>
      </c>
      <c r="AE790" s="6">
        <v>0</v>
      </c>
      <c r="AF790" s="6">
        <v>8655</v>
      </c>
      <c r="AG790" s="6">
        <v>11465</v>
      </c>
      <c r="AH790" s="6">
        <v>1629.96</v>
      </c>
      <c r="AI790" s="6">
        <v>12418.119999999999</v>
      </c>
      <c r="AJ790" s="6">
        <v>12548.380000000001</v>
      </c>
      <c r="AK790" s="6">
        <v>12548.380000000001</v>
      </c>
      <c r="AL790" s="6">
        <v>1676.2</v>
      </c>
      <c r="AM790" s="6">
        <v>1338.6399999999999</v>
      </c>
      <c r="AN790" s="6">
        <v>1338.6399999999999</v>
      </c>
      <c r="AO790" s="6">
        <v>1673.3</v>
      </c>
      <c r="AP790" s="6">
        <v>1338.6399999999999</v>
      </c>
      <c r="AQ790" s="6">
        <v>1338.6399999999999</v>
      </c>
      <c r="AR790" s="6">
        <v>1673.3</v>
      </c>
      <c r="AS790" s="6">
        <v>1338.6399999999999</v>
      </c>
      <c r="AT790" s="6">
        <v>1338.6399999999999</v>
      </c>
      <c r="AU790" s="6">
        <v>1673.3</v>
      </c>
      <c r="AV790" s="6">
        <v>1338.6399999999999</v>
      </c>
      <c r="AW790" s="93"/>
      <c r="AX790" s="76"/>
      <c r="AY790" s="76"/>
      <c r="AZ790" s="76"/>
      <c r="BA790" s="76"/>
      <c r="BB790" s="76" t="s">
        <v>631</v>
      </c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 t="s">
        <v>631</v>
      </c>
      <c r="BP790" s="76" t="s">
        <v>631</v>
      </c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 t="s">
        <v>631</v>
      </c>
      <c r="DH790" s="96" t="s">
        <v>631</v>
      </c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95"/>
      <c r="DX790" s="90">
        <f t="shared" si="8"/>
        <v>5</v>
      </c>
      <c r="DY790" s="21"/>
      <c r="DZ790" s="21"/>
    </row>
    <row r="791" spans="1:130" x14ac:dyDescent="0.3">
      <c r="A791" s="4" t="s">
        <v>126</v>
      </c>
      <c r="B791" s="4" t="s">
        <v>388</v>
      </c>
      <c r="C791" s="91" t="s">
        <v>393</v>
      </c>
      <c r="D791" s="4" t="s">
        <v>394</v>
      </c>
      <c r="E791" s="12">
        <v>34.869999999999997</v>
      </c>
      <c r="F791" s="34">
        <f t="shared" si="9"/>
        <v>86965.78</v>
      </c>
      <c r="G791" s="28">
        <f t="shared" si="7"/>
        <v>2494</v>
      </c>
      <c r="H791" s="28">
        <f t="shared" si="10"/>
        <v>208</v>
      </c>
      <c r="I791" s="26">
        <f t="shared" si="11"/>
        <v>44494.119999999995</v>
      </c>
      <c r="J791" s="24">
        <f t="shared" si="12"/>
        <v>1276</v>
      </c>
      <c r="K791" s="31">
        <f t="shared" si="13"/>
        <v>256</v>
      </c>
      <c r="L791" s="9">
        <v>40</v>
      </c>
      <c r="M791" s="9">
        <v>0</v>
      </c>
      <c r="N791" s="9">
        <v>0</v>
      </c>
      <c r="O791" s="9">
        <v>232</v>
      </c>
      <c r="P791" s="9">
        <v>232</v>
      </c>
      <c r="Q791" s="9">
        <v>290</v>
      </c>
      <c r="R791" s="9">
        <v>232</v>
      </c>
      <c r="S791" s="9">
        <v>290</v>
      </c>
      <c r="T791" s="9">
        <v>232</v>
      </c>
      <c r="U791" s="9">
        <v>232</v>
      </c>
      <c r="V791" s="9">
        <v>290</v>
      </c>
      <c r="W791" s="9">
        <v>232</v>
      </c>
      <c r="X791" s="9">
        <v>232</v>
      </c>
      <c r="Y791" s="9">
        <v>290</v>
      </c>
      <c r="Z791" s="9">
        <v>232</v>
      </c>
      <c r="AA791" s="9">
        <v>232</v>
      </c>
      <c r="AB791" s="9">
        <v>290</v>
      </c>
      <c r="AC791" s="9">
        <v>232</v>
      </c>
      <c r="AE791" s="6">
        <v>1334.8</v>
      </c>
      <c r="AF791" s="6">
        <v>0</v>
      </c>
      <c r="AG791" s="6">
        <v>0</v>
      </c>
      <c r="AH791" s="6">
        <v>7818.4000000000005</v>
      </c>
      <c r="AI791" s="6">
        <v>7818.4000000000005</v>
      </c>
      <c r="AJ791" s="6">
        <v>9773</v>
      </c>
      <c r="AK791" s="6">
        <v>7818.4000000000005</v>
      </c>
      <c r="AL791" s="6">
        <v>9677.2999999999993</v>
      </c>
      <c r="AM791" s="6">
        <v>7741.8399999999992</v>
      </c>
      <c r="AN791" s="6">
        <v>7741.8399999999992</v>
      </c>
      <c r="AO791" s="6">
        <v>9677.2999999999993</v>
      </c>
      <c r="AP791" s="6">
        <v>7741.8399999999992</v>
      </c>
      <c r="AQ791" s="6">
        <v>7741.8399999999992</v>
      </c>
      <c r="AR791" s="6">
        <v>9677.2999999999993</v>
      </c>
      <c r="AS791" s="6">
        <v>7741.8399999999992</v>
      </c>
      <c r="AT791" s="6">
        <v>7741.8399999999992</v>
      </c>
      <c r="AU791" s="6">
        <v>9677.2999999999993</v>
      </c>
      <c r="AV791" s="6">
        <v>7741.8399999999992</v>
      </c>
      <c r="AW791" s="93" t="s">
        <v>631</v>
      </c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 t="s">
        <v>631</v>
      </c>
      <c r="BP791" s="76" t="s">
        <v>631</v>
      </c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 t="s">
        <v>631</v>
      </c>
      <c r="DH791" s="96" t="s">
        <v>631</v>
      </c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95"/>
      <c r="DX791" s="90">
        <f t="shared" si="8"/>
        <v>5</v>
      </c>
      <c r="DY791" s="21"/>
      <c r="DZ791" s="21"/>
    </row>
    <row r="792" spans="1:130" x14ac:dyDescent="0.3">
      <c r="A792" s="4" t="s">
        <v>126</v>
      </c>
      <c r="B792" s="4" t="s">
        <v>388</v>
      </c>
      <c r="C792" s="91" t="s">
        <v>395</v>
      </c>
      <c r="D792" s="4" t="s">
        <v>246</v>
      </c>
      <c r="E792" s="12">
        <v>3.2</v>
      </c>
      <c r="F792" s="34">
        <f t="shared" si="9"/>
        <v>5740.8</v>
      </c>
      <c r="G792" s="28">
        <f t="shared" si="7"/>
        <v>1794</v>
      </c>
      <c r="H792" s="28">
        <f t="shared" si="10"/>
        <v>150</v>
      </c>
      <c r="I792" s="26">
        <f t="shared" si="11"/>
        <v>3238.4</v>
      </c>
      <c r="J792" s="24">
        <f t="shared" si="12"/>
        <v>1012</v>
      </c>
      <c r="K792" s="31">
        <f t="shared" si="13"/>
        <v>203</v>
      </c>
      <c r="L792" s="9">
        <v>0</v>
      </c>
      <c r="M792" s="9">
        <v>0</v>
      </c>
      <c r="N792" s="9">
        <v>0</v>
      </c>
      <c r="O792" s="9">
        <v>0</v>
      </c>
      <c r="P792" s="9">
        <v>184</v>
      </c>
      <c r="Q792" s="9">
        <v>230</v>
      </c>
      <c r="R792" s="9">
        <v>184</v>
      </c>
      <c r="S792" s="9">
        <v>230</v>
      </c>
      <c r="T792" s="9">
        <v>184</v>
      </c>
      <c r="U792" s="9">
        <v>184</v>
      </c>
      <c r="V792" s="9">
        <v>230</v>
      </c>
      <c r="W792" s="9">
        <v>184</v>
      </c>
      <c r="X792" s="9">
        <v>184</v>
      </c>
      <c r="Y792" s="9">
        <v>230</v>
      </c>
      <c r="Z792" s="9">
        <v>184</v>
      </c>
      <c r="AA792" s="9">
        <v>184</v>
      </c>
      <c r="AB792" s="9">
        <v>230</v>
      </c>
      <c r="AC792" s="9">
        <v>184</v>
      </c>
      <c r="AE792" s="6">
        <v>0</v>
      </c>
      <c r="AF792" s="6">
        <v>0</v>
      </c>
      <c r="AG792" s="6">
        <v>0</v>
      </c>
      <c r="AH792" s="6">
        <v>0</v>
      </c>
      <c r="AI792" s="6">
        <v>568.55999999999995</v>
      </c>
      <c r="AJ792" s="6">
        <v>710.69999999999993</v>
      </c>
      <c r="AK792" s="6">
        <v>568.55999999999995</v>
      </c>
      <c r="AL792" s="6">
        <v>710.69999999999993</v>
      </c>
      <c r="AM792" s="6">
        <v>568.55999999999995</v>
      </c>
      <c r="AN792" s="6">
        <v>568.55999999999995</v>
      </c>
      <c r="AO792" s="6">
        <v>710.69999999999993</v>
      </c>
      <c r="AP792" s="6">
        <v>568.55999999999995</v>
      </c>
      <c r="AQ792" s="6">
        <v>568.55999999999995</v>
      </c>
      <c r="AR792" s="6">
        <v>710.69999999999993</v>
      </c>
      <c r="AS792" s="6">
        <v>568.55999999999995</v>
      </c>
      <c r="AT792" s="6">
        <v>568.55999999999995</v>
      </c>
      <c r="AU792" s="6">
        <v>710.69999999999993</v>
      </c>
      <c r="AV792" s="6">
        <v>568.55999999999995</v>
      </c>
      <c r="AW792" s="93"/>
      <c r="AX792" s="76"/>
      <c r="AY792" s="76" t="s">
        <v>631</v>
      </c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 t="s">
        <v>631</v>
      </c>
      <c r="BP792" s="76" t="s">
        <v>631</v>
      </c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 t="s">
        <v>631</v>
      </c>
      <c r="DH792" s="96" t="s">
        <v>631</v>
      </c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95"/>
      <c r="DX792" s="90">
        <f t="shared" si="8"/>
        <v>5</v>
      </c>
      <c r="DY792" s="21"/>
      <c r="DZ792" s="21"/>
    </row>
    <row r="793" spans="1:130" x14ac:dyDescent="0.3">
      <c r="A793" s="4" t="s">
        <v>126</v>
      </c>
      <c r="B793" s="4" t="s">
        <v>396</v>
      </c>
      <c r="C793" s="91" t="s">
        <v>397</v>
      </c>
      <c r="D793" s="4" t="s">
        <v>398</v>
      </c>
      <c r="E793" s="12">
        <v>21.54</v>
      </c>
      <c r="F793" s="34">
        <f t="shared" si="9"/>
        <v>112438.79999999999</v>
      </c>
      <c r="G793" s="28">
        <f t="shared" si="7"/>
        <v>5220</v>
      </c>
      <c r="H793" s="28">
        <f t="shared" si="10"/>
        <v>435</v>
      </c>
      <c r="I793" s="26">
        <f t="shared" si="11"/>
        <v>43596.959999999999</v>
      </c>
      <c r="J793" s="24">
        <f t="shared" si="12"/>
        <v>2024</v>
      </c>
      <c r="K793" s="31">
        <f t="shared" si="13"/>
        <v>405</v>
      </c>
      <c r="L793" s="9">
        <v>924</v>
      </c>
      <c r="M793" s="9">
        <v>1000</v>
      </c>
      <c r="N793" s="9">
        <v>0</v>
      </c>
      <c r="O793" s="9">
        <v>0</v>
      </c>
      <c r="P793" s="9">
        <v>1000</v>
      </c>
      <c r="Q793" s="9">
        <v>460</v>
      </c>
      <c r="R793" s="9">
        <v>368</v>
      </c>
      <c r="S793" s="9">
        <v>460</v>
      </c>
      <c r="T793" s="9">
        <v>368</v>
      </c>
      <c r="U793" s="9">
        <v>368</v>
      </c>
      <c r="V793" s="9">
        <v>460</v>
      </c>
      <c r="W793" s="9">
        <v>368</v>
      </c>
      <c r="X793" s="9">
        <v>368</v>
      </c>
      <c r="Y793" s="9">
        <v>460</v>
      </c>
      <c r="Z793" s="9">
        <v>368</v>
      </c>
      <c r="AA793" s="9">
        <v>368</v>
      </c>
      <c r="AB793" s="9">
        <v>460</v>
      </c>
      <c r="AC793" s="9">
        <v>368</v>
      </c>
      <c r="AE793" s="6">
        <v>19902.96</v>
      </c>
      <c r="AF793" s="6">
        <v>21540</v>
      </c>
      <c r="AG793" s="6">
        <v>0</v>
      </c>
      <c r="AH793" s="6">
        <v>0</v>
      </c>
      <c r="AI793" s="6">
        <v>21540</v>
      </c>
      <c r="AJ793" s="6">
        <v>9908.4</v>
      </c>
      <c r="AK793" s="6">
        <v>7926.7199999999993</v>
      </c>
      <c r="AL793" s="6">
        <v>9908.4</v>
      </c>
      <c r="AM793" s="6">
        <v>7926.7199999999993</v>
      </c>
      <c r="AN793" s="6">
        <v>7926.7199999999993</v>
      </c>
      <c r="AO793" s="6">
        <v>9908.4</v>
      </c>
      <c r="AP793" s="6">
        <v>7926.7199999999993</v>
      </c>
      <c r="AQ793" s="6">
        <v>7926.7199999999993</v>
      </c>
      <c r="AR793" s="6">
        <v>9908.4</v>
      </c>
      <c r="AS793" s="6">
        <v>7926.7199999999993</v>
      </c>
      <c r="AT793" s="6">
        <v>7926.7199999999993</v>
      </c>
      <c r="AU793" s="6">
        <v>9908.4</v>
      </c>
      <c r="AV793" s="6">
        <v>7926.7199999999993</v>
      </c>
      <c r="AW793" s="93" t="s">
        <v>631</v>
      </c>
      <c r="AX793" s="76"/>
      <c r="AY793" s="76"/>
      <c r="AZ793" s="76" t="s">
        <v>631</v>
      </c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 t="s">
        <v>631</v>
      </c>
      <c r="BP793" s="76" t="s">
        <v>631</v>
      </c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 t="s">
        <v>631</v>
      </c>
      <c r="DH793" s="96" t="s">
        <v>631</v>
      </c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95"/>
      <c r="DX793" s="90">
        <f t="shared" si="8"/>
        <v>6</v>
      </c>
      <c r="DY793" s="21"/>
      <c r="DZ793" s="21"/>
    </row>
    <row r="794" spans="1:130" x14ac:dyDescent="0.3">
      <c r="A794" s="4" t="s">
        <v>126</v>
      </c>
      <c r="B794" s="4" t="s">
        <v>396</v>
      </c>
      <c r="C794" s="91" t="s">
        <v>399</v>
      </c>
      <c r="D794" s="4" t="s">
        <v>400</v>
      </c>
      <c r="E794" s="12">
        <v>7.56</v>
      </c>
      <c r="F794" s="34">
        <f t="shared" si="9"/>
        <v>32508</v>
      </c>
      <c r="G794" s="28">
        <f t="shared" si="7"/>
        <v>4300</v>
      </c>
      <c r="H794" s="28">
        <f t="shared" si="10"/>
        <v>359</v>
      </c>
      <c r="I794" s="26">
        <f t="shared" si="11"/>
        <v>15301.439999999999</v>
      </c>
      <c r="J794" s="24">
        <f t="shared" si="12"/>
        <v>2024</v>
      </c>
      <c r="K794" s="31">
        <f t="shared" si="13"/>
        <v>405</v>
      </c>
      <c r="L794" s="9">
        <v>0</v>
      </c>
      <c r="M794" s="9">
        <v>1000</v>
      </c>
      <c r="N794" s="9">
        <v>0</v>
      </c>
      <c r="O794" s="9">
        <v>0</v>
      </c>
      <c r="P794" s="9">
        <v>1000</v>
      </c>
      <c r="Q794" s="9">
        <v>0</v>
      </c>
      <c r="R794" s="9">
        <v>368</v>
      </c>
      <c r="S794" s="9">
        <v>0</v>
      </c>
      <c r="T794" s="9">
        <v>368</v>
      </c>
      <c r="U794" s="9">
        <v>368</v>
      </c>
      <c r="V794" s="9">
        <v>460</v>
      </c>
      <c r="W794" s="9">
        <v>368</v>
      </c>
      <c r="X794" s="9">
        <v>368</v>
      </c>
      <c r="Y794" s="9">
        <v>460</v>
      </c>
      <c r="Z794" s="9">
        <v>368</v>
      </c>
      <c r="AA794" s="9">
        <v>368</v>
      </c>
      <c r="AB794" s="9">
        <v>460</v>
      </c>
      <c r="AC794" s="9">
        <v>368</v>
      </c>
      <c r="AE794" s="6">
        <v>0</v>
      </c>
      <c r="AF794" s="6">
        <v>7560</v>
      </c>
      <c r="AG794" s="6">
        <v>0</v>
      </c>
      <c r="AH794" s="6">
        <v>0</v>
      </c>
      <c r="AI794" s="6">
        <v>7560</v>
      </c>
      <c r="AJ794" s="6">
        <v>0</v>
      </c>
      <c r="AK794" s="6">
        <v>2782.08</v>
      </c>
      <c r="AL794" s="6">
        <v>0</v>
      </c>
      <c r="AM794" s="6">
        <v>2782.08</v>
      </c>
      <c r="AN794" s="6">
        <v>2782.08</v>
      </c>
      <c r="AO794" s="6">
        <v>3477.6</v>
      </c>
      <c r="AP794" s="6">
        <v>2782.08</v>
      </c>
      <c r="AQ794" s="6">
        <v>2782.08</v>
      </c>
      <c r="AR794" s="6">
        <v>3477.6</v>
      </c>
      <c r="AS794" s="6">
        <v>2782.08</v>
      </c>
      <c r="AT794" s="6">
        <v>2782.08</v>
      </c>
      <c r="AU794" s="6">
        <v>3477.6</v>
      </c>
      <c r="AV794" s="6">
        <v>2782.08</v>
      </c>
      <c r="AW794" s="93" t="s">
        <v>631</v>
      </c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 t="s">
        <v>631</v>
      </c>
      <c r="BP794" s="76" t="s">
        <v>631</v>
      </c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96" t="s">
        <v>631</v>
      </c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95"/>
      <c r="DX794" s="90">
        <f t="shared" si="8"/>
        <v>4</v>
      </c>
      <c r="DY794" s="21"/>
      <c r="DZ794" s="21"/>
    </row>
    <row r="795" spans="1:130" x14ac:dyDescent="0.3">
      <c r="A795" s="4" t="s">
        <v>126</v>
      </c>
      <c r="B795" s="4" t="s">
        <v>396</v>
      </c>
      <c r="C795" s="91" t="s">
        <v>402</v>
      </c>
      <c r="D795" s="4" t="s">
        <v>202</v>
      </c>
      <c r="E795" s="12">
        <v>9.5399999999999991</v>
      </c>
      <c r="F795" s="34">
        <f t="shared" si="9"/>
        <v>95399.999999999985</v>
      </c>
      <c r="G795" s="28">
        <f t="shared" si="7"/>
        <v>10000</v>
      </c>
      <c r="H795" s="28">
        <f t="shared" si="10"/>
        <v>834</v>
      </c>
      <c r="I795" s="26">
        <f t="shared" si="11"/>
        <v>0</v>
      </c>
      <c r="J795" s="24">
        <f t="shared" si="12"/>
        <v>0</v>
      </c>
      <c r="K795" s="31">
        <f t="shared" si="13"/>
        <v>0</v>
      </c>
      <c r="L795" s="9">
        <v>0</v>
      </c>
      <c r="M795" s="9">
        <v>0</v>
      </c>
      <c r="N795" s="9">
        <v>1000</v>
      </c>
      <c r="O795" s="9">
        <v>4000</v>
      </c>
      <c r="P795" s="9">
        <v>4000</v>
      </c>
      <c r="Q795" s="9">
        <v>1000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  <c r="AC795" s="9">
        <v>0</v>
      </c>
      <c r="AE795" s="6">
        <v>0</v>
      </c>
      <c r="AF795" s="6">
        <v>0</v>
      </c>
      <c r="AG795" s="6">
        <v>4770</v>
      </c>
      <c r="AH795" s="6">
        <v>38160</v>
      </c>
      <c r="AI795" s="6">
        <v>38160</v>
      </c>
      <c r="AJ795" s="6">
        <v>9540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93"/>
      <c r="AX795" s="76"/>
      <c r="AY795" s="76"/>
      <c r="AZ795" s="76"/>
      <c r="BA795" s="76" t="s">
        <v>631</v>
      </c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 t="s">
        <v>631</v>
      </c>
      <c r="BP795" s="76" t="s">
        <v>631</v>
      </c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96" t="s">
        <v>631</v>
      </c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95"/>
      <c r="DX795" s="90">
        <f t="shared" si="8"/>
        <v>4</v>
      </c>
      <c r="DY795" s="21"/>
      <c r="DZ795" s="21"/>
    </row>
    <row r="796" spans="1:130" collapsed="1" x14ac:dyDescent="0.3">
      <c r="A796" s="4" t="s">
        <v>412</v>
      </c>
      <c r="B796" s="4" t="s">
        <v>413</v>
      </c>
      <c r="C796" s="91" t="s">
        <v>414</v>
      </c>
      <c r="D796" s="4" t="s">
        <v>415</v>
      </c>
      <c r="E796" s="12">
        <v>4997.97</v>
      </c>
      <c r="F796" s="34">
        <f t="shared" si="9"/>
        <v>9995.94</v>
      </c>
      <c r="G796" s="28">
        <f t="shared" si="7"/>
        <v>2</v>
      </c>
      <c r="H796" s="28">
        <f t="shared" si="10"/>
        <v>1</v>
      </c>
      <c r="I796" s="26">
        <f t="shared" si="11"/>
        <v>0</v>
      </c>
      <c r="J796" s="24">
        <f t="shared" si="12"/>
        <v>0</v>
      </c>
      <c r="K796" s="31">
        <f t="shared" si="13"/>
        <v>0</v>
      </c>
      <c r="L796" s="9">
        <v>32</v>
      </c>
      <c r="M796" s="9">
        <v>2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  <c r="AC796" s="9">
        <v>0</v>
      </c>
      <c r="AE796" s="6">
        <v>157736</v>
      </c>
      <c r="AF796" s="6">
        <v>9858.5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93" t="s">
        <v>631</v>
      </c>
      <c r="AX796" s="76"/>
      <c r="AY796" s="76" t="s">
        <v>631</v>
      </c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 t="s">
        <v>631</v>
      </c>
      <c r="BK796" s="76"/>
      <c r="BL796" s="76"/>
      <c r="BM796" s="76"/>
      <c r="BN796" s="76"/>
      <c r="BO796" s="76" t="s">
        <v>631</v>
      </c>
      <c r="BP796" s="76" t="s">
        <v>631</v>
      </c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94" t="s">
        <v>631</v>
      </c>
      <c r="CB796" s="76"/>
      <c r="CC796" s="76"/>
      <c r="CD796" s="76"/>
      <c r="CE796" s="76"/>
      <c r="CF796" s="76"/>
      <c r="CG796" s="76"/>
      <c r="CH796" s="76" t="s">
        <v>631</v>
      </c>
      <c r="CI796" s="94" t="s">
        <v>631</v>
      </c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 t="s">
        <v>631</v>
      </c>
      <c r="DH796" s="96" t="s">
        <v>631</v>
      </c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95"/>
      <c r="DX796" s="90">
        <f t="shared" si="8"/>
        <v>10</v>
      </c>
      <c r="DY796" s="21"/>
      <c r="DZ796" s="21"/>
    </row>
    <row r="797" spans="1:130" hidden="1" outlineLevel="1" x14ac:dyDescent="0.3">
      <c r="C797" s="4" t="s">
        <v>1235</v>
      </c>
      <c r="F797" s="34"/>
      <c r="G797" s="28"/>
      <c r="H797" s="28"/>
      <c r="I797" s="26"/>
      <c r="J797" s="24"/>
      <c r="K797" s="31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93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 t="s">
        <v>631</v>
      </c>
      <c r="DH797" s="9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95"/>
      <c r="DX797" s="90">
        <f t="shared" ref="DX797" si="14">COUNTIF(AW797:DW797,"x")</f>
        <v>1</v>
      </c>
    </row>
    <row r="798" spans="1:130" hidden="1" outlineLevel="1" x14ac:dyDescent="0.3">
      <c r="C798" s="4" t="s">
        <v>414</v>
      </c>
      <c r="F798" s="36"/>
      <c r="G798" s="37"/>
      <c r="H798" s="37"/>
      <c r="I798" s="39">
        <f>SUM(I6:I797)</f>
        <v>10635602.77</v>
      </c>
      <c r="J798" s="40">
        <f>SUM(J6:J797)</f>
        <v>72821</v>
      </c>
      <c r="K798" s="40">
        <f>SUM(K6:K797)</f>
        <v>14584</v>
      </c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93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 t="s">
        <v>631</v>
      </c>
      <c r="DH798" s="9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95"/>
      <c r="DX798" s="90">
        <f t="shared" ref="DX798:DX850" si="15">COUNTIF(AW798:DW798,"x")</f>
        <v>1</v>
      </c>
    </row>
    <row r="799" spans="1:130" hidden="1" outlineLevel="1" x14ac:dyDescent="0.3">
      <c r="C799" s="4" t="s">
        <v>1236</v>
      </c>
      <c r="F799" s="38"/>
      <c r="G799" s="37"/>
      <c r="H799" s="37"/>
      <c r="I799" s="41">
        <f>I798/5</f>
        <v>2127120.554</v>
      </c>
      <c r="J799" s="42"/>
      <c r="K799" s="40"/>
      <c r="M799" s="19"/>
      <c r="N799" s="19"/>
      <c r="O799" s="19"/>
      <c r="P799" s="19"/>
      <c r="Q799" s="19"/>
      <c r="R799" s="19"/>
      <c r="S799" s="19"/>
      <c r="T799" s="19"/>
      <c r="AW799" s="93"/>
      <c r="AX799" s="76"/>
      <c r="AY799" s="76" t="s">
        <v>631</v>
      </c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 t="s">
        <v>631</v>
      </c>
      <c r="BK799" s="76"/>
      <c r="BL799" s="76"/>
      <c r="BM799" s="76"/>
      <c r="BN799" s="76"/>
      <c r="BO799" s="76"/>
      <c r="BP799" s="76" t="s">
        <v>631</v>
      </c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9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95"/>
      <c r="DX799" s="90">
        <f t="shared" si="15"/>
        <v>3</v>
      </c>
    </row>
    <row r="800" spans="1:130" hidden="1" outlineLevel="1" x14ac:dyDescent="0.3">
      <c r="C800" s="4" t="s">
        <v>1237</v>
      </c>
      <c r="G800" s="28"/>
      <c r="H800" s="28"/>
      <c r="I800" s="26"/>
      <c r="J800" s="24"/>
      <c r="K800" s="31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W800" s="93"/>
      <c r="AX800" s="76"/>
      <c r="AY800" s="76" t="s">
        <v>631</v>
      </c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 t="s">
        <v>631</v>
      </c>
      <c r="BK800" s="76"/>
      <c r="BL800" s="76"/>
      <c r="BM800" s="76"/>
      <c r="BN800" s="76"/>
      <c r="BO800" s="76"/>
      <c r="BP800" s="76" t="s">
        <v>631</v>
      </c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9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95"/>
      <c r="DX800" s="90">
        <f t="shared" si="15"/>
        <v>3</v>
      </c>
    </row>
    <row r="801" spans="3:128" hidden="1" outlineLevel="1" x14ac:dyDescent="0.3">
      <c r="C801" s="4" t="s">
        <v>1238</v>
      </c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W801" s="93"/>
      <c r="AX801" s="76"/>
      <c r="AY801" s="76" t="s">
        <v>631</v>
      </c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 t="s">
        <v>631</v>
      </c>
      <c r="BK801" s="76"/>
      <c r="BL801" s="76"/>
      <c r="BM801" s="76"/>
      <c r="BN801" s="76"/>
      <c r="BO801" s="76"/>
      <c r="BP801" s="76" t="s">
        <v>631</v>
      </c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9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95"/>
      <c r="DX801" s="90">
        <f t="shared" si="15"/>
        <v>3</v>
      </c>
    </row>
    <row r="802" spans="3:128" hidden="1" outlineLevel="1" x14ac:dyDescent="0.3">
      <c r="C802" s="4" t="s">
        <v>1239</v>
      </c>
      <c r="AW802" s="93"/>
      <c r="AX802" s="76"/>
      <c r="AY802" s="76" t="s">
        <v>631</v>
      </c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9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95"/>
      <c r="DX802" s="90">
        <f t="shared" si="15"/>
        <v>1</v>
      </c>
    </row>
    <row r="803" spans="3:128" hidden="1" outlineLevel="1" x14ac:dyDescent="0.3">
      <c r="C803" s="4" t="s">
        <v>1240</v>
      </c>
      <c r="AW803" s="93"/>
      <c r="AX803" s="76"/>
      <c r="AY803" s="76" t="s">
        <v>631</v>
      </c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 t="s">
        <v>631</v>
      </c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9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95"/>
      <c r="DX803" s="90">
        <f t="shared" si="15"/>
        <v>2</v>
      </c>
    </row>
    <row r="804" spans="3:128" hidden="1" outlineLevel="1" x14ac:dyDescent="0.3">
      <c r="C804" s="4" t="s">
        <v>1241</v>
      </c>
      <c r="AW804" s="93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 t="s">
        <v>631</v>
      </c>
      <c r="CC804" s="76" t="s">
        <v>631</v>
      </c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9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95"/>
      <c r="DX804" s="90">
        <f t="shared" si="15"/>
        <v>2</v>
      </c>
    </row>
    <row r="805" spans="3:128" hidden="1" outlineLevel="1" x14ac:dyDescent="0.3">
      <c r="C805" s="4" t="s">
        <v>1242</v>
      </c>
      <c r="AW805" s="93"/>
      <c r="AX805" s="76"/>
      <c r="AY805" s="76" t="s">
        <v>631</v>
      </c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 t="s">
        <v>631</v>
      </c>
      <c r="BK805" s="76"/>
      <c r="BL805" s="76"/>
      <c r="BM805" s="76"/>
      <c r="BN805" s="76"/>
      <c r="BO805" s="76"/>
      <c r="BP805" s="76" t="s">
        <v>631</v>
      </c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9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95"/>
      <c r="DX805" s="90">
        <f t="shared" si="15"/>
        <v>3</v>
      </c>
    </row>
    <row r="806" spans="3:128" hidden="1" outlineLevel="1" x14ac:dyDescent="0.3">
      <c r="C806" s="4" t="s">
        <v>1243</v>
      </c>
      <c r="AW806" s="93"/>
      <c r="AX806" s="76"/>
      <c r="AY806" s="76" t="s">
        <v>631</v>
      </c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 t="s">
        <v>631</v>
      </c>
      <c r="BK806" s="76"/>
      <c r="BL806" s="76"/>
      <c r="BM806" s="76"/>
      <c r="BN806" s="76"/>
      <c r="BO806" s="76"/>
      <c r="BP806" s="76" t="s">
        <v>631</v>
      </c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9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95"/>
      <c r="DX806" s="90">
        <f t="shared" si="15"/>
        <v>3</v>
      </c>
    </row>
    <row r="807" spans="3:128" hidden="1" outlineLevel="1" x14ac:dyDescent="0.3">
      <c r="C807" s="4" t="s">
        <v>1244</v>
      </c>
      <c r="AW807" s="93"/>
      <c r="AX807" s="76"/>
      <c r="AY807" s="76" t="s">
        <v>631</v>
      </c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 t="s">
        <v>631</v>
      </c>
      <c r="BK807" s="76"/>
      <c r="BL807" s="76"/>
      <c r="BM807" s="76"/>
      <c r="BN807" s="76"/>
      <c r="BO807" s="76"/>
      <c r="BP807" s="76" t="s">
        <v>631</v>
      </c>
      <c r="BQ807" s="76"/>
      <c r="BR807" s="76"/>
      <c r="BS807" s="76"/>
      <c r="BT807" s="76"/>
      <c r="BU807" s="76"/>
      <c r="BV807" s="76"/>
      <c r="BW807" s="76"/>
      <c r="BX807" s="76" t="s">
        <v>631</v>
      </c>
      <c r="BY807" s="76"/>
      <c r="BZ807" s="76" t="s">
        <v>631</v>
      </c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9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95"/>
      <c r="DX807" s="90">
        <f t="shared" si="15"/>
        <v>5</v>
      </c>
    </row>
    <row r="808" spans="3:128" hidden="1" outlineLevel="1" x14ac:dyDescent="0.3">
      <c r="C808" s="4" t="s">
        <v>1245</v>
      </c>
      <c r="AW808" s="93"/>
      <c r="AX808" s="76"/>
      <c r="AY808" s="76" t="s">
        <v>631</v>
      </c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 t="s">
        <v>631</v>
      </c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 t="s">
        <v>631</v>
      </c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9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95"/>
      <c r="DX808" s="90">
        <f t="shared" si="15"/>
        <v>3</v>
      </c>
    </row>
    <row r="809" spans="3:128" hidden="1" outlineLevel="1" x14ac:dyDescent="0.3">
      <c r="C809" s="4" t="s">
        <v>1246</v>
      </c>
      <c r="AW809" s="93"/>
      <c r="AX809" s="76"/>
      <c r="AY809" s="76" t="s">
        <v>631</v>
      </c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 t="s">
        <v>631</v>
      </c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 t="s">
        <v>631</v>
      </c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9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95"/>
      <c r="DX809" s="90">
        <f t="shared" si="15"/>
        <v>3</v>
      </c>
    </row>
    <row r="810" spans="3:128" hidden="1" outlineLevel="1" x14ac:dyDescent="0.3">
      <c r="C810" s="4" t="s">
        <v>1247</v>
      </c>
      <c r="AW810" s="93"/>
      <c r="AX810" s="76"/>
      <c r="AY810" s="76" t="s">
        <v>631</v>
      </c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 t="s">
        <v>631</v>
      </c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9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95"/>
      <c r="DX810" s="90">
        <f t="shared" si="15"/>
        <v>2</v>
      </c>
    </row>
    <row r="811" spans="3:128" hidden="1" outlineLevel="1" x14ac:dyDescent="0.3">
      <c r="C811" s="4" t="s">
        <v>1248</v>
      </c>
      <c r="AW811" s="93"/>
      <c r="AX811" s="76"/>
      <c r="AY811" s="76" t="s">
        <v>631</v>
      </c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 t="s">
        <v>631</v>
      </c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9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95"/>
      <c r="DX811" s="90">
        <f t="shared" si="15"/>
        <v>2</v>
      </c>
    </row>
    <row r="812" spans="3:128" hidden="1" outlineLevel="1" x14ac:dyDescent="0.3">
      <c r="C812" s="4" t="s">
        <v>1249</v>
      </c>
      <c r="AW812" s="93"/>
      <c r="AX812" s="76"/>
      <c r="AY812" s="76" t="s">
        <v>631</v>
      </c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 t="s">
        <v>631</v>
      </c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9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95"/>
      <c r="DX812" s="90">
        <f t="shared" si="15"/>
        <v>2</v>
      </c>
    </row>
    <row r="813" spans="3:128" hidden="1" outlineLevel="1" x14ac:dyDescent="0.3">
      <c r="C813" s="4" t="s">
        <v>1250</v>
      </c>
      <c r="AW813" s="93"/>
      <c r="AX813" s="76"/>
      <c r="AY813" s="76" t="s">
        <v>631</v>
      </c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 t="s">
        <v>631</v>
      </c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9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95"/>
      <c r="DX813" s="90">
        <f t="shared" si="15"/>
        <v>2</v>
      </c>
    </row>
    <row r="814" spans="3:128" hidden="1" outlineLevel="1" x14ac:dyDescent="0.3">
      <c r="C814" s="4" t="s">
        <v>1251</v>
      </c>
      <c r="AW814" s="93"/>
      <c r="AX814" s="76"/>
      <c r="AY814" s="76" t="s">
        <v>631</v>
      </c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 t="s">
        <v>631</v>
      </c>
      <c r="BK814" s="76"/>
      <c r="BL814" s="76"/>
      <c r="BM814" s="76"/>
      <c r="BN814" s="76"/>
      <c r="BO814" s="76"/>
      <c r="BP814" s="76" t="s">
        <v>631</v>
      </c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9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95"/>
      <c r="DX814" s="90">
        <f t="shared" si="15"/>
        <v>3</v>
      </c>
    </row>
    <row r="815" spans="3:128" hidden="1" outlineLevel="1" x14ac:dyDescent="0.3">
      <c r="C815" s="4" t="s">
        <v>1252</v>
      </c>
      <c r="AW815" s="93"/>
      <c r="AX815" s="76"/>
      <c r="AY815" s="76" t="s">
        <v>631</v>
      </c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 t="s">
        <v>631</v>
      </c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9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95"/>
      <c r="DX815" s="90">
        <f t="shared" si="15"/>
        <v>2</v>
      </c>
    </row>
    <row r="816" spans="3:128" hidden="1" outlineLevel="1" x14ac:dyDescent="0.3">
      <c r="C816" s="4" t="s">
        <v>1253</v>
      </c>
      <c r="AW816" s="93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 t="s">
        <v>631</v>
      </c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9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95"/>
      <c r="DX816" s="90">
        <f t="shared" si="15"/>
        <v>1</v>
      </c>
    </row>
    <row r="817" spans="3:128" hidden="1" outlineLevel="1" x14ac:dyDescent="0.3">
      <c r="C817" s="4" t="s">
        <v>1254</v>
      </c>
      <c r="AW817" s="93"/>
      <c r="AX817" s="76"/>
      <c r="AY817" s="76" t="s">
        <v>631</v>
      </c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 t="s">
        <v>631</v>
      </c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 t="s">
        <v>631</v>
      </c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9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95"/>
      <c r="DX817" s="90">
        <f t="shared" si="15"/>
        <v>3</v>
      </c>
    </row>
    <row r="818" spans="3:128" hidden="1" outlineLevel="1" x14ac:dyDescent="0.3">
      <c r="C818" s="4" t="s">
        <v>1255</v>
      </c>
      <c r="AW818" s="93"/>
      <c r="AX818" s="76"/>
      <c r="AY818" s="76" t="s">
        <v>631</v>
      </c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 t="s">
        <v>631</v>
      </c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9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95"/>
      <c r="DX818" s="90">
        <f t="shared" si="15"/>
        <v>2</v>
      </c>
    </row>
    <row r="819" spans="3:128" hidden="1" outlineLevel="1" x14ac:dyDescent="0.3">
      <c r="C819" s="4" t="s">
        <v>1256</v>
      </c>
      <c r="AW819" s="93"/>
      <c r="AX819" s="76"/>
      <c r="AY819" s="76" t="s">
        <v>631</v>
      </c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 t="s">
        <v>631</v>
      </c>
      <c r="CB819" s="76"/>
      <c r="CC819" s="76"/>
      <c r="CD819" s="76"/>
      <c r="CE819" s="76"/>
      <c r="CF819" s="76"/>
      <c r="CG819" s="76"/>
      <c r="CH819" s="76"/>
      <c r="CI819" s="76"/>
      <c r="CJ819" s="76"/>
      <c r="CK819" s="76" t="s">
        <v>631</v>
      </c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9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95"/>
      <c r="DX819" s="90">
        <f t="shared" si="15"/>
        <v>3</v>
      </c>
    </row>
    <row r="820" spans="3:128" hidden="1" outlineLevel="1" x14ac:dyDescent="0.3">
      <c r="C820" s="4" t="s">
        <v>1257</v>
      </c>
      <c r="AW820" s="93"/>
      <c r="AX820" s="76"/>
      <c r="AY820" s="76" t="s">
        <v>631</v>
      </c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 t="s">
        <v>631</v>
      </c>
      <c r="BK820" s="76"/>
      <c r="BL820" s="76"/>
      <c r="BM820" s="76"/>
      <c r="BN820" s="76"/>
      <c r="BO820" s="76"/>
      <c r="BP820" s="76" t="s">
        <v>631</v>
      </c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9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95"/>
      <c r="DX820" s="90">
        <f t="shared" si="15"/>
        <v>3</v>
      </c>
    </row>
    <row r="821" spans="3:128" hidden="1" outlineLevel="1" x14ac:dyDescent="0.3">
      <c r="C821" s="4" t="s">
        <v>1258</v>
      </c>
      <c r="AW821" s="93" t="s">
        <v>631</v>
      </c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 t="s">
        <v>631</v>
      </c>
      <c r="BK821" s="76"/>
      <c r="BL821" s="76"/>
      <c r="BM821" s="76"/>
      <c r="BN821" s="76"/>
      <c r="BO821" s="76"/>
      <c r="BP821" s="76" t="s">
        <v>631</v>
      </c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9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95"/>
      <c r="DX821" s="90">
        <f t="shared" si="15"/>
        <v>3</v>
      </c>
    </row>
    <row r="822" spans="3:128" hidden="1" outlineLevel="1" x14ac:dyDescent="0.3">
      <c r="C822" s="4" t="s">
        <v>1259</v>
      </c>
      <c r="AW822" s="93"/>
      <c r="AX822" s="76"/>
      <c r="AY822" s="76" t="s">
        <v>631</v>
      </c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 t="s">
        <v>631</v>
      </c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 t="s">
        <v>631</v>
      </c>
      <c r="CI822" s="76" t="s">
        <v>631</v>
      </c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9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95"/>
      <c r="DX822" s="90">
        <f t="shared" si="15"/>
        <v>4</v>
      </c>
    </row>
    <row r="823" spans="3:128" hidden="1" outlineLevel="1" x14ac:dyDescent="0.3">
      <c r="C823" s="4" t="s">
        <v>1260</v>
      </c>
      <c r="AW823" s="93"/>
      <c r="AX823" s="76" t="s">
        <v>631</v>
      </c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 t="s">
        <v>631</v>
      </c>
      <c r="BK823" s="76"/>
      <c r="BL823" s="76"/>
      <c r="BM823" s="76"/>
      <c r="BN823" s="76"/>
      <c r="BO823" s="76"/>
      <c r="BP823" s="76" t="s">
        <v>631</v>
      </c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 t="s">
        <v>631</v>
      </c>
      <c r="CI823" s="76" t="s">
        <v>631</v>
      </c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9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95"/>
      <c r="DX823" s="90">
        <f t="shared" si="15"/>
        <v>5</v>
      </c>
    </row>
    <row r="824" spans="3:128" hidden="1" outlineLevel="1" x14ac:dyDescent="0.3">
      <c r="C824" s="4" t="s">
        <v>1261</v>
      </c>
      <c r="AW824" s="93"/>
      <c r="AX824" s="76"/>
      <c r="AY824" s="76" t="s">
        <v>631</v>
      </c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 t="s">
        <v>631</v>
      </c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 t="s">
        <v>631</v>
      </c>
      <c r="CI824" s="76" t="s">
        <v>631</v>
      </c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9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95"/>
      <c r="DX824" s="90">
        <f t="shared" si="15"/>
        <v>4</v>
      </c>
    </row>
    <row r="825" spans="3:128" hidden="1" outlineLevel="1" x14ac:dyDescent="0.3">
      <c r="C825" s="4" t="s">
        <v>1262</v>
      </c>
      <c r="AW825" s="93"/>
      <c r="AX825" s="76"/>
      <c r="AY825" s="76" t="s">
        <v>631</v>
      </c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 t="s">
        <v>631</v>
      </c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 t="s">
        <v>631</v>
      </c>
      <c r="CI825" s="76" t="s">
        <v>631</v>
      </c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9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95"/>
      <c r="DX825" s="90">
        <f t="shared" si="15"/>
        <v>4</v>
      </c>
    </row>
    <row r="826" spans="3:128" hidden="1" outlineLevel="1" x14ac:dyDescent="0.3">
      <c r="C826" s="4" t="s">
        <v>1263</v>
      </c>
      <c r="AW826" s="93"/>
      <c r="AX826" s="76"/>
      <c r="AY826" s="76" t="s">
        <v>631</v>
      </c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 t="s">
        <v>631</v>
      </c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 t="s">
        <v>631</v>
      </c>
      <c r="CI826" s="76" t="s">
        <v>631</v>
      </c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9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95"/>
      <c r="DX826" s="90">
        <f t="shared" si="15"/>
        <v>4</v>
      </c>
    </row>
    <row r="827" spans="3:128" hidden="1" outlineLevel="1" x14ac:dyDescent="0.3">
      <c r="C827" s="4" t="s">
        <v>1264</v>
      </c>
      <c r="AW827" s="93"/>
      <c r="AX827" s="76"/>
      <c r="AY827" s="76" t="s">
        <v>631</v>
      </c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 t="s">
        <v>631</v>
      </c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9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95"/>
      <c r="DX827" s="90">
        <f t="shared" si="15"/>
        <v>2</v>
      </c>
    </row>
    <row r="828" spans="3:128" hidden="1" outlineLevel="1" x14ac:dyDescent="0.3">
      <c r="C828" s="4" t="s">
        <v>1265</v>
      </c>
      <c r="AW828" s="93"/>
      <c r="AX828" s="76"/>
      <c r="AY828" s="76" t="s">
        <v>631</v>
      </c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9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95"/>
      <c r="DX828" s="90">
        <f t="shared" si="15"/>
        <v>1</v>
      </c>
    </row>
    <row r="829" spans="3:128" hidden="1" outlineLevel="1" x14ac:dyDescent="0.3">
      <c r="C829" s="4" t="s">
        <v>1266</v>
      </c>
      <c r="AW829" s="93"/>
      <c r="AX829" s="76"/>
      <c r="AY829" s="76" t="s">
        <v>631</v>
      </c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 t="s">
        <v>631</v>
      </c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9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95"/>
      <c r="DX829" s="90">
        <f t="shared" si="15"/>
        <v>2</v>
      </c>
    </row>
    <row r="830" spans="3:128" hidden="1" outlineLevel="1" x14ac:dyDescent="0.3">
      <c r="C830" s="4" t="s">
        <v>1267</v>
      </c>
      <c r="AW830" s="93"/>
      <c r="AX830" s="76"/>
      <c r="AY830" s="76" t="s">
        <v>631</v>
      </c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 t="s">
        <v>631</v>
      </c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9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95"/>
      <c r="DX830" s="90">
        <f t="shared" si="15"/>
        <v>2</v>
      </c>
    </row>
    <row r="831" spans="3:128" hidden="1" outlineLevel="1" x14ac:dyDescent="0.3">
      <c r="C831" s="4" t="s">
        <v>1268</v>
      </c>
      <c r="AW831" s="93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 t="s">
        <v>631</v>
      </c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9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95"/>
      <c r="DX831" s="90">
        <f t="shared" si="15"/>
        <v>1</v>
      </c>
    </row>
    <row r="832" spans="3:128" hidden="1" outlineLevel="1" x14ac:dyDescent="0.3">
      <c r="C832" s="4" t="s">
        <v>1269</v>
      </c>
      <c r="AW832" s="93"/>
      <c r="AX832" s="76"/>
      <c r="AY832" s="76" t="s">
        <v>631</v>
      </c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9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95"/>
      <c r="DX832" s="90">
        <f t="shared" si="15"/>
        <v>1</v>
      </c>
    </row>
    <row r="833" spans="3:128" hidden="1" outlineLevel="1" x14ac:dyDescent="0.3">
      <c r="C833" s="4" t="s">
        <v>1270</v>
      </c>
      <c r="AW833" s="93"/>
      <c r="AX833" s="76"/>
      <c r="AY833" s="76" t="s">
        <v>631</v>
      </c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 t="s">
        <v>631</v>
      </c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9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95"/>
      <c r="DX833" s="90">
        <f t="shared" si="15"/>
        <v>2</v>
      </c>
    </row>
    <row r="834" spans="3:128" hidden="1" outlineLevel="1" x14ac:dyDescent="0.3">
      <c r="C834" s="4" t="s">
        <v>1271</v>
      </c>
      <c r="AW834" s="93"/>
      <c r="AX834" s="76"/>
      <c r="AY834" s="76" t="s">
        <v>631</v>
      </c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9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95"/>
      <c r="DX834" s="90">
        <f t="shared" si="15"/>
        <v>1</v>
      </c>
    </row>
    <row r="835" spans="3:128" hidden="1" outlineLevel="1" x14ac:dyDescent="0.3">
      <c r="C835" s="4" t="s">
        <v>1272</v>
      </c>
      <c r="AW835" s="93"/>
      <c r="AX835" s="76"/>
      <c r="AY835" s="76" t="s">
        <v>631</v>
      </c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9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95"/>
      <c r="DX835" s="90">
        <f t="shared" si="15"/>
        <v>1</v>
      </c>
    </row>
    <row r="836" spans="3:128" hidden="1" outlineLevel="1" x14ac:dyDescent="0.3">
      <c r="C836" s="4" t="s">
        <v>1273</v>
      </c>
      <c r="AW836" s="93"/>
      <c r="AX836" s="76"/>
      <c r="AY836" s="76" t="s">
        <v>631</v>
      </c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 t="s">
        <v>631</v>
      </c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9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95"/>
      <c r="DX836" s="90">
        <f t="shared" si="15"/>
        <v>2</v>
      </c>
    </row>
    <row r="837" spans="3:128" hidden="1" outlineLevel="1" x14ac:dyDescent="0.3">
      <c r="C837" s="4" t="s">
        <v>1274</v>
      </c>
      <c r="AW837" s="93"/>
      <c r="AX837" s="76"/>
      <c r="AY837" s="76" t="s">
        <v>631</v>
      </c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 t="s">
        <v>631</v>
      </c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9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95"/>
      <c r="DX837" s="90">
        <f t="shared" si="15"/>
        <v>2</v>
      </c>
    </row>
    <row r="838" spans="3:128" hidden="1" outlineLevel="1" x14ac:dyDescent="0.3">
      <c r="C838" s="4" t="s">
        <v>1275</v>
      </c>
      <c r="AW838" s="93"/>
      <c r="AX838" s="76"/>
      <c r="AY838" s="76" t="s">
        <v>631</v>
      </c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 t="s">
        <v>631</v>
      </c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9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95"/>
      <c r="DX838" s="90">
        <f t="shared" si="15"/>
        <v>2</v>
      </c>
    </row>
    <row r="839" spans="3:128" hidden="1" outlineLevel="1" x14ac:dyDescent="0.3">
      <c r="C839" s="4" t="s">
        <v>1276</v>
      </c>
      <c r="AW839" s="93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 t="s">
        <v>631</v>
      </c>
      <c r="CC839" s="76"/>
      <c r="CD839" s="76"/>
      <c r="CE839" s="76"/>
      <c r="CF839" s="76" t="s">
        <v>631</v>
      </c>
      <c r="CG839" s="76"/>
      <c r="CH839" s="76" t="s">
        <v>631</v>
      </c>
      <c r="CI839" s="76" t="s">
        <v>631</v>
      </c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9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95"/>
      <c r="DX839" s="90">
        <f t="shared" si="15"/>
        <v>4</v>
      </c>
    </row>
    <row r="840" spans="3:128" hidden="1" outlineLevel="1" x14ac:dyDescent="0.3">
      <c r="C840" s="4" t="s">
        <v>1277</v>
      </c>
      <c r="AW840" s="93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 t="s">
        <v>631</v>
      </c>
      <c r="CC840" s="76"/>
      <c r="CD840" s="76"/>
      <c r="CE840" s="76"/>
      <c r="CF840" s="76" t="s">
        <v>631</v>
      </c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9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95"/>
      <c r="DX840" s="90">
        <f t="shared" si="15"/>
        <v>2</v>
      </c>
    </row>
    <row r="841" spans="3:128" hidden="1" outlineLevel="1" x14ac:dyDescent="0.3">
      <c r="C841" s="4" t="s">
        <v>1278</v>
      </c>
      <c r="AW841" s="93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 t="s">
        <v>631</v>
      </c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9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95"/>
      <c r="DX841" s="90">
        <f t="shared" si="15"/>
        <v>1</v>
      </c>
    </row>
    <row r="842" spans="3:128" hidden="1" outlineLevel="1" x14ac:dyDescent="0.3">
      <c r="C842" s="4" t="s">
        <v>1279</v>
      </c>
      <c r="AW842" s="93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 t="s">
        <v>631</v>
      </c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9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95"/>
      <c r="DX842" s="90">
        <f t="shared" si="15"/>
        <v>1</v>
      </c>
    </row>
    <row r="843" spans="3:128" hidden="1" outlineLevel="1" x14ac:dyDescent="0.3">
      <c r="C843" s="4" t="s">
        <v>1280</v>
      </c>
      <c r="AW843" s="93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 t="s">
        <v>631</v>
      </c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 t="s">
        <v>631</v>
      </c>
      <c r="DH843" s="9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95"/>
      <c r="DX843" s="90">
        <f t="shared" si="15"/>
        <v>2</v>
      </c>
    </row>
    <row r="844" spans="3:128" hidden="1" outlineLevel="1" x14ac:dyDescent="0.3">
      <c r="C844" s="4" t="s">
        <v>1281</v>
      </c>
      <c r="AW844" s="93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 t="s">
        <v>631</v>
      </c>
      <c r="CC844" s="76" t="s">
        <v>631</v>
      </c>
      <c r="CD844" s="76"/>
      <c r="CE844" s="76"/>
      <c r="CF844" s="76" t="s">
        <v>631</v>
      </c>
      <c r="CG844" s="76"/>
      <c r="CH844" s="76" t="s">
        <v>631</v>
      </c>
      <c r="CI844" s="76" t="s">
        <v>631</v>
      </c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9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95"/>
      <c r="DX844" s="90">
        <f t="shared" si="15"/>
        <v>5</v>
      </c>
    </row>
    <row r="845" spans="3:128" hidden="1" outlineLevel="1" x14ac:dyDescent="0.3">
      <c r="C845" s="4" t="s">
        <v>1282</v>
      </c>
      <c r="AW845" s="93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 t="s">
        <v>631</v>
      </c>
      <c r="CC845" s="76"/>
      <c r="CD845" s="76"/>
      <c r="CE845" s="76"/>
      <c r="CF845" s="76" t="s">
        <v>631</v>
      </c>
      <c r="CG845" s="76"/>
      <c r="CH845" s="76" t="s">
        <v>631</v>
      </c>
      <c r="CI845" s="76" t="s">
        <v>631</v>
      </c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 t="s">
        <v>631</v>
      </c>
      <c r="DH845" s="9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95"/>
      <c r="DX845" s="90">
        <f t="shared" si="15"/>
        <v>5</v>
      </c>
    </row>
    <row r="846" spans="3:128" hidden="1" outlineLevel="1" x14ac:dyDescent="0.3">
      <c r="C846" s="4" t="s">
        <v>1283</v>
      </c>
      <c r="AW846" s="93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 t="s">
        <v>631</v>
      </c>
      <c r="DH846" s="9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95"/>
      <c r="DX846" s="90">
        <f t="shared" si="15"/>
        <v>1</v>
      </c>
    </row>
    <row r="847" spans="3:128" hidden="1" outlineLevel="1" x14ac:dyDescent="0.3">
      <c r="C847" s="4" t="s">
        <v>1284</v>
      </c>
      <c r="AW847" s="93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 t="s">
        <v>631</v>
      </c>
      <c r="DH847" s="9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95"/>
      <c r="DX847" s="90">
        <f t="shared" si="15"/>
        <v>1</v>
      </c>
    </row>
    <row r="848" spans="3:128" hidden="1" outlineLevel="1" x14ac:dyDescent="0.3">
      <c r="C848" s="4" t="s">
        <v>1285</v>
      </c>
      <c r="AW848" s="93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 t="s">
        <v>631</v>
      </c>
      <c r="CI848" s="76" t="s">
        <v>631</v>
      </c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 t="s">
        <v>631</v>
      </c>
      <c r="DH848" s="9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95"/>
      <c r="DX848" s="90">
        <f t="shared" si="15"/>
        <v>3</v>
      </c>
    </row>
    <row r="849" spans="3:128" hidden="1" outlineLevel="1" x14ac:dyDescent="0.3">
      <c r="C849" s="4" t="s">
        <v>1286</v>
      </c>
      <c r="AW849" s="93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 t="s">
        <v>631</v>
      </c>
      <c r="CI849" s="76" t="s">
        <v>631</v>
      </c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 t="s">
        <v>631</v>
      </c>
      <c r="DH849" s="9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95"/>
      <c r="DX849" s="90">
        <f t="shared" si="15"/>
        <v>3</v>
      </c>
    </row>
    <row r="850" spans="3:128" hidden="1" outlineLevel="1" x14ac:dyDescent="0.3">
      <c r="C850" s="4" t="s">
        <v>1287</v>
      </c>
      <c r="AW850" s="93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 t="s">
        <v>631</v>
      </c>
      <c r="CI850" s="76" t="s">
        <v>631</v>
      </c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 t="s">
        <v>631</v>
      </c>
      <c r="DH850" s="9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95"/>
      <c r="DX850" s="90">
        <f t="shared" si="15"/>
        <v>3</v>
      </c>
    </row>
  </sheetData>
  <autoFilter ref="A5:AV798" xr:uid="{EE3A1831-4433-43EB-AD1B-40B591DADD2C}"/>
  <mergeCells count="45">
    <mergeCell ref="DI3:DU3"/>
    <mergeCell ref="DO4:DO5"/>
    <mergeCell ref="DF4:DF5"/>
    <mergeCell ref="CK3:CM3"/>
    <mergeCell ref="BL3:BL4"/>
    <mergeCell ref="CR3:CU4"/>
    <mergeCell ref="DG4:DG5"/>
    <mergeCell ref="DN4:DN5"/>
    <mergeCell ref="DM4:DM5"/>
    <mergeCell ref="DH4:DH5"/>
    <mergeCell ref="DI4:DI5"/>
    <mergeCell ref="DJ4:DJ5"/>
    <mergeCell ref="DK4:DK5"/>
    <mergeCell ref="DL4:DL5"/>
    <mergeCell ref="DX4:DX5"/>
    <mergeCell ref="DY4:DY5"/>
    <mergeCell ref="DP4:DP5"/>
    <mergeCell ref="DQ4:DQ5"/>
    <mergeCell ref="DR4:DR5"/>
    <mergeCell ref="DS4:DS5"/>
    <mergeCell ref="DT4:DT5"/>
    <mergeCell ref="DU4:DU5"/>
    <mergeCell ref="F4:H4"/>
    <mergeCell ref="CY4:CY5"/>
    <mergeCell ref="CZ4:CZ5"/>
    <mergeCell ref="DA4:DA5"/>
    <mergeCell ref="DB4:DB5"/>
    <mergeCell ref="CV3:CV4"/>
    <mergeCell ref="CW3:CW4"/>
    <mergeCell ref="BW3:BW4"/>
    <mergeCell ref="BZ3:BZ4"/>
    <mergeCell ref="CA3:CE3"/>
    <mergeCell ref="CI3:CJ3"/>
    <mergeCell ref="CY3:DG3"/>
    <mergeCell ref="DC4:DC5"/>
    <mergeCell ref="BS3:BV4"/>
    <mergeCell ref="DD4:DD5"/>
    <mergeCell ref="DE4:DE5"/>
    <mergeCell ref="I1:K1"/>
    <mergeCell ref="AW3:AX3"/>
    <mergeCell ref="AY3:AY4"/>
    <mergeCell ref="AZ3:BC3"/>
    <mergeCell ref="CN3:CQ3"/>
    <mergeCell ref="BF3:BI4"/>
    <mergeCell ref="BP3:BR3"/>
  </mergeCells>
  <conditionalFormatting sqref="C1:C5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de314e-f52d-4c9f-b44f-4abcd04550b6" xsi:nil="true"/>
    <lcf76f155ced4ddcb4097134ff3c332f xmlns="b3135c27-0243-4daf-8b7a-788c1210fe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071979851D14FB210E4F5400C8FA6" ma:contentTypeVersion="13" ma:contentTypeDescription="Create a new document." ma:contentTypeScope="" ma:versionID="0c41825680dde91f1cc99276184c6a52">
  <xsd:schema xmlns:xsd="http://www.w3.org/2001/XMLSchema" xmlns:xs="http://www.w3.org/2001/XMLSchema" xmlns:p="http://schemas.microsoft.com/office/2006/metadata/properties" xmlns:ns2="b3135c27-0243-4daf-8b7a-788c1210fe2f" xmlns:ns3="1cde314e-f52d-4c9f-b44f-4abcd04550b6" targetNamespace="http://schemas.microsoft.com/office/2006/metadata/properties" ma:root="true" ma:fieldsID="7e660a6f7a8ff824ca20c6e81633a6f3" ns2:_="" ns3:_="">
    <xsd:import namespace="b3135c27-0243-4daf-8b7a-788c1210fe2f"/>
    <xsd:import namespace="1cde314e-f52d-4c9f-b44f-4abcd0455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35c27-0243-4daf-8b7a-788c1210f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09fcb3d-e549-4c68-b6bb-6683e36459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e314e-f52d-4c9f-b44f-4abcd04550b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a082afd-b992-446c-b07d-bd8dada0bcca}" ma:internalName="TaxCatchAll" ma:showField="CatchAllData" ma:web="1cde314e-f52d-4c9f-b44f-4abcd0455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EFDC8-497B-45D4-AEAF-88A76D1A8B02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b3135c27-0243-4daf-8b7a-788c1210fe2f"/>
    <ds:schemaRef ds:uri="http://schemas.microsoft.com/office/infopath/2007/PartnerControls"/>
    <ds:schemaRef ds:uri="1cde314e-f52d-4c9f-b44f-4abcd04550b6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F24220E-AD6F-4BE5-AC0B-E83BE10D66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58C36F-0B2A-4E59-B763-BDBB1DD1CA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35c27-0243-4daf-8b7a-788c1210fe2f"/>
    <ds:schemaRef ds:uri="1cde314e-f52d-4c9f-b44f-4abcd0455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SIOP File</vt:lpstr>
      <vt:lpstr>Pivot</vt:lpstr>
      <vt:lpstr>PFM NON-SELL</vt:lpstr>
      <vt:lpstr>PFM NON-SELL (Draft Layers)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Chmelka</dc:creator>
  <cp:lastModifiedBy>Adriana Ramirez</cp:lastModifiedBy>
  <dcterms:created xsi:type="dcterms:W3CDTF">2023-12-12T20:09:02Z</dcterms:created>
  <dcterms:modified xsi:type="dcterms:W3CDTF">2026-05-23T23:56:45Z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0x010100A2E071979851D14FB210E4F5400C8FA6</vt:lpwstr>
  </property>
  <property fmtid="{D5CDD505-2E9C-101B-9397-08002B2CF9AE}" pid="3" name="MediaServiceImageTags">
    <vt:lpwstr/>
  </property>
</Properties>
</file>