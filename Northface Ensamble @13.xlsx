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showInkAnnotation="0" codeName="ThisWorkbook"/>
  <mc:AlternateContent xmlns:mc="http://schemas.openxmlformats.org/markup-compatibility/2006">
    <mc:Choice Requires="x15">
      <x15ac:absPath xmlns:x15ac="http://schemas.microsoft.com/office/spreadsheetml/2010/11/ac" url="https://cadrexmfg-my.sharepoint.com/personal/adriana_ramirez_cadrex_com/Documents/Desktop/"/>
    </mc:Choice>
  </mc:AlternateContent>
  <xr:revisionPtr revIDLastSave="0" documentId="8_{7D93BD73-7860-4F8B-9E93-554C9322CF8F}" xr6:coauthVersionLast="47" xr6:coauthVersionMax="47" xr10:uidLastSave="{00000000-0000-0000-0000-000000000000}"/>
  <bookViews>
    <workbookView xWindow="-108" yWindow="-108" windowWidth="23256" windowHeight="13896" tabRatio="760" activeTab="2" xr2:uid="{00000000-000D-0000-FFFF-FFFF00000000}"/>
  </bookViews>
  <sheets>
    <sheet name="Master Sheet" sheetId="25" r:id="rId1"/>
    <sheet name="NORTH FACE" sheetId="26" r:id="rId2"/>
    <sheet name="Pillar Chart  NORTHFACE" sheetId="48" r:id="rId3"/>
    <sheet name="Configuración " sheetId="51" r:id="rId4"/>
  </sheets>
  <externalReferences>
    <externalReference r:id="rId5"/>
  </externalReferences>
  <definedNames>
    <definedName name="_xlnm.Print_Area" localSheetId="1">'NORTH FACE'!$A$1:$Z$219</definedName>
    <definedName name="Z_10706D36_BA02_4C9B_BB14_E5681E7D364B_.wvu.PrintArea" localSheetId="1" hidden="1">'NORTH FACE'!$A$1:$G$227</definedName>
    <definedName name="Z_20CB967B_BBB3_4545_BC7E_1CA516E801E5_.wvu.PrintArea" localSheetId="1" hidden="1">'NORTH FACE'!$A$1:$G$227</definedName>
    <definedName name="Z_42A5C532_7B39_4A03_9A1F_C87FC02A8FBE_.wvu.PrintArea" localSheetId="1" hidden="1">'NORTH FACE'!$A$1:$G$227</definedName>
    <definedName name="Z_747A655C_EDF8_4EDD_85DD_1DBF130CE294_.wvu.PrintArea" localSheetId="1" hidden="1">'NORTH FACE'!$A$1:$G$227</definedName>
    <definedName name="Z_C2E69F2E_A9F9_41D7_A276_F797E269CBD2_.wvu.PrintArea" localSheetId="1" hidden="1">'NORTH FACE'!$A$1:$G$227</definedName>
    <definedName name="Z_D95E7917_B0F0_4C42_9A47_714BBBE290E3_.wvu.PrintArea" localSheetId="1" hidden="1">'NORTH FACE'!$A$1:$G$227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69" i="26" l="1"/>
  <c r="L169" i="26" s="1"/>
  <c r="J170" i="26"/>
  <c r="L170" i="26" s="1"/>
  <c r="L171" i="26"/>
  <c r="J172" i="26"/>
  <c r="L172" i="26" s="1"/>
  <c r="J173" i="26"/>
  <c r="L173" i="26" s="1"/>
  <c r="J174" i="26"/>
  <c r="L174" i="26" s="1"/>
  <c r="J175" i="26"/>
  <c r="L175" i="26" s="1"/>
  <c r="J176" i="26"/>
  <c r="L176" i="26" s="1"/>
  <c r="J177" i="26"/>
  <c r="L177" i="26" s="1"/>
  <c r="J178" i="26"/>
  <c r="L178" i="26" s="1"/>
  <c r="L179" i="26"/>
  <c r="J180" i="26"/>
  <c r="L180" i="26" s="1"/>
  <c r="J181" i="26"/>
  <c r="L181" i="26" s="1"/>
  <c r="J182" i="26"/>
  <c r="L182" i="26" s="1"/>
  <c r="J183" i="26"/>
  <c r="L183" i="26" s="1"/>
  <c r="J184" i="26"/>
  <c r="L184" i="26" s="1"/>
  <c r="L185" i="26"/>
  <c r="J186" i="26"/>
  <c r="L186" i="26" s="1"/>
  <c r="J187" i="26"/>
  <c r="L187" i="26" s="1"/>
  <c r="L188" i="26"/>
  <c r="J189" i="26"/>
  <c r="L189" i="26" s="1"/>
  <c r="J190" i="26"/>
  <c r="L190" i="26" s="1"/>
  <c r="J168" i="26"/>
  <c r="L168" i="26" s="1"/>
  <c r="J167" i="26"/>
  <c r="L167" i="26" s="1"/>
  <c r="J166" i="26"/>
  <c r="L166" i="26" s="1"/>
  <c r="J165" i="26"/>
  <c r="L165" i="26" s="1"/>
  <c r="J164" i="26"/>
  <c r="L164" i="26" s="1"/>
  <c r="J163" i="26"/>
  <c r="L163" i="26" s="1"/>
  <c r="L162" i="26"/>
  <c r="J161" i="26"/>
  <c r="L161" i="26" s="1"/>
  <c r="J160" i="26"/>
  <c r="L160" i="26" s="1"/>
  <c r="J159" i="26"/>
  <c r="L159" i="26" s="1"/>
  <c r="J158" i="26"/>
  <c r="L158" i="26" s="1"/>
  <c r="J157" i="26"/>
  <c r="L157" i="26" s="1"/>
  <c r="J156" i="26"/>
  <c r="L156" i="26" s="1"/>
  <c r="J155" i="26"/>
  <c r="L155" i="26" s="1"/>
  <c r="J154" i="26"/>
  <c r="L154" i="26" s="1"/>
  <c r="J153" i="26"/>
  <c r="L153" i="26" s="1"/>
  <c r="J152" i="26"/>
  <c r="L152" i="26" s="1"/>
  <c r="J151" i="26"/>
  <c r="L151" i="26" s="1"/>
  <c r="J150" i="26"/>
  <c r="L150" i="26" s="1"/>
  <c r="J149" i="26"/>
  <c r="L149" i="26" s="1"/>
  <c r="L147" i="26"/>
  <c r="J148" i="26"/>
  <c r="L148" i="26" s="1"/>
  <c r="J146" i="26"/>
  <c r="L146" i="26" s="1"/>
  <c r="J145" i="26"/>
  <c r="L145" i="26" s="1"/>
  <c r="J144" i="26"/>
  <c r="L144" i="26" s="1"/>
  <c r="J143" i="26"/>
  <c r="L143" i="26" s="1"/>
  <c r="J142" i="26"/>
  <c r="L142" i="26" s="1"/>
  <c r="J141" i="26"/>
  <c r="L141" i="26" s="1"/>
  <c r="J140" i="26"/>
  <c r="L140" i="26" s="1"/>
  <c r="J139" i="26"/>
  <c r="L139" i="26" s="1"/>
  <c r="J138" i="26"/>
  <c r="L138" i="26" s="1"/>
  <c r="J137" i="26"/>
  <c r="L137" i="26" s="1"/>
  <c r="J136" i="26"/>
  <c r="L136" i="26" s="1"/>
  <c r="L135" i="26"/>
  <c r="F132" i="26"/>
  <c r="G131" i="26"/>
  <c r="E130" i="26"/>
  <c r="D128" i="26"/>
  <c r="D125" i="26"/>
  <c r="D124" i="26"/>
  <c r="D123" i="26"/>
  <c r="A77" i="26"/>
  <c r="A78" i="26" s="1"/>
  <c r="A79" i="26" s="1"/>
  <c r="A80" i="26" s="1"/>
  <c r="A81" i="26" s="1"/>
  <c r="A82" i="26" s="1"/>
  <c r="A83" i="26" s="1"/>
  <c r="A84" i="26" s="1"/>
  <c r="A85" i="26" s="1"/>
  <c r="A86" i="26" s="1"/>
  <c r="A87" i="26" s="1"/>
  <c r="A88" i="26" s="1"/>
  <c r="D120" i="26"/>
  <c r="D119" i="26"/>
  <c r="E116" i="26"/>
  <c r="D114" i="26"/>
  <c r="D112" i="26"/>
  <c r="D107" i="26"/>
  <c r="D106" i="26"/>
  <c r="E103" i="26"/>
  <c r="A39" i="26"/>
  <c r="A40" i="26" s="1"/>
  <c r="A41" i="26" s="1"/>
  <c r="A42" i="26" s="1"/>
  <c r="A43" i="26" s="1"/>
  <c r="A44" i="26" s="1"/>
  <c r="A45" i="26" s="1"/>
  <c r="A46" i="26" s="1"/>
  <c r="A47" i="26" s="1"/>
  <c r="A48" i="26" s="1"/>
  <c r="C89" i="26"/>
  <c r="D87" i="26"/>
  <c r="D86" i="26"/>
  <c r="G85" i="26"/>
  <c r="D84" i="26"/>
  <c r="D83" i="26"/>
  <c r="D82" i="26"/>
  <c r="D80" i="26"/>
  <c r="D79" i="26"/>
  <c r="G78" i="26"/>
  <c r="G77" i="26"/>
  <c r="D76" i="26"/>
  <c r="B2" i="48"/>
  <c r="C76" i="26"/>
  <c r="C77" i="26" s="1"/>
  <c r="C78" i="26" s="1"/>
  <c r="C79" i="26" s="1"/>
  <c r="C80" i="26" s="1"/>
  <c r="C81" i="26" s="1"/>
  <c r="C82" i="26" s="1"/>
  <c r="C83" i="26" s="1"/>
  <c r="C84" i="26" s="1"/>
  <c r="C85" i="26" s="1"/>
  <c r="C86" i="26" s="1"/>
  <c r="C87" i="26" s="1"/>
  <c r="C88" i="26" s="1"/>
  <c r="A193" i="26"/>
  <c r="A194" i="26" s="1"/>
  <c r="A195" i="26" s="1"/>
  <c r="A196" i="26" s="1"/>
  <c r="A197" i="26" s="1"/>
  <c r="C3" i="51"/>
  <c r="E3" i="26"/>
  <c r="C5" i="26"/>
  <c r="A99" i="26"/>
  <c r="G45" i="48"/>
  <c r="F45" i="48"/>
  <c r="D99" i="26"/>
  <c r="D94" i="26"/>
  <c r="D92" i="26"/>
  <c r="A92" i="26"/>
  <c r="A93" i="26" s="1"/>
  <c r="A94" i="26" s="1"/>
  <c r="A95" i="26" s="1"/>
  <c r="A96" i="26" s="1"/>
  <c r="D91" i="26"/>
  <c r="E45" i="48"/>
  <c r="D45" i="48"/>
  <c r="C45" i="48"/>
  <c r="D72" i="26"/>
  <c r="D71" i="26"/>
  <c r="D70" i="26"/>
  <c r="D68" i="26"/>
  <c r="D67" i="26"/>
  <c r="D65" i="26"/>
  <c r="D64" i="26"/>
  <c r="D63" i="26"/>
  <c r="D61" i="26"/>
  <c r="D60" i="26"/>
  <c r="D59" i="26"/>
  <c r="E58" i="26"/>
  <c r="E57" i="26"/>
  <c r="D55" i="26"/>
  <c r="D53" i="26"/>
  <c r="E52" i="26"/>
  <c r="D51" i="26"/>
  <c r="D47" i="26"/>
  <c r="D46" i="26"/>
  <c r="D45" i="26"/>
  <c r="D44" i="26"/>
  <c r="D43" i="26"/>
  <c r="D40" i="26"/>
  <c r="D39" i="26"/>
  <c r="F5" i="26"/>
  <c r="C91" i="26" l="1"/>
  <c r="C93" i="26" s="1"/>
  <c r="C95" i="26" s="1"/>
  <c r="C90" i="26"/>
  <c r="C92" i="26" s="1"/>
  <c r="C94" i="26" s="1"/>
  <c r="C96" i="26" s="1"/>
  <c r="C97" i="26" s="1"/>
  <c r="C98" i="26" s="1"/>
  <c r="C99" i="26" s="1"/>
  <c r="C101" i="26" s="1"/>
  <c r="J45" i="48"/>
  <c r="I45" i="48"/>
  <c r="H45" i="48"/>
  <c r="A200" i="26"/>
  <c r="A201" i="26" s="1"/>
  <c r="A202" i="26" s="1"/>
  <c r="A203" i="26" s="1"/>
  <c r="A204" i="26" s="1"/>
  <c r="A205" i="26" s="1"/>
  <c r="A206" i="26" s="1"/>
  <c r="A207" i="26" s="1"/>
  <c r="A208" i="26" s="1"/>
  <c r="A209" i="26" s="1"/>
  <c r="A210" i="26" s="1"/>
  <c r="A211" i="26" s="1"/>
  <c r="A212" i="26" s="1"/>
  <c r="A213" i="26" s="1"/>
  <c r="A214" i="26" s="1"/>
  <c r="A215" i="26" s="1"/>
  <c r="A216" i="26" s="1"/>
  <c r="A217" i="26" s="1"/>
  <c r="A218" i="26" s="1"/>
  <c r="A219" i="26" s="1"/>
  <c r="A220" i="26" s="1"/>
  <c r="C134" i="26" l="1"/>
  <c r="C191" i="26" s="1"/>
  <c r="C198" i="26" s="1"/>
  <c r="C102" i="26"/>
  <c r="C103" i="26" s="1"/>
  <c r="C104" i="26" s="1"/>
  <c r="C105" i="26" s="1"/>
  <c r="C106" i="26" s="1"/>
  <c r="C107" i="26" s="1"/>
  <c r="C108" i="26" s="1"/>
  <c r="C109" i="26" s="1"/>
  <c r="C110" i="26" s="1"/>
  <c r="C111" i="26" s="1"/>
  <c r="C112" i="26" s="1"/>
  <c r="C113" i="26" s="1"/>
  <c r="C114" i="26" s="1"/>
  <c r="C115" i="26" s="1"/>
  <c r="C116" i="26" s="1"/>
  <c r="C117" i="26" s="1"/>
  <c r="C118" i="26" s="1"/>
  <c r="C119" i="26" s="1"/>
  <c r="C120" i="26" s="1"/>
  <c r="C121" i="26" s="1"/>
  <c r="C122" i="26" s="1"/>
  <c r="C123" i="26" s="1"/>
  <c r="C124" i="26" s="1"/>
  <c r="C125" i="26" s="1"/>
  <c r="C126" i="26" s="1"/>
  <c r="C127" i="26" s="1"/>
  <c r="C128" i="26" s="1"/>
  <c r="C129" i="26" s="1"/>
  <c r="C130" i="26" s="1"/>
  <c r="C131" i="26" s="1"/>
  <c r="C132" i="26" s="1"/>
  <c r="C133" i="26" s="1"/>
  <c r="A136" i="26"/>
  <c r="A137" i="26" s="1"/>
  <c r="A138" i="26" s="1"/>
  <c r="A139" i="26" s="1"/>
  <c r="A140" i="26" s="1"/>
  <c r="A141" i="26" s="1"/>
  <c r="A142" i="26" s="1"/>
  <c r="A143" i="26" s="1"/>
  <c r="A144" i="26" s="1"/>
  <c r="A145" i="26" s="1"/>
  <c r="A146" i="26" s="1"/>
  <c r="A147" i="26" s="1"/>
  <c r="A148" i="26" s="1"/>
  <c r="A149" i="26" s="1"/>
  <c r="A150" i="26" s="1"/>
  <c r="A151" i="26" s="1"/>
  <c r="A152" i="26" s="1"/>
  <c r="A153" i="26" s="1"/>
  <c r="A154" i="26" s="1"/>
  <c r="A155" i="26" s="1"/>
  <c r="A156" i="26" s="1"/>
  <c r="A157" i="26" s="1"/>
  <c r="A158" i="26" s="1"/>
  <c r="A159" i="26" s="1"/>
  <c r="A160" i="26" s="1"/>
  <c r="A161" i="26" s="1"/>
  <c r="A162" i="26" s="1"/>
  <c r="A163" i="26" s="1"/>
  <c r="A164" i="26" s="1"/>
  <c r="A165" i="26" s="1"/>
  <c r="A166" i="26" s="1"/>
  <c r="A167" i="26" s="1"/>
  <c r="A168" i="26" s="1"/>
  <c r="A169" i="26" s="1"/>
  <c r="A170" i="26" s="1"/>
  <c r="A171" i="26" s="1"/>
  <c r="A172" i="26" s="1"/>
  <c r="A173" i="26" s="1"/>
  <c r="A174" i="26" s="1"/>
  <c r="A175" i="26" s="1"/>
  <c r="A176" i="26" s="1"/>
  <c r="A177" i="26" s="1"/>
  <c r="A178" i="26" s="1"/>
  <c r="A179" i="26" s="1"/>
  <c r="A180" i="26" s="1"/>
  <c r="A181" i="26" s="1"/>
  <c r="A182" i="26" s="1"/>
  <c r="A183" i="26" s="1"/>
  <c r="A184" i="26" s="1"/>
  <c r="A185" i="26" s="1"/>
  <c r="A186" i="26" s="1"/>
  <c r="A187" i="26" s="1"/>
  <c r="A188" i="26" s="1"/>
  <c r="A189" i="26" s="1"/>
  <c r="A190" i="26" s="1"/>
  <c r="A103" i="26" l="1"/>
  <c r="A104" i="26" s="1"/>
  <c r="A105" i="26" s="1"/>
  <c r="A106" i="26" s="1"/>
  <c r="A107" i="26" s="1"/>
  <c r="A108" i="26" s="1"/>
  <c r="A109" i="26" s="1"/>
  <c r="A110" i="26" s="1"/>
  <c r="A111" i="26" s="1"/>
  <c r="A112" i="26" s="1"/>
  <c r="A113" i="26" s="1"/>
  <c r="A114" i="26" s="1"/>
  <c r="A115" i="26" s="1"/>
  <c r="A116" i="26" s="1"/>
  <c r="A117" i="26" s="1"/>
  <c r="A118" i="26" s="1"/>
  <c r="A119" i="26" s="1"/>
  <c r="A120" i="26" s="1"/>
  <c r="A121" i="26" s="1"/>
  <c r="A122" i="26" s="1"/>
  <c r="A123" i="26" s="1"/>
  <c r="A124" i="26" s="1"/>
  <c r="A125" i="26" s="1"/>
  <c r="A126" i="26" s="1"/>
  <c r="A127" i="26" s="1"/>
  <c r="A128" i="26" s="1"/>
  <c r="A129" i="26" s="1"/>
  <c r="A130" i="26" s="1"/>
  <c r="A131" i="26" s="1"/>
  <c r="A132" i="26" s="1"/>
  <c r="A133" i="26" s="1"/>
  <c r="G3" i="26" l="1"/>
  <c r="Q32" i="26" l="1"/>
  <c r="Q26" i="26"/>
  <c r="Q23" i="26"/>
  <c r="Q10" i="26"/>
  <c r="N10" i="26"/>
  <c r="V5" i="26"/>
  <c r="U11" i="26"/>
  <c r="U5" i="26"/>
  <c r="T8" i="26"/>
  <c r="R8" i="26"/>
  <c r="Q8" i="26"/>
  <c r="V9" i="26"/>
  <c r="N5" i="26"/>
  <c r="U39" i="26"/>
  <c r="T39" i="26"/>
  <c r="L18" i="26"/>
  <c r="T9" i="26"/>
  <c r="Q39" i="26"/>
  <c r="I53" i="48" s="1"/>
  <c r="P39" i="26"/>
  <c r="H53" i="48" s="1"/>
  <c r="O25" i="26"/>
  <c r="V32" i="26"/>
  <c r="N25" i="26"/>
  <c r="M22" i="26"/>
  <c r="T26" i="26"/>
  <c r="S26" i="26"/>
  <c r="R32" i="26"/>
  <c r="R23" i="26"/>
  <c r="R10" i="26"/>
  <c r="P32" i="26"/>
  <c r="P26" i="26"/>
  <c r="P23" i="26"/>
  <c r="P10" i="26"/>
  <c r="O10" i="26"/>
  <c r="V15" i="26"/>
  <c r="V11" i="26"/>
  <c r="M10" i="26"/>
  <c r="L10" i="26"/>
  <c r="S8" i="26"/>
  <c r="N8" i="26"/>
  <c r="M30" i="26"/>
  <c r="L30" i="26"/>
  <c r="T25" i="26"/>
  <c r="L11" i="26"/>
  <c r="Q25" i="26"/>
  <c r="Q9" i="26"/>
  <c r="P22" i="26"/>
  <c r="O39" i="26"/>
  <c r="G53" i="48" s="1"/>
  <c r="O22" i="26"/>
  <c r="V26" i="26"/>
  <c r="N9" i="26"/>
  <c r="M25" i="26"/>
  <c r="M9" i="26"/>
  <c r="L25" i="26"/>
  <c r="S23" i="26"/>
  <c r="O32" i="26"/>
  <c r="O26" i="26"/>
  <c r="O23" i="26"/>
  <c r="V8" i="26"/>
  <c r="T5" i="26"/>
  <c r="S25" i="26"/>
  <c r="P9" i="26"/>
  <c r="N32" i="26"/>
  <c r="V30" i="26"/>
  <c r="V27" i="26"/>
  <c r="N26" i="26"/>
  <c r="N23" i="26"/>
  <c r="V18" i="26"/>
  <c r="U8" i="26"/>
  <c r="U22" i="26"/>
  <c r="R9" i="26"/>
  <c r="U10" i="26"/>
  <c r="L22" i="26"/>
  <c r="S32" i="26"/>
  <c r="M32" i="26"/>
  <c r="U30" i="26"/>
  <c r="U27" i="26"/>
  <c r="M26" i="26"/>
  <c r="M23" i="26"/>
  <c r="U18" i="26"/>
  <c r="U15" i="26"/>
  <c r="R5" i="26"/>
  <c r="M5" i="26"/>
  <c r="L15" i="26"/>
  <c r="S39" i="26"/>
  <c r="T10" i="26"/>
  <c r="L32" i="26"/>
  <c r="T30" i="26"/>
  <c r="T27" i="26"/>
  <c r="L26" i="26"/>
  <c r="L23" i="26"/>
  <c r="T18" i="26"/>
  <c r="T15" i="26"/>
  <c r="T11" i="26"/>
  <c r="S5" i="26"/>
  <c r="M8" i="26"/>
  <c r="S30" i="26"/>
  <c r="S27" i="26"/>
  <c r="S18" i="26"/>
  <c r="S15" i="26"/>
  <c r="S11" i="26"/>
  <c r="P5" i="26"/>
  <c r="U9" i="26"/>
  <c r="U26" i="26"/>
  <c r="R30" i="26"/>
  <c r="R27" i="26"/>
  <c r="R18" i="26"/>
  <c r="R15" i="26"/>
  <c r="R11" i="26"/>
  <c r="Q5" i="26"/>
  <c r="L5" i="26"/>
  <c r="O9" i="26"/>
  <c r="N22" i="26"/>
  <c r="T32" i="26"/>
  <c r="L9" i="26"/>
  <c r="R26" i="26"/>
  <c r="Q30" i="26"/>
  <c r="Q27" i="26"/>
  <c r="Q18" i="26"/>
  <c r="Q15" i="26"/>
  <c r="Q11" i="26"/>
  <c r="N11" i="26"/>
  <c r="U25" i="26"/>
  <c r="V10" i="26"/>
  <c r="P30" i="26"/>
  <c r="P27" i="26"/>
  <c r="P18" i="26"/>
  <c r="P15" i="26"/>
  <c r="P11" i="26"/>
  <c r="P8" i="26"/>
  <c r="M11" i="26"/>
  <c r="T22" i="26"/>
  <c r="R22" i="26"/>
  <c r="U32" i="26"/>
  <c r="O30" i="26"/>
  <c r="O27" i="26"/>
  <c r="O18" i="26"/>
  <c r="O15" i="26"/>
  <c r="O11" i="26"/>
  <c r="O8" i="26"/>
  <c r="O5" i="26"/>
  <c r="V39" i="26"/>
  <c r="N30" i="26"/>
  <c r="N27" i="26"/>
  <c r="V25" i="26"/>
  <c r="V22" i="26"/>
  <c r="N18" i="26"/>
  <c r="N15" i="26"/>
  <c r="M27" i="26"/>
  <c r="M18" i="26"/>
  <c r="M15" i="26"/>
  <c r="L27" i="26"/>
  <c r="L8" i="26"/>
  <c r="S22" i="26"/>
  <c r="S9" i="26"/>
  <c r="R39" i="26"/>
  <c r="J53" i="48" s="1"/>
  <c r="R25" i="26"/>
  <c r="Q22" i="26"/>
  <c r="P25" i="26"/>
  <c r="N39" i="26"/>
  <c r="F53" i="48" s="1"/>
  <c r="V23" i="26"/>
  <c r="M39" i="26"/>
  <c r="E53" i="48" s="1"/>
  <c r="U23" i="26"/>
  <c r="L39" i="26"/>
  <c r="D53" i="48" s="1"/>
  <c r="T23" i="26"/>
  <c r="S10" i="26"/>
  <c r="D221" i="26" l="1"/>
  <c r="E221" i="26"/>
  <c r="F5" i="25" l="1"/>
  <c r="K49" i="48" l="1"/>
  <c r="U40" i="26"/>
  <c r="L40" i="26"/>
  <c r="V40" i="26"/>
  <c r="P40" i="26"/>
  <c r="M40" i="26"/>
  <c r="Q40" i="26"/>
  <c r="T40" i="26"/>
  <c r="R40" i="26"/>
  <c r="O40" i="26"/>
  <c r="N40" i="26"/>
  <c r="S40" i="26"/>
  <c r="G5" i="25"/>
  <c r="G224" i="26" l="1"/>
  <c r="H49" i="48"/>
  <c r="I49" i="48"/>
  <c r="J49" i="48"/>
  <c r="F49" i="48"/>
  <c r="E49" i="48"/>
  <c r="D49" i="48"/>
  <c r="C49" i="48"/>
  <c r="G49" i="48"/>
  <c r="H5" i="25"/>
  <c r="K39" i="26"/>
  <c r="C53" i="48" s="1"/>
  <c r="K53" i="48" l="1"/>
  <c r="K40" i="26"/>
  <c r="K27" i="26"/>
  <c r="K26" i="26"/>
  <c r="K25" i="26"/>
  <c r="K23" i="26"/>
  <c r="K22" i="26"/>
  <c r="K18" i="26"/>
  <c r="K15" i="26"/>
  <c r="K5" i="26"/>
  <c r="K8" i="26" l="1"/>
  <c r="K9" i="26"/>
  <c r="K10" i="26"/>
  <c r="K11" i="26"/>
  <c r="K32" i="26"/>
  <c r="G221" i="26" l="1"/>
  <c r="F221" i="26"/>
  <c r="K30" i="26" l="1"/>
  <c r="D225" i="26" l="1"/>
  <c r="G225" i="26" l="1"/>
  <c r="D226" i="26"/>
  <c r="G226" i="26" l="1"/>
  <c r="E5" i="26" s="1"/>
  <c r="P4" i="26" l="1"/>
  <c r="L4" i="26"/>
  <c r="V4" i="26"/>
  <c r="T4" i="26"/>
  <c r="U4" i="26"/>
  <c r="M4" i="26"/>
  <c r="S4" i="26"/>
  <c r="O4" i="26"/>
  <c r="R4" i="26"/>
  <c r="N4" i="26"/>
  <c r="K4" i="26"/>
  <c r="Q4" i="26"/>
  <c r="K14" i="26" l="1"/>
  <c r="Q20" i="26" l="1"/>
  <c r="O20" i="26"/>
  <c r="L20" i="26"/>
  <c r="T20" i="26"/>
  <c r="P20" i="26"/>
  <c r="S20" i="26"/>
  <c r="N20" i="26"/>
  <c r="M20" i="26"/>
  <c r="U20" i="26"/>
  <c r="R20" i="26"/>
  <c r="V20" i="26"/>
  <c r="K20" i="26"/>
  <c r="M16" i="26" l="1"/>
  <c r="N16" i="26"/>
  <c r="O16" i="26"/>
  <c r="S16" i="26"/>
  <c r="Q16" i="26"/>
  <c r="L16" i="26"/>
  <c r="U16" i="26"/>
  <c r="K16" i="26"/>
  <c r="V16" i="26"/>
  <c r="T16" i="26"/>
  <c r="P16" i="26"/>
  <c r="R16" i="26"/>
  <c r="V34" i="26" l="1"/>
  <c r="Q34" i="26"/>
  <c r="T34" i="26"/>
  <c r="L34" i="26"/>
  <c r="P34" i="26"/>
  <c r="R34" i="26"/>
  <c r="N34" i="26"/>
  <c r="S34" i="26"/>
  <c r="O34" i="26"/>
  <c r="U34" i="26"/>
  <c r="M34" i="26"/>
  <c r="K34" i="26"/>
  <c r="K31" i="26" l="1"/>
  <c r="K28" i="26" l="1"/>
  <c r="K37" i="26" l="1"/>
  <c r="M37" i="26" l="1"/>
  <c r="L37" i="26"/>
  <c r="T37" i="26"/>
  <c r="P37" i="26"/>
  <c r="Q37" i="26"/>
  <c r="U37" i="26"/>
  <c r="R37" i="26"/>
  <c r="O37" i="26"/>
  <c r="S37" i="26"/>
  <c r="V37" i="26"/>
  <c r="L31" i="26"/>
  <c r="R31" i="26"/>
  <c r="O31" i="26"/>
  <c r="T31" i="26"/>
  <c r="M31" i="26"/>
  <c r="N31" i="26"/>
  <c r="S31" i="26"/>
  <c r="P31" i="26"/>
  <c r="V31" i="26"/>
  <c r="Q31" i="26"/>
  <c r="U31" i="26"/>
  <c r="N37" i="26"/>
  <c r="N14" i="26"/>
  <c r="Q14" i="26"/>
  <c r="O14" i="26"/>
  <c r="U14" i="26"/>
  <c r="L14" i="26"/>
  <c r="P14" i="26"/>
  <c r="T14" i="26"/>
  <c r="R14" i="26"/>
  <c r="S14" i="26"/>
  <c r="M14" i="26"/>
  <c r="V14" i="26"/>
  <c r="U28" i="26"/>
  <c r="R28" i="26"/>
  <c r="P28" i="26"/>
  <c r="M28" i="26"/>
  <c r="L28" i="26"/>
  <c r="Q28" i="26"/>
  <c r="V28" i="26"/>
  <c r="O28" i="26"/>
  <c r="N28" i="26"/>
  <c r="T28" i="26"/>
  <c r="S28" i="26"/>
  <c r="R24" i="26" l="1"/>
  <c r="N24" i="26"/>
  <c r="T24" i="26"/>
  <c r="Q24" i="26"/>
  <c r="S24" i="26"/>
  <c r="K24" i="26"/>
  <c r="P24" i="26"/>
  <c r="O24" i="26"/>
  <c r="U24" i="26"/>
  <c r="V24" i="26"/>
  <c r="M24" i="26"/>
  <c r="L24" i="26"/>
  <c r="N7" i="26" l="1"/>
  <c r="T7" i="26"/>
  <c r="M7" i="26"/>
  <c r="K7" i="26"/>
  <c r="V7" i="26"/>
  <c r="U7" i="26"/>
  <c r="R7" i="26"/>
  <c r="S7" i="26"/>
  <c r="O7" i="26"/>
  <c r="L7" i="26"/>
  <c r="Q7" i="26"/>
  <c r="P7" i="26"/>
  <c r="K21" i="26" l="1"/>
  <c r="N21" i="26"/>
  <c r="Q21" i="26"/>
  <c r="P21" i="26"/>
  <c r="T21" i="26"/>
  <c r="M21" i="26"/>
  <c r="V21" i="26"/>
  <c r="L21" i="26"/>
  <c r="R21" i="26"/>
  <c r="O21" i="26"/>
  <c r="S21" i="26"/>
  <c r="U21" i="26"/>
  <c r="N29" i="26" l="1"/>
  <c r="T29" i="26"/>
  <c r="Q29" i="26"/>
  <c r="S29" i="26"/>
  <c r="R29" i="26"/>
  <c r="M29" i="26"/>
  <c r="U29" i="26"/>
  <c r="V29" i="26"/>
  <c r="L29" i="26"/>
  <c r="K29" i="26"/>
  <c r="P29" i="26"/>
  <c r="O29" i="26"/>
  <c r="K12" i="26" l="1"/>
  <c r="Q12" i="26"/>
  <c r="L12" i="26"/>
  <c r="U12" i="26"/>
  <c r="O12" i="26"/>
  <c r="M12" i="26"/>
  <c r="T12" i="26"/>
  <c r="P12" i="26"/>
  <c r="N12" i="26"/>
  <c r="V12" i="26"/>
  <c r="S12" i="26"/>
  <c r="R12" i="26"/>
  <c r="T3" i="26" l="1"/>
  <c r="L3" i="26"/>
  <c r="S3" i="26"/>
  <c r="Q3" i="26"/>
  <c r="N3" i="26"/>
  <c r="P3" i="26"/>
  <c r="O3" i="26"/>
  <c r="V3" i="26"/>
  <c r="M3" i="26"/>
  <c r="U3" i="26"/>
  <c r="K3" i="26"/>
  <c r="R3" i="26"/>
  <c r="N36" i="26" l="1"/>
  <c r="F52" i="48" s="1"/>
  <c r="Q36" i="26"/>
  <c r="I52" i="48" s="1"/>
  <c r="M36" i="26"/>
  <c r="E52" i="48" s="1"/>
  <c r="V36" i="26"/>
  <c r="R36" i="26"/>
  <c r="J52" i="48" s="1"/>
  <c r="T36" i="26"/>
  <c r="L36" i="26"/>
  <c r="D52" i="48" s="1"/>
  <c r="K36" i="26"/>
  <c r="C52" i="48" s="1"/>
  <c r="O36" i="26"/>
  <c r="G52" i="48" s="1"/>
  <c r="P36" i="26"/>
  <c r="H52" i="48" s="1"/>
  <c r="U36" i="26"/>
  <c r="S36" i="26"/>
  <c r="K38" i="26" l="1"/>
  <c r="O38" i="26"/>
  <c r="T38" i="26"/>
  <c r="R38" i="26"/>
  <c r="L38" i="26"/>
  <c r="V38" i="26"/>
  <c r="M38" i="26"/>
  <c r="Q38" i="26"/>
  <c r="N38" i="26"/>
  <c r="S6" i="26"/>
  <c r="K6" i="26"/>
  <c r="C50" i="48" s="1"/>
  <c r="M6" i="26"/>
  <c r="E50" i="48" s="1"/>
  <c r="P6" i="26"/>
  <c r="H50" i="48" s="1"/>
  <c r="U6" i="26"/>
  <c r="N6" i="26"/>
  <c r="F50" i="48" s="1"/>
  <c r="O6" i="26"/>
  <c r="G50" i="48" s="1"/>
  <c r="V6" i="26"/>
  <c r="T6" i="26"/>
  <c r="Q6" i="26"/>
  <c r="I50" i="48" s="1"/>
  <c r="R6" i="26"/>
  <c r="J50" i="48" s="1"/>
  <c r="L6" i="26"/>
  <c r="D50" i="48" s="1"/>
  <c r="S38" i="26"/>
  <c r="U38" i="26"/>
  <c r="P38" i="26"/>
  <c r="L13" i="26" l="1"/>
  <c r="Q13" i="26"/>
  <c r="R13" i="26"/>
  <c r="T13" i="26"/>
  <c r="V13" i="26"/>
  <c r="O13" i="26"/>
  <c r="N13" i="26"/>
  <c r="P13" i="26"/>
  <c r="M13" i="26"/>
  <c r="K13" i="26"/>
  <c r="S13" i="26"/>
  <c r="K52" i="48"/>
  <c r="U13" i="26"/>
  <c r="K17" i="26"/>
  <c r="N17" i="26"/>
  <c r="L17" i="26"/>
  <c r="S17" i="26"/>
  <c r="O17" i="26"/>
  <c r="Q17" i="26"/>
  <c r="P17" i="26"/>
  <c r="T17" i="26"/>
  <c r="V17" i="26"/>
  <c r="M17" i="26"/>
  <c r="U17" i="26"/>
  <c r="R17" i="26"/>
  <c r="K50" i="48" l="1"/>
  <c r="K33" i="26"/>
  <c r="M33" i="26"/>
  <c r="T33" i="26"/>
  <c r="R33" i="26"/>
  <c r="N33" i="26"/>
  <c r="P33" i="26"/>
  <c r="S33" i="26"/>
  <c r="U33" i="26"/>
  <c r="V33" i="26"/>
  <c r="Q33" i="26"/>
  <c r="L33" i="26"/>
  <c r="O33" i="26"/>
  <c r="U19" i="26"/>
  <c r="L19" i="26"/>
  <c r="K19" i="26"/>
  <c r="R19" i="26"/>
  <c r="M19" i="26"/>
  <c r="Q19" i="26"/>
  <c r="S19" i="26"/>
  <c r="T19" i="26"/>
  <c r="P19" i="26"/>
  <c r="N19" i="26"/>
  <c r="O19" i="26"/>
  <c r="V19" i="26"/>
  <c r="D51" i="48" l="1"/>
  <c r="D48" i="48" s="1"/>
  <c r="H51" i="48"/>
  <c r="H48" i="48" s="1"/>
  <c r="R35" i="26"/>
  <c r="G51" i="48"/>
  <c r="G48" i="48" s="1"/>
  <c r="F51" i="48"/>
  <c r="F48" i="48" s="1"/>
  <c r="C51" i="48"/>
  <c r="C48" i="48" s="1"/>
  <c r="I51" i="48"/>
  <c r="I48" i="48" s="1"/>
  <c r="E51" i="48"/>
  <c r="E48" i="48" s="1"/>
  <c r="J51" i="48"/>
  <c r="J48" i="48" s="1"/>
  <c r="T35" i="26"/>
  <c r="S35" i="26"/>
  <c r="P35" i="26"/>
  <c r="Q35" i="26"/>
  <c r="L35" i="26"/>
  <c r="O35" i="26"/>
  <c r="M35" i="26"/>
  <c r="K35" i="26"/>
  <c r="N35" i="26"/>
  <c r="V35" i="26"/>
  <c r="U35" i="26"/>
  <c r="L6" i="25" l="1"/>
  <c r="L5" i="25"/>
  <c r="F47" i="48"/>
  <c r="F54" i="48"/>
  <c r="E47" i="48"/>
  <c r="E54" i="48"/>
  <c r="J54" i="48"/>
  <c r="J47" i="48"/>
  <c r="I47" i="48"/>
  <c r="I54" i="48"/>
  <c r="D54" i="48"/>
  <c r="D47" i="48"/>
  <c r="H54" i="48"/>
  <c r="H47" i="48"/>
  <c r="G54" i="48"/>
  <c r="G47" i="48"/>
  <c r="K48" i="48"/>
  <c r="C54" i="48"/>
  <c r="C47" i="48"/>
  <c r="K51" i="48"/>
  <c r="L7" i="25" l="1"/>
  <c r="K47" i="48"/>
  <c r="K54" i="48"/>
</calcChain>
</file>

<file path=xl/sharedStrings.xml><?xml version="1.0" encoding="utf-8"?>
<sst xmlns="http://schemas.openxmlformats.org/spreadsheetml/2006/main" count="269" uniqueCount="244">
  <si>
    <t>Main Line</t>
  </si>
  <si>
    <t>Average for models</t>
  </si>
  <si>
    <t>OPERADOR</t>
  </si>
  <si>
    <t>Tiempo disponible de operación.</t>
  </si>
  <si>
    <t>Producción diaria</t>
  </si>
  <si>
    <t>Over Speed</t>
  </si>
  <si>
    <t>Min. a Seg.</t>
  </si>
  <si>
    <t>Takt Time (Seg)</t>
  </si>
  <si>
    <t>Takt Time (Min)</t>
  </si>
  <si>
    <t>Takt Time (Hr)</t>
  </si>
  <si>
    <t>Fecha</t>
  </si>
  <si>
    <t>Models</t>
  </si>
  <si>
    <t>Operador 1</t>
  </si>
  <si>
    <t>Subassembly</t>
  </si>
  <si>
    <t>HOJA DE TRABAJO ESTÁNDAR</t>
  </si>
  <si>
    <t>Área</t>
  </si>
  <si>
    <t>Linea</t>
  </si>
  <si>
    <t>Tiempo de Operación Disponible</t>
  </si>
  <si>
    <t>Fecha de Revisión:</t>
  </si>
  <si>
    <t>Ensamble</t>
  </si>
  <si>
    <t>NORTH FACE</t>
  </si>
  <si>
    <t>Apretar</t>
  </si>
  <si>
    <t>Proceso</t>
  </si>
  <si>
    <t>Modelo</t>
  </si>
  <si>
    <t>Eficiencia%</t>
  </si>
  <si>
    <t>Produccion Diaria</t>
  </si>
  <si>
    <t>No. De Revisión:</t>
  </si>
  <si>
    <t>Conectar</t>
  </si>
  <si>
    <t>Linea produccion</t>
  </si>
  <si>
    <t>Elaborar</t>
  </si>
  <si>
    <t>Mapa del Lugar de Trabajo</t>
  </si>
  <si>
    <t>Instalar</t>
  </si>
  <si>
    <t>Perforar</t>
  </si>
  <si>
    <t>Programar</t>
  </si>
  <si>
    <t>Puntear</t>
  </si>
  <si>
    <t>Remachar</t>
  </si>
  <si>
    <t>Rutear</t>
  </si>
  <si>
    <t>%</t>
  </si>
  <si>
    <t>Abrir</t>
  </si>
  <si>
    <t>Activar</t>
  </si>
  <si>
    <t>Aflojar</t>
  </si>
  <si>
    <t>Ajustar</t>
  </si>
  <si>
    <t>Cerrar</t>
  </si>
  <si>
    <t>Colocar</t>
  </si>
  <si>
    <t>Cortar</t>
  </si>
  <si>
    <t>Dejar</t>
  </si>
  <si>
    <t>Encender</t>
  </si>
  <si>
    <t>Firmar</t>
  </si>
  <si>
    <t>Marcar</t>
  </si>
  <si>
    <t>Guiar</t>
  </si>
  <si>
    <t>Juntar</t>
  </si>
  <si>
    <t>Meter</t>
  </si>
  <si>
    <t>Mover</t>
  </si>
  <si>
    <t>Preparar</t>
  </si>
  <si>
    <t>Pulir</t>
  </si>
  <si>
    <t>Quitar</t>
  </si>
  <si>
    <t>Sacar</t>
  </si>
  <si>
    <t>Tomar</t>
  </si>
  <si>
    <t>Verificar</t>
  </si>
  <si>
    <t>#</t>
  </si>
  <si>
    <t>ELEMENTO</t>
  </si>
  <si>
    <t># Operador</t>
  </si>
  <si>
    <t>BEC Time  (seg..)</t>
  </si>
  <si>
    <r>
      <rPr>
        <sz val="12"/>
        <color theme="1"/>
        <rFont val="Arial"/>
        <family val="2"/>
      </rPr>
      <t>Work Time</t>
    </r>
    <r>
      <rPr>
        <sz val="12"/>
        <color rgb="FF0000CC"/>
        <rFont val="Arial"/>
        <family val="2"/>
      </rPr>
      <t xml:space="preserve"> (seg…)</t>
    </r>
  </si>
  <si>
    <r>
      <t xml:space="preserve">Tiempo de Espera </t>
    </r>
    <r>
      <rPr>
        <sz val="12"/>
        <color indexed="12"/>
        <rFont val="Arial"/>
        <family val="2"/>
      </rPr>
      <t>(seg..)</t>
    </r>
  </si>
  <si>
    <r>
      <t xml:space="preserve">Tiempo de Caminatas </t>
    </r>
    <r>
      <rPr>
        <sz val="12"/>
        <color indexed="12"/>
        <rFont val="Arial"/>
        <family val="2"/>
      </rPr>
      <t>(seg..)</t>
    </r>
  </si>
  <si>
    <t xml:space="preserve">Fabricacion </t>
  </si>
  <si>
    <t>Caminar</t>
  </si>
  <si>
    <t>Trasladar</t>
  </si>
  <si>
    <t xml:space="preserve">Preparar material </t>
  </si>
  <si>
    <t>Esperar</t>
  </si>
  <si>
    <t>Elaborar subensamble ASY/05275-01;A0 1/6</t>
  </si>
  <si>
    <t>Elaborar subensamble ASY/05275-01;A0 2/6</t>
  </si>
  <si>
    <t>Elaborar subensamble ASY/05275-01;A0 3/6</t>
  </si>
  <si>
    <t>Elaborar subensamble ASY/05275-01;A0 4/6</t>
  </si>
  <si>
    <t>Elaborar subensamble ASY/05275-01;A0 5/6</t>
  </si>
  <si>
    <t>Elaborar subensamble ASY/05275-01;A0 6/6</t>
  </si>
  <si>
    <t>Estacion #2-Fabricacion</t>
  </si>
  <si>
    <t xml:space="preserve">Elaborar armado de caja </t>
  </si>
  <si>
    <t xml:space="preserve">Instalar remaches </t>
  </si>
  <si>
    <t>Colocar pieza en fixture, piezas y remaches</t>
  </si>
  <si>
    <t>Instalar remaches (fixture por remaches)</t>
  </si>
  <si>
    <t>Quitar fixture y voltear carcasa</t>
  </si>
  <si>
    <t>Instalar solapas 6/6</t>
  </si>
  <si>
    <t>Estacion #3-Fabricacion</t>
  </si>
  <si>
    <t>Colocar cinta en solapas (evita rayas)</t>
  </si>
  <si>
    <t>Colocar tapa carcasa, alinear holes</t>
  </si>
  <si>
    <t>Instalar flecos y remaches para tapa 41H</t>
  </si>
  <si>
    <t>Instalar flecos y remaches para tapa 3030PT</t>
  </si>
  <si>
    <t xml:space="preserve">Instalar cercha </t>
  </si>
  <si>
    <t>Trasladar pieza retrabajada y corregirlo</t>
  </si>
  <si>
    <t>Instalar remaches 41</t>
  </si>
  <si>
    <t>Instalar MTL-02215-02;A1, flecos y remaches</t>
  </si>
  <si>
    <t>Instalar resortes</t>
  </si>
  <si>
    <t>Verificar todos los ensambles</t>
  </si>
  <si>
    <t>Instalar tapa MTL-02352-04;A0</t>
  </si>
  <si>
    <t xml:space="preserve">Instalar remches internos </t>
  </si>
  <si>
    <t xml:space="preserve">Instalar ASY-04181-01;A0, flecos y remaches </t>
  </si>
  <si>
    <t xml:space="preserve">Instalar manijas ASY-03278-05;A0 2/2 , remaches </t>
  </si>
  <si>
    <t>Instalar mech gris y placa autoadherible</t>
  </si>
  <si>
    <t>Colocar mech negra (cinchos(</t>
  </si>
  <si>
    <t>H</t>
  </si>
  <si>
    <t>Estacion #4-H</t>
  </si>
  <si>
    <t>Elaborar subensamble MTL-02237-04;A0, remaches 391 y frames</t>
  </si>
  <si>
    <t xml:space="preserve">Trasladar herramienta remachadora falla </t>
  </si>
  <si>
    <t>Trasladar no tiene avellanado correcto pieza MTL-0223704;A06, taladro no funciona</t>
  </si>
  <si>
    <t>Instalar placa ASY-03135-03;A0, remaches 41H</t>
  </si>
  <si>
    <t>Instalar ASY-03139-03;A0, remaches 41H</t>
  </si>
  <si>
    <t>Instalar CBL-00408-05;B0, remaches 41H</t>
  </si>
  <si>
    <t>Instalar MTL-02202-03, remaches 41H</t>
  </si>
  <si>
    <t>Instalar MTL-03697-01;A0</t>
  </si>
  <si>
    <t>Instalar ASY-03229-27;C0 con ensamble y tornillos</t>
  </si>
  <si>
    <t>Caminar a buscar torque 15 in lb</t>
  </si>
  <si>
    <t>Apretar tornillos con torque 15 in lb</t>
  </si>
  <si>
    <t>Apretar 10 tornillos para fijar pieza</t>
  </si>
  <si>
    <t xml:space="preserve">Instalar mech gris </t>
  </si>
  <si>
    <t>Tapa estacion 4</t>
  </si>
  <si>
    <t>Elaborar subensamble MTL-02239-01 y MTL-02237-01 1/1</t>
  </si>
  <si>
    <t xml:space="preserve">Elaborar subensamble MTL-02237-04; remaches 41H 1/1 </t>
  </si>
  <si>
    <t>Instalar GSKT-00352 1/1</t>
  </si>
  <si>
    <t>Elaborar subensamblar MECH-01754-03 1/1</t>
  </si>
  <si>
    <t>Instalar subensamble en tapa 1/1</t>
  </si>
  <si>
    <t>Tapa estacion 6</t>
  </si>
  <si>
    <t>Elaborar subensamble MTL-0226-02;A0, remaches 41H</t>
  </si>
  <si>
    <t>Total</t>
  </si>
  <si>
    <t>SYM  REFERENCE</t>
  </si>
  <si>
    <t>Takt Time:</t>
  </si>
  <si>
    <t>Tiempo Cronometro de la Op. (Min):</t>
  </si>
  <si>
    <t>Operadores requeridos (Teoricamente):</t>
  </si>
  <si>
    <t>Tiempo Estandar de la Op. (Min.):</t>
  </si>
  <si>
    <t>Operadores requeridos:</t>
  </si>
  <si>
    <t>PROMEDIO</t>
  </si>
  <si>
    <t>MPH</t>
  </si>
  <si>
    <t>Cycle Time</t>
  </si>
  <si>
    <t>Takt Time</t>
  </si>
  <si>
    <t>Assy</t>
  </si>
  <si>
    <t>Work Time</t>
  </si>
  <si>
    <t>Walk Time</t>
  </si>
  <si>
    <t>Wait Time</t>
  </si>
  <si>
    <t>WAR %</t>
  </si>
  <si>
    <t>ENSAMBLE</t>
  </si>
  <si>
    <t>Fabricacion</t>
  </si>
  <si>
    <t>Estacion 1</t>
  </si>
  <si>
    <t>Estacion 2</t>
  </si>
  <si>
    <t>Estacion 3</t>
  </si>
  <si>
    <t>Estacion 4</t>
  </si>
  <si>
    <t>Estacion 5</t>
  </si>
  <si>
    <t>Empaque</t>
  </si>
  <si>
    <t>Estacion 6</t>
  </si>
  <si>
    <t>Estacion 7</t>
  </si>
  <si>
    <t>Integracion</t>
  </si>
  <si>
    <t>Estacion 8</t>
  </si>
  <si>
    <t>Estacion 9</t>
  </si>
  <si>
    <t>Testing</t>
  </si>
  <si>
    <t>Estacion 10</t>
  </si>
  <si>
    <t>Estacion 12</t>
  </si>
  <si>
    <t>Elaborar subensamble MTL-02356-04;80 1/4</t>
  </si>
  <si>
    <t>Elaborar subensamble MTL-02356-04;80 2/4</t>
  </si>
  <si>
    <t>Elaborar subensamble MTL-02356-04;80 3/4</t>
  </si>
  <si>
    <t>Elaborar subensamble MTL-02356-04;80 4/4</t>
  </si>
  <si>
    <t>Verificar pieza</t>
  </si>
  <si>
    <t>Preparar material e ir por pieza fabricacion</t>
  </si>
  <si>
    <t>Preparar material e ir por pieza H</t>
  </si>
  <si>
    <t xml:space="preserve">Elaborar subensambe Fabricacion y H </t>
  </si>
  <si>
    <t>Instalar subensamble, remaches 41H</t>
  </si>
  <si>
    <t>Instalar ASY-05271-01</t>
  </si>
  <si>
    <t>Mover (bajar) mesa</t>
  </si>
  <si>
    <t>Instalar ASY-03152-06, remaches 41H</t>
  </si>
  <si>
    <t>Instalar ASY-04756-04, remaches 41H y 42H</t>
  </si>
  <si>
    <t>Instalar ASY-03136-03, remaches 41H</t>
  </si>
  <si>
    <t>Instalar ASY-03136 y 37, remaches 41H</t>
  </si>
  <si>
    <t>Instalar MTL-02213-05</t>
  </si>
  <si>
    <t>Preparar material</t>
  </si>
  <si>
    <t>Instalar MTL-02218-01, remaches 41H</t>
  </si>
  <si>
    <t>Instalar MECH-0754-04 (8)</t>
  </si>
  <si>
    <t>Colocar debajo de unidad esponja rosa</t>
  </si>
  <si>
    <t>Instalar MECH-01253-01</t>
  </si>
  <si>
    <t>Instalar ASY-03153-04, remaches 41H</t>
  </si>
  <si>
    <t>Instalar ASY-04757-03, remaches 41H</t>
  </si>
  <si>
    <t>Instalar MTL-02322-03, remaches 3030PT y 41H</t>
  </si>
  <si>
    <t>Instalar MECH-01754-04</t>
  </si>
  <si>
    <t>Instalar MECH-01196 (2)</t>
  </si>
  <si>
    <t>Mover (cambiar posicion) unidad</t>
  </si>
  <si>
    <t>Trasladar hacer retrabajo</t>
  </si>
  <si>
    <t>Esperar a Calidad</t>
  </si>
  <si>
    <t>Instalar MTL-02247-03, remaches 41H</t>
  </si>
  <si>
    <t>Inspeccionar auditoria calidad</t>
  </si>
  <si>
    <t>Estacion #7-Integracion</t>
  </si>
  <si>
    <t>Estacion #6-Ensamble completo</t>
  </si>
  <si>
    <t>Estacion #8-Test</t>
  </si>
  <si>
    <t>Estacion #9-Empaque</t>
  </si>
  <si>
    <t>NORTHFACE</t>
  </si>
  <si>
    <t>Estacion #1-Fabricacion subensamble</t>
  </si>
  <si>
    <t>Estacion #5-H Subensamble</t>
  </si>
  <si>
    <t>Tomar de rack sub-ensamble ASY-03131-08;C0</t>
  </si>
  <si>
    <t xml:space="preserve">Verificar sub-ensamble ASY-03131-08;C0 </t>
  </si>
  <si>
    <t>Inicio</t>
  </si>
  <si>
    <t>Fin</t>
  </si>
  <si>
    <t>Diferencia</t>
  </si>
  <si>
    <t>Caminar por pieza ASY-03230-06;A0</t>
  </si>
  <si>
    <t>Conectar busbar r ASY-03230-06;A0 a ASY-03131-08;C0</t>
  </si>
  <si>
    <t>Instalar ASY-03131-08;C0 a ensamble</t>
  </si>
  <si>
    <t>Conectar cables</t>
  </si>
  <si>
    <t>Caminar por tornillos</t>
  </si>
  <si>
    <t>Atornillar</t>
  </si>
  <si>
    <t>Apretar tornillos de placas</t>
  </si>
  <si>
    <t>Firmar CTQ's list</t>
  </si>
  <si>
    <t>Apretar en sub-ensamble ASY-03131-08;C0</t>
  </si>
  <si>
    <t>Caminar a buscar inspector de calidad</t>
  </si>
  <si>
    <t>Trasladar tornillos faltantes</t>
  </si>
  <si>
    <t>Esperar a inspector de calidad</t>
  </si>
  <si>
    <t>Verificar por parte de inspector de calidad</t>
  </si>
  <si>
    <t>Caminar por PCA</t>
  </si>
  <si>
    <t>Conectar PCA</t>
  </si>
  <si>
    <t>Caminar por busbar</t>
  </si>
  <si>
    <t>Instalar busbar</t>
  </si>
  <si>
    <t>Caminar por tornillos y ASY-04184-02;A0 y punta larga</t>
  </si>
  <si>
    <t>Apretar busbar y ASY-04184-02;A0</t>
  </si>
  <si>
    <t>Verificar por parte del lider</t>
  </si>
  <si>
    <t>Apretar torinllos de PCA</t>
  </si>
  <si>
    <t>Caminar a buscar a lider</t>
  </si>
  <si>
    <t>Caminar por pieza ASY-03158-05;A0</t>
  </si>
  <si>
    <t>Apretar 35 tornillos de ASY-03131-08-C0</t>
  </si>
  <si>
    <t>Caminar a dejar tornillos restantes y vaso vacio</t>
  </si>
  <si>
    <t>Colocar (girar) gabinete</t>
  </si>
  <si>
    <t>Caminar por puntilla y tornilleria</t>
  </si>
  <si>
    <t>Apretar tornillos de PSU</t>
  </si>
  <si>
    <t>Preparar tornilleria y piezas A MECH-01563-05;A0</t>
  </si>
  <si>
    <t>Instalar de A MECH-01563-05;A0</t>
  </si>
  <si>
    <t>Verificar piezas A MECH-0163-05;A0</t>
  </si>
  <si>
    <t>Preparar etiquetas</t>
  </si>
  <si>
    <t>Instalar etiquetas lado frontal</t>
  </si>
  <si>
    <t>Caminar a dejar etiqueras de lado frontal</t>
  </si>
  <si>
    <t>Instalar etiquetas lado posterior</t>
  </si>
  <si>
    <t>Caminar a dejar etiqueras de lado posterior</t>
  </si>
  <si>
    <t>Caminar por maso de goma</t>
  </si>
  <si>
    <r>
      <rPr>
        <sz val="14"/>
        <color rgb="FFFF0000"/>
        <rFont val="Arial"/>
        <family val="2"/>
      </rPr>
      <t>Trasladar</t>
    </r>
    <r>
      <rPr>
        <sz val="14"/>
        <color theme="1"/>
        <rFont val="Arial"/>
        <family val="2"/>
      </rPr>
      <t xml:space="preserve"> Retrabajar remaches levantados</t>
    </r>
  </si>
  <si>
    <t>Verificar y llenar CTQ's</t>
  </si>
  <si>
    <t>Esperar por ir a resolver dudas a 1er estacion</t>
  </si>
  <si>
    <t>Caminar a buscar a lider para liberacion</t>
  </si>
  <si>
    <t>Verificar por inspector de calidad</t>
  </si>
  <si>
    <t>Meter documentacion en bolsa</t>
  </si>
  <si>
    <t>Caminar por carro para tralsado a test room</t>
  </si>
  <si>
    <t>Trasladar equipo a test room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</si>
</sst>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General\ &quot;min/turno&quot;"/>
    <numFmt numFmtId="165" formatCode="[$-C0A]dd\-mmm\-yy;@"/>
    <numFmt numFmtId="166" formatCode="0.0"/>
  </numFmts>
  <fonts count="4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b/>
      <sz val="10"/>
      <color indexed="12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2"/>
      <color indexed="12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sz val="10"/>
      <color indexed="12"/>
      <name val="Monotype Corsiva"/>
      <family val="4"/>
    </font>
    <font>
      <b/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6"/>
      <color theme="0"/>
      <name val="Arial"/>
      <family val="2"/>
    </font>
    <font>
      <sz val="16"/>
      <color theme="0"/>
      <name val="Arial"/>
      <family val="2"/>
    </font>
    <font>
      <b/>
      <sz val="10"/>
      <color theme="1"/>
      <name val="Arial"/>
      <family val="2"/>
    </font>
    <font>
      <sz val="14"/>
      <color theme="0"/>
      <name val="Arial"/>
      <family val="2"/>
    </font>
    <font>
      <sz val="12"/>
      <color theme="0"/>
      <name val="Arial"/>
      <family val="2"/>
    </font>
    <font>
      <b/>
      <sz val="11"/>
      <color theme="1"/>
      <name val="Arial"/>
      <family val="2"/>
    </font>
    <font>
      <sz val="12"/>
      <color rgb="FF0000CC"/>
      <name val="Arial"/>
      <family val="2"/>
    </font>
    <font>
      <sz val="12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20"/>
      <name val="Arial"/>
      <family val="2"/>
    </font>
    <font>
      <sz val="16"/>
      <color theme="0" tint="-0.499984740745262"/>
      <name val="Arial"/>
      <family val="2"/>
    </font>
    <font>
      <sz val="16"/>
      <color rgb="FFFF0000"/>
      <name val="Arial"/>
      <family val="2"/>
    </font>
    <font>
      <sz val="8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16"/>
      <color theme="1"/>
      <name val="Arial"/>
      <family val="2"/>
    </font>
    <font>
      <sz val="10"/>
      <color theme="1"/>
      <name val="Arial"/>
      <family val="2"/>
    </font>
    <font>
      <b/>
      <sz val="14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sz val="11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14"/>
      <color rgb="FFFF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75DB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00CC"/>
        <bgColor rgb="FF000000"/>
      </patternFill>
    </fill>
  </fills>
  <borders count="4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double">
        <color auto="1"/>
      </top>
      <bottom/>
      <diagonal/>
    </border>
    <border>
      <left/>
      <right style="medium">
        <color indexed="64"/>
      </right>
      <top style="double">
        <color auto="1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3" fillId="0" borderId="0"/>
    <xf numFmtId="0" fontId="1" fillId="0" borderId="0"/>
    <xf numFmtId="9" fontId="25" fillId="0" borderId="0" applyFont="0" applyFill="0" applyBorder="0" applyAlignment="0" applyProtection="0"/>
  </cellStyleXfs>
  <cellXfs count="188">
    <xf numFmtId="0" fontId="0" fillId="0" borderId="0" xfId="0"/>
    <xf numFmtId="0" fontId="1" fillId="0" borderId="0" xfId="1"/>
    <xf numFmtId="0" fontId="1" fillId="0" borderId="14" xfId="1" applyBorder="1"/>
    <xf numFmtId="0" fontId="1" fillId="0" borderId="13" xfId="1" applyBorder="1"/>
    <xf numFmtId="0" fontId="1" fillId="0" borderId="16" xfId="1" applyBorder="1"/>
    <xf numFmtId="0" fontId="9" fillId="0" borderId="1" xfId="1" applyFont="1" applyBorder="1" applyAlignment="1">
      <alignment horizontal="center" vertical="center"/>
    </xf>
    <xf numFmtId="0" fontId="11" fillId="0" borderId="4" xfId="1" applyFont="1" applyBorder="1" applyAlignment="1">
      <alignment horizontal="left" vertical="center" wrapText="1"/>
    </xf>
    <xf numFmtId="166" fontId="9" fillId="0" borderId="19" xfId="1" applyNumberFormat="1" applyFont="1" applyBorder="1" applyAlignment="1">
      <alignment horizontal="center" vertical="center"/>
    </xf>
    <xf numFmtId="0" fontId="11" fillId="2" borderId="20" xfId="1" applyFont="1" applyFill="1" applyBorder="1" applyAlignment="1">
      <alignment horizontal="left" vertical="center" wrapText="1"/>
    </xf>
    <xf numFmtId="166" fontId="9" fillId="2" borderId="21" xfId="1" applyNumberFormat="1" applyFont="1" applyFill="1" applyBorder="1" applyAlignment="1">
      <alignment horizontal="center" vertical="center"/>
    </xf>
    <xf numFmtId="0" fontId="3" fillId="0" borderId="0" xfId="1" applyFont="1" applyAlignment="1">
      <alignment horizontal="center"/>
    </xf>
    <xf numFmtId="0" fontId="1" fillId="0" borderId="0" xfId="1" applyAlignment="1">
      <alignment horizontal="center"/>
    </xf>
    <xf numFmtId="0" fontId="1" fillId="0" borderId="0" xfId="1" applyAlignment="1">
      <alignment horizontal="center" vertical="top"/>
    </xf>
    <xf numFmtId="0" fontId="1" fillId="0" borderId="12" xfId="1" applyBorder="1"/>
    <xf numFmtId="0" fontId="1" fillId="0" borderId="15" xfId="1" applyBorder="1"/>
    <xf numFmtId="0" fontId="6" fillId="0" borderId="18" xfId="1" applyFont="1" applyBorder="1" applyAlignment="1">
      <alignment horizontal="center" vertical="center" wrapText="1"/>
    </xf>
    <xf numFmtId="166" fontId="9" fillId="0" borderId="3" xfId="2" applyNumberFormat="1" applyFont="1" applyBorder="1" applyAlignment="1">
      <alignment horizontal="center" vertical="center"/>
    </xf>
    <xf numFmtId="1" fontId="8" fillId="0" borderId="17" xfId="1" applyNumberFormat="1" applyFont="1" applyBorder="1" applyAlignment="1">
      <alignment horizontal="center" vertical="center" wrapText="1"/>
    </xf>
    <xf numFmtId="0" fontId="6" fillId="0" borderId="17" xfId="1" applyFont="1" applyBorder="1" applyAlignment="1">
      <alignment horizontal="center" vertical="center" wrapText="1"/>
    </xf>
    <xf numFmtId="0" fontId="5" fillId="0" borderId="17" xfId="1" applyFont="1" applyBorder="1" applyAlignment="1">
      <alignment horizontal="center" vertical="center" wrapText="1"/>
    </xf>
    <xf numFmtId="0" fontId="1" fillId="0" borderId="17" xfId="1" applyBorder="1" applyAlignment="1">
      <alignment horizontal="center" vertical="center" wrapText="1"/>
    </xf>
    <xf numFmtId="0" fontId="2" fillId="0" borderId="17" xfId="1" applyFont="1" applyBorder="1" applyAlignment="1">
      <alignment horizontal="center" vertical="center" wrapText="1"/>
    </xf>
    <xf numFmtId="0" fontId="14" fillId="0" borderId="17" xfId="1" applyFont="1" applyBorder="1" applyAlignment="1">
      <alignment horizontal="center" vertical="center"/>
    </xf>
    <xf numFmtId="0" fontId="20" fillId="6" borderId="0" xfId="1" applyFont="1" applyFill="1" applyAlignment="1">
      <alignment horizontal="center"/>
    </xf>
    <xf numFmtId="0" fontId="6" fillId="2" borderId="0" xfId="1" applyFont="1" applyFill="1" applyAlignment="1">
      <alignment horizontal="center"/>
    </xf>
    <xf numFmtId="1" fontId="19" fillId="5" borderId="17" xfId="1" applyNumberFormat="1" applyFont="1" applyFill="1" applyBorder="1" applyAlignment="1">
      <alignment horizontal="center" vertical="center" wrapText="1"/>
    </xf>
    <xf numFmtId="0" fontId="18" fillId="4" borderId="17" xfId="1" applyFont="1" applyFill="1" applyBorder="1" applyAlignment="1">
      <alignment horizontal="center" vertical="center" wrapText="1"/>
    </xf>
    <xf numFmtId="0" fontId="6" fillId="0" borderId="0" xfId="1" applyFont="1"/>
    <xf numFmtId="0" fontId="11" fillId="0" borderId="22" xfId="1" applyFont="1" applyBorder="1" applyAlignment="1">
      <alignment horizontal="center"/>
    </xf>
    <xf numFmtId="0" fontId="11" fillId="0" borderId="17" xfId="1" applyFont="1" applyBorder="1" applyAlignment="1">
      <alignment horizontal="center"/>
    </xf>
    <xf numFmtId="0" fontId="11" fillId="8" borderId="17" xfId="1" applyFont="1" applyFill="1" applyBorder="1" applyAlignment="1">
      <alignment horizontal="center"/>
    </xf>
    <xf numFmtId="0" fontId="11" fillId="2" borderId="17" xfId="1" applyFont="1" applyFill="1" applyBorder="1" applyAlignment="1">
      <alignment horizontal="center"/>
    </xf>
    <xf numFmtId="0" fontId="11" fillId="3" borderId="17" xfId="1" applyFont="1" applyFill="1" applyBorder="1" applyAlignment="1">
      <alignment horizontal="center"/>
    </xf>
    <xf numFmtId="0" fontId="11" fillId="7" borderId="17" xfId="1" applyFont="1" applyFill="1" applyBorder="1" applyAlignment="1">
      <alignment horizontal="center"/>
    </xf>
    <xf numFmtId="166" fontId="6" fillId="0" borderId="17" xfId="1" applyNumberFormat="1" applyFont="1" applyBorder="1" applyAlignment="1">
      <alignment horizontal="center"/>
    </xf>
    <xf numFmtId="166" fontId="6" fillId="8" borderId="17" xfId="1" applyNumberFormat="1" applyFont="1" applyFill="1" applyBorder="1" applyAlignment="1">
      <alignment horizontal="center"/>
    </xf>
    <xf numFmtId="166" fontId="6" fillId="2" borderId="17" xfId="1" applyNumberFormat="1" applyFont="1" applyFill="1" applyBorder="1" applyAlignment="1">
      <alignment horizontal="center"/>
    </xf>
    <xf numFmtId="166" fontId="6" fillId="3" borderId="17" xfId="1" applyNumberFormat="1" applyFont="1" applyFill="1" applyBorder="1" applyAlignment="1">
      <alignment horizontal="center"/>
    </xf>
    <xf numFmtId="166" fontId="6" fillId="7" borderId="17" xfId="1" applyNumberFormat="1" applyFont="1" applyFill="1" applyBorder="1" applyAlignment="1">
      <alignment horizontal="center"/>
    </xf>
    <xf numFmtId="9" fontId="5" fillId="0" borderId="17" xfId="1" applyNumberFormat="1" applyFont="1" applyBorder="1" applyAlignment="1">
      <alignment horizontal="center"/>
    </xf>
    <xf numFmtId="0" fontId="22" fillId="0" borderId="17" xfId="1" applyFont="1" applyBorder="1" applyAlignment="1">
      <alignment horizontal="center" vertical="center" wrapText="1"/>
    </xf>
    <xf numFmtId="166" fontId="3" fillId="0" borderId="0" xfId="1" applyNumberFormat="1" applyFont="1" applyAlignment="1">
      <alignment vertical="center" wrapText="1"/>
    </xf>
    <xf numFmtId="0" fontId="6" fillId="0" borderId="18" xfId="1" applyFont="1" applyBorder="1" applyAlignment="1">
      <alignment horizontal="center" vertical="center"/>
    </xf>
    <xf numFmtId="9" fontId="6" fillId="0" borderId="18" xfId="4" applyFont="1" applyFill="1" applyBorder="1" applyAlignment="1">
      <alignment horizontal="center" vertical="center"/>
    </xf>
    <xf numFmtId="14" fontId="1" fillId="0" borderId="0" xfId="1" applyNumberFormat="1"/>
    <xf numFmtId="0" fontId="26" fillId="0" borderId="17" xfId="0" applyFont="1" applyBorder="1" applyAlignment="1">
      <alignment horizontal="left"/>
    </xf>
    <xf numFmtId="0" fontId="20" fillId="6" borderId="12" xfId="1" applyFont="1" applyFill="1" applyBorder="1" applyAlignment="1">
      <alignment horizontal="left" vertical="top"/>
    </xf>
    <xf numFmtId="0" fontId="20" fillId="6" borderId="14" xfId="1" applyFont="1" applyFill="1" applyBorder="1" applyAlignment="1">
      <alignment horizontal="center"/>
    </xf>
    <xf numFmtId="0" fontId="20" fillId="6" borderId="15" xfId="1" applyFont="1" applyFill="1" applyBorder="1" applyAlignment="1">
      <alignment horizontal="left" vertical="top"/>
    </xf>
    <xf numFmtId="0" fontId="20" fillId="6" borderId="27" xfId="1" applyFont="1" applyFill="1" applyBorder="1" applyAlignment="1">
      <alignment horizontal="left" vertical="top"/>
    </xf>
    <xf numFmtId="0" fontId="20" fillId="6" borderId="26" xfId="1" applyFont="1" applyFill="1" applyBorder="1" applyAlignment="1">
      <alignment horizontal="center"/>
    </xf>
    <xf numFmtId="0" fontId="6" fillId="2" borderId="12" xfId="1" applyFont="1" applyFill="1" applyBorder="1" applyAlignment="1">
      <alignment horizontal="left" vertical="top"/>
    </xf>
    <xf numFmtId="0" fontId="6" fillId="2" borderId="14" xfId="1" applyFont="1" applyFill="1" applyBorder="1" applyAlignment="1">
      <alignment horizontal="center"/>
    </xf>
    <xf numFmtId="0" fontId="6" fillId="2" borderId="15" xfId="1" applyFont="1" applyFill="1" applyBorder="1" applyAlignment="1">
      <alignment horizontal="left" vertical="top"/>
    </xf>
    <xf numFmtId="0" fontId="6" fillId="2" borderId="27" xfId="1" applyFont="1" applyFill="1" applyBorder="1" applyAlignment="1">
      <alignment horizontal="left" vertical="top"/>
    </xf>
    <xf numFmtId="0" fontId="6" fillId="2" borderId="26" xfId="1" applyFont="1" applyFill="1" applyBorder="1" applyAlignment="1">
      <alignment horizontal="center"/>
    </xf>
    <xf numFmtId="0" fontId="20" fillId="3" borderId="12" xfId="1" applyFont="1" applyFill="1" applyBorder="1" applyAlignment="1">
      <alignment horizontal="left" vertical="top"/>
    </xf>
    <xf numFmtId="0" fontId="20" fillId="3" borderId="14" xfId="1" applyFont="1" applyFill="1" applyBorder="1" applyAlignment="1">
      <alignment horizontal="center"/>
    </xf>
    <xf numFmtId="0" fontId="20" fillId="3" borderId="27" xfId="1" applyFont="1" applyFill="1" applyBorder="1" applyAlignment="1">
      <alignment horizontal="left" vertical="top"/>
    </xf>
    <xf numFmtId="0" fontId="20" fillId="3" borderId="26" xfId="1" applyFont="1" applyFill="1" applyBorder="1" applyAlignment="1">
      <alignment horizontal="center"/>
    </xf>
    <xf numFmtId="0" fontId="21" fillId="4" borderId="29" xfId="1" applyFont="1" applyFill="1" applyBorder="1" applyAlignment="1">
      <alignment horizontal="center" vertical="center" wrapText="1"/>
    </xf>
    <xf numFmtId="0" fontId="11" fillId="0" borderId="31" xfId="1" applyFont="1" applyBorder="1" applyAlignment="1">
      <alignment horizontal="left" vertical="center" wrapText="1"/>
    </xf>
    <xf numFmtId="0" fontId="11" fillId="0" borderId="23" xfId="1" applyFont="1" applyBorder="1" applyAlignment="1">
      <alignment horizontal="left" vertical="center" wrapText="1"/>
    </xf>
    <xf numFmtId="0" fontId="10" fillId="0" borderId="0" xfId="1" applyFont="1" applyAlignment="1">
      <alignment horizontal="center"/>
    </xf>
    <xf numFmtId="0" fontId="6" fillId="0" borderId="15" xfId="1" applyFont="1" applyBorder="1" applyAlignment="1">
      <alignment horizontal="center"/>
    </xf>
    <xf numFmtId="0" fontId="1" fillId="0" borderId="27" xfId="1" applyBorder="1"/>
    <xf numFmtId="0" fontId="1" fillId="0" borderId="26" xfId="1" applyBorder="1" applyAlignment="1">
      <alignment horizontal="center"/>
    </xf>
    <xf numFmtId="0" fontId="27" fillId="0" borderId="15" xfId="1" applyFont="1" applyBorder="1"/>
    <xf numFmtId="0" fontId="1" fillId="0" borderId="4" xfId="1" applyBorder="1" applyAlignment="1">
      <alignment horizontal="center"/>
    </xf>
    <xf numFmtId="166" fontId="6" fillId="0" borderId="0" xfId="1" applyNumberFormat="1" applyFont="1" applyAlignment="1">
      <alignment vertical="center" wrapText="1"/>
    </xf>
    <xf numFmtId="0" fontId="6" fillId="0" borderId="0" xfId="1" applyFont="1" applyAlignment="1">
      <alignment horizontal="center" vertical="center" wrapText="1"/>
    </xf>
    <xf numFmtId="0" fontId="17" fillId="5" borderId="22" xfId="1" applyFont="1" applyFill="1" applyBorder="1" applyAlignment="1">
      <alignment horizontal="center" vertical="center" wrapText="1"/>
    </xf>
    <xf numFmtId="0" fontId="1" fillId="0" borderId="18" xfId="1" applyBorder="1"/>
    <xf numFmtId="165" fontId="4" fillId="0" borderId="18" xfId="2" applyNumberFormat="1" applyFont="1" applyBorder="1" applyAlignment="1">
      <alignment horizontal="center"/>
    </xf>
    <xf numFmtId="0" fontId="1" fillId="0" borderId="18" xfId="1" applyBorder="1" applyAlignment="1">
      <alignment horizontal="center"/>
    </xf>
    <xf numFmtId="1" fontId="4" fillId="0" borderId="9" xfId="1" applyNumberFormat="1" applyFont="1" applyBorder="1" applyAlignment="1">
      <alignment horizontal="center" vertical="center" wrapText="1"/>
    </xf>
    <xf numFmtId="0" fontId="4" fillId="0" borderId="9" xfId="2" applyFont="1" applyBorder="1" applyAlignment="1">
      <alignment horizontal="center" vertical="center" wrapText="1"/>
    </xf>
    <xf numFmtId="0" fontId="4" fillId="0" borderId="18" xfId="1" applyFont="1" applyBorder="1" applyAlignment="1">
      <alignment horizontal="center" vertical="center"/>
    </xf>
    <xf numFmtId="9" fontId="0" fillId="0" borderId="0" xfId="0" applyNumberFormat="1"/>
    <xf numFmtId="0" fontId="6" fillId="0" borderId="30" xfId="1" applyFont="1" applyBorder="1" applyAlignment="1">
      <alignment horizontal="center" vertical="center" wrapText="1"/>
    </xf>
    <xf numFmtId="14" fontId="6" fillId="0" borderId="3" xfId="1" applyNumberFormat="1" applyFont="1" applyBorder="1" applyAlignment="1">
      <alignment vertical="center" wrapText="1"/>
    </xf>
    <xf numFmtId="0" fontId="6" fillId="0" borderId="5" xfId="1" applyFont="1" applyBorder="1" applyAlignment="1">
      <alignment horizontal="center" vertical="center" wrapText="1"/>
    </xf>
    <xf numFmtId="166" fontId="6" fillId="0" borderId="5" xfId="1" applyNumberFormat="1" applyFont="1" applyBorder="1" applyAlignment="1">
      <alignment vertical="center" wrapText="1"/>
    </xf>
    <xf numFmtId="166" fontId="6" fillId="0" borderId="19" xfId="1" applyNumberFormat="1" applyFont="1" applyBorder="1" applyAlignment="1">
      <alignment vertical="center" wrapText="1"/>
    </xf>
    <xf numFmtId="0" fontId="6" fillId="0" borderId="31" xfId="1" applyFont="1" applyBorder="1" applyAlignment="1">
      <alignment horizontal="center" vertical="center" wrapText="1"/>
    </xf>
    <xf numFmtId="166" fontId="6" fillId="0" borderId="32" xfId="1" applyNumberFormat="1" applyFont="1" applyBorder="1" applyAlignment="1">
      <alignment vertical="center" wrapText="1"/>
    </xf>
    <xf numFmtId="0" fontId="14" fillId="10" borderId="17" xfId="1" applyFont="1" applyFill="1" applyBorder="1" applyAlignment="1">
      <alignment horizontal="center" vertical="center"/>
    </xf>
    <xf numFmtId="0" fontId="14" fillId="10" borderId="17" xfId="1" applyFont="1" applyFill="1" applyBorder="1" applyAlignment="1">
      <alignment horizontal="center" vertical="center" wrapText="1"/>
    </xf>
    <xf numFmtId="0" fontId="15" fillId="10" borderId="17" xfId="1" applyFont="1" applyFill="1" applyBorder="1" applyAlignment="1">
      <alignment horizontal="center" vertical="center" wrapText="1"/>
    </xf>
    <xf numFmtId="0" fontId="33" fillId="0" borderId="14" xfId="1" applyFont="1" applyBorder="1"/>
    <xf numFmtId="0" fontId="33" fillId="0" borderId="0" xfId="1" applyFont="1"/>
    <xf numFmtId="0" fontId="23" fillId="0" borderId="17" xfId="1" applyFont="1" applyBorder="1" applyAlignment="1">
      <alignment horizontal="center" vertical="center" wrapText="1"/>
    </xf>
    <xf numFmtId="0" fontId="32" fillId="0" borderId="24" xfId="0" applyFont="1" applyBorder="1" applyAlignment="1">
      <alignment horizontal="center"/>
    </xf>
    <xf numFmtId="0" fontId="23" fillId="0" borderId="0" xfId="1" applyFont="1"/>
    <xf numFmtId="1" fontId="17" fillId="5" borderId="17" xfId="1" applyNumberFormat="1" applyFont="1" applyFill="1" applyBorder="1" applyAlignment="1">
      <alignment horizontal="center" vertical="center" wrapText="1"/>
    </xf>
    <xf numFmtId="0" fontId="15" fillId="10" borderId="35" xfId="1" applyFont="1" applyFill="1" applyBorder="1" applyAlignment="1">
      <alignment horizontal="center" vertical="center" wrapText="1"/>
    </xf>
    <xf numFmtId="1" fontId="15" fillId="10" borderId="17" xfId="1" applyNumberFormat="1" applyFont="1" applyFill="1" applyBorder="1" applyAlignment="1">
      <alignment horizontal="center" vertical="center" wrapText="1"/>
    </xf>
    <xf numFmtId="1" fontId="8" fillId="10" borderId="22" xfId="1" applyNumberFormat="1" applyFont="1" applyFill="1" applyBorder="1" applyAlignment="1">
      <alignment horizontal="center" vertical="center" wrapText="1"/>
    </xf>
    <xf numFmtId="0" fontId="24" fillId="0" borderId="17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6" fillId="13" borderId="18" xfId="1" applyFont="1" applyFill="1" applyBorder="1" applyAlignment="1">
      <alignment horizontal="center" vertical="center"/>
    </xf>
    <xf numFmtId="9" fontId="6" fillId="13" borderId="18" xfId="4" applyFont="1" applyFill="1" applyBorder="1" applyAlignment="1">
      <alignment horizontal="center" vertical="center"/>
    </xf>
    <xf numFmtId="1" fontId="14" fillId="10" borderId="17" xfId="1" applyNumberFormat="1" applyFont="1" applyFill="1" applyBorder="1" applyAlignment="1">
      <alignment horizontal="center" vertical="center" wrapText="1"/>
    </xf>
    <xf numFmtId="1" fontId="15" fillId="5" borderId="17" xfId="1" applyNumberFormat="1" applyFont="1" applyFill="1" applyBorder="1" applyAlignment="1">
      <alignment horizontal="center" vertical="center" wrapText="1"/>
    </xf>
    <xf numFmtId="1" fontId="9" fillId="10" borderId="17" xfId="1" applyNumberFormat="1" applyFont="1" applyFill="1" applyBorder="1" applyAlignment="1">
      <alignment horizontal="center" vertical="center" wrapText="1"/>
    </xf>
    <xf numFmtId="0" fontId="14" fillId="10" borderId="22" xfId="1" applyFont="1" applyFill="1" applyBorder="1" applyAlignment="1">
      <alignment horizontal="center" vertical="center" wrapText="1"/>
    </xf>
    <xf numFmtId="1" fontId="17" fillId="14" borderId="17" xfId="1" applyNumberFormat="1" applyFont="1" applyFill="1" applyBorder="1" applyAlignment="1">
      <alignment horizontal="center" vertical="center" wrapText="1"/>
    </xf>
    <xf numFmtId="1" fontId="15" fillId="14" borderId="17" xfId="1" applyNumberFormat="1" applyFont="1" applyFill="1" applyBorder="1" applyAlignment="1">
      <alignment horizontal="center" vertical="center" wrapText="1"/>
    </xf>
    <xf numFmtId="1" fontId="19" fillId="14" borderId="17" xfId="1" applyNumberFormat="1" applyFont="1" applyFill="1" applyBorder="1" applyAlignment="1">
      <alignment horizontal="center" vertical="center" wrapText="1"/>
    </xf>
    <xf numFmtId="0" fontId="17" fillId="14" borderId="22" xfId="1" applyFont="1" applyFill="1" applyBorder="1" applyAlignment="1">
      <alignment horizontal="center" vertical="center" wrapText="1"/>
    </xf>
    <xf numFmtId="166" fontId="0" fillId="0" borderId="0" xfId="0" applyNumberFormat="1"/>
    <xf numFmtId="0" fontId="6" fillId="0" borderId="30" xfId="0" applyFont="1" applyBorder="1" applyAlignment="1">
      <alignment horizontal="center" vertical="center" wrapText="1"/>
    </xf>
    <xf numFmtId="0" fontId="6" fillId="0" borderId="6" xfId="0" applyFont="1" applyBorder="1" applyAlignment="1">
      <alignment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2" fontId="6" fillId="0" borderId="20" xfId="0" applyNumberFormat="1" applyFont="1" applyBorder="1" applyAlignment="1">
      <alignment horizontal="center" vertical="center" wrapText="1"/>
    </xf>
    <xf numFmtId="0" fontId="17" fillId="5" borderId="38" xfId="1" applyFont="1" applyFill="1" applyBorder="1" applyAlignment="1">
      <alignment horizontal="center" vertical="center" wrapText="1"/>
    </xf>
    <xf numFmtId="0" fontId="37" fillId="0" borderId="32" xfId="0" applyFont="1" applyBorder="1"/>
    <xf numFmtId="0" fontId="37" fillId="0" borderId="39" xfId="0" applyFont="1" applyBorder="1"/>
    <xf numFmtId="0" fontId="37" fillId="0" borderId="40" xfId="0" applyFont="1" applyBorder="1"/>
    <xf numFmtId="2" fontId="38" fillId="0" borderId="0" xfId="0" applyNumberFormat="1" applyFont="1" applyAlignment="1">
      <alignment horizontal="center"/>
    </xf>
    <xf numFmtId="0" fontId="35" fillId="0" borderId="36" xfId="0" applyFont="1" applyBorder="1" applyAlignment="1">
      <alignment horizontal="center" vertical="center" wrapText="1"/>
    </xf>
    <xf numFmtId="0" fontId="16" fillId="5" borderId="17" xfId="1" applyFont="1" applyFill="1" applyBorder="1" applyAlignment="1">
      <alignment horizontal="center" vertical="center"/>
    </xf>
    <xf numFmtId="0" fontId="16" fillId="5" borderId="17" xfId="1" applyFont="1" applyFill="1" applyBorder="1" applyAlignment="1">
      <alignment horizontal="left" vertical="center" wrapText="1"/>
    </xf>
    <xf numFmtId="0" fontId="16" fillId="5" borderId="17" xfId="1" applyFont="1" applyFill="1" applyBorder="1" applyAlignment="1">
      <alignment horizontal="center" vertical="center" wrapText="1"/>
    </xf>
    <xf numFmtId="0" fontId="15" fillId="0" borderId="24" xfId="0" applyFont="1" applyBorder="1"/>
    <xf numFmtId="0" fontId="15" fillId="0" borderId="24" xfId="0" applyFont="1" applyBorder="1" applyAlignment="1">
      <alignment horizontal="center"/>
    </xf>
    <xf numFmtId="1" fontId="28" fillId="0" borderId="24" xfId="0" applyNumberFormat="1" applyFont="1" applyBorder="1" applyAlignment="1">
      <alignment horizontal="center"/>
    </xf>
    <xf numFmtId="1" fontId="29" fillId="0" borderId="25" xfId="0" applyNumberFormat="1" applyFont="1" applyBorder="1" applyAlignment="1">
      <alignment horizontal="center" vertical="center"/>
    </xf>
    <xf numFmtId="0" fontId="14" fillId="10" borderId="17" xfId="1" applyFont="1" applyFill="1" applyBorder="1" applyAlignment="1">
      <alignment horizontal="left" vertical="center" wrapText="1"/>
    </xf>
    <xf numFmtId="0" fontId="34" fillId="12" borderId="30" xfId="0" applyFont="1" applyFill="1" applyBorder="1" applyAlignment="1">
      <alignment horizontal="center"/>
    </xf>
    <xf numFmtId="0" fontId="15" fillId="0" borderId="17" xfId="1" applyFont="1" applyBorder="1" applyAlignment="1">
      <alignment horizontal="center" vertical="center"/>
    </xf>
    <xf numFmtId="0" fontId="37" fillId="0" borderId="41" xfId="0" applyFont="1" applyBorder="1"/>
    <xf numFmtId="0" fontId="35" fillId="0" borderId="18" xfId="0" applyFont="1" applyBorder="1" applyAlignment="1">
      <alignment horizontal="center" vertical="center" wrapText="1"/>
    </xf>
    <xf numFmtId="0" fontId="24" fillId="11" borderId="18" xfId="0" applyFont="1" applyFill="1" applyBorder="1" applyAlignment="1">
      <alignment horizontal="center"/>
    </xf>
    <xf numFmtId="0" fontId="26" fillId="0" borderId="17" xfId="0" applyFont="1" applyBorder="1" applyAlignment="1">
      <alignment horizontal="left" wrapText="1"/>
    </xf>
    <xf numFmtId="0" fontId="6" fillId="0" borderId="0" xfId="1" applyFont="1" applyAlignment="1">
      <alignment horizontal="center" vertical="center"/>
    </xf>
    <xf numFmtId="9" fontId="6" fillId="0" borderId="0" xfId="4" applyFont="1" applyFill="1" applyBorder="1" applyAlignment="1">
      <alignment horizontal="center" vertical="center"/>
    </xf>
    <xf numFmtId="0" fontId="1" fillId="4" borderId="0" xfId="1" applyFill="1"/>
    <xf numFmtId="1" fontId="15" fillId="5" borderId="35" xfId="1" applyNumberFormat="1" applyFont="1" applyFill="1" applyBorder="1" applyAlignment="1">
      <alignment horizontal="center" vertical="center" wrapText="1"/>
    </xf>
    <xf numFmtId="0" fontId="8" fillId="0" borderId="0" xfId="1" applyFont="1"/>
    <xf numFmtId="45" fontId="8" fillId="0" borderId="0" xfId="1" applyNumberFormat="1" applyFont="1" applyAlignment="1">
      <alignment horizontal="center"/>
    </xf>
    <xf numFmtId="0" fontId="26" fillId="0" borderId="0" xfId="0" applyFont="1" applyAlignment="1">
      <alignment horizontal="center"/>
    </xf>
    <xf numFmtId="0" fontId="31" fillId="0" borderId="12" xfId="0" applyFont="1" applyBorder="1" applyAlignment="1">
      <alignment horizontal="center"/>
    </xf>
    <xf numFmtId="0" fontId="31" fillId="0" borderId="14" xfId="0" applyFont="1" applyBorder="1" applyAlignment="1">
      <alignment horizontal="center"/>
    </xf>
    <xf numFmtId="0" fontId="31" fillId="0" borderId="13" xfId="0" applyFont="1" applyBorder="1" applyAlignment="1">
      <alignment horizontal="center"/>
    </xf>
    <xf numFmtId="0" fontId="31" fillId="0" borderId="15" xfId="0" applyFont="1" applyBorder="1" applyAlignment="1">
      <alignment horizontal="center"/>
    </xf>
    <xf numFmtId="0" fontId="31" fillId="0" borderId="0" xfId="0" applyFont="1" applyAlignment="1">
      <alignment horizontal="center"/>
    </xf>
    <xf numFmtId="0" fontId="31" fillId="0" borderId="16" xfId="0" applyFont="1" applyBorder="1" applyAlignment="1">
      <alignment horizontal="center"/>
    </xf>
    <xf numFmtId="0" fontId="31" fillId="0" borderId="27" xfId="0" applyFont="1" applyBorder="1" applyAlignment="1">
      <alignment horizontal="center"/>
    </xf>
    <xf numFmtId="0" fontId="31" fillId="0" borderId="26" xfId="0" applyFont="1" applyBorder="1" applyAlignment="1">
      <alignment horizontal="center"/>
    </xf>
    <xf numFmtId="0" fontId="31" fillId="0" borderId="28" xfId="0" applyFont="1" applyBorder="1" applyAlignment="1">
      <alignment horizontal="center"/>
    </xf>
    <xf numFmtId="0" fontId="14" fillId="9" borderId="1" xfId="1" applyFont="1" applyFill="1" applyBorder="1" applyAlignment="1">
      <alignment horizontal="center"/>
    </xf>
    <xf numFmtId="0" fontId="14" fillId="9" borderId="2" xfId="1" applyFont="1" applyFill="1" applyBorder="1" applyAlignment="1">
      <alignment horizontal="center"/>
    </xf>
    <xf numFmtId="0" fontId="14" fillId="9" borderId="3" xfId="1" applyFont="1" applyFill="1" applyBorder="1" applyAlignment="1">
      <alignment horizontal="center"/>
    </xf>
    <xf numFmtId="0" fontId="36" fillId="15" borderId="1" xfId="0" applyFont="1" applyFill="1" applyBorder="1" applyAlignment="1">
      <alignment horizontal="center"/>
    </xf>
    <xf numFmtId="0" fontId="36" fillId="15" borderId="2" xfId="0" applyFont="1" applyFill="1" applyBorder="1" applyAlignment="1">
      <alignment horizontal="center"/>
    </xf>
    <xf numFmtId="0" fontId="12" fillId="0" borderId="2" xfId="1" applyFont="1" applyBorder="1" applyAlignment="1">
      <alignment horizontal="left"/>
    </xf>
    <xf numFmtId="0" fontId="12" fillId="0" borderId="3" xfId="1" applyFont="1" applyBorder="1" applyAlignment="1">
      <alignment horizontal="left"/>
    </xf>
    <xf numFmtId="0" fontId="1" fillId="0" borderId="12" xfId="1" applyBorder="1" applyAlignment="1">
      <alignment horizontal="center"/>
    </xf>
    <xf numFmtId="0" fontId="1" fillId="0" borderId="14" xfId="1" applyBorder="1" applyAlignment="1">
      <alignment horizontal="center"/>
    </xf>
    <xf numFmtId="0" fontId="1" fillId="4" borderId="0" xfId="1" applyFill="1" applyAlignment="1">
      <alignment horizontal="center"/>
    </xf>
    <xf numFmtId="0" fontId="1" fillId="4" borderId="16" xfId="1" applyFill="1" applyBorder="1" applyAlignment="1">
      <alignment horizontal="center"/>
    </xf>
    <xf numFmtId="0" fontId="1" fillId="0" borderId="4" xfId="1" applyBorder="1" applyAlignment="1">
      <alignment horizontal="center"/>
    </xf>
    <xf numFmtId="0" fontId="1" fillId="0" borderId="5" xfId="1" applyBorder="1" applyAlignment="1">
      <alignment horizontal="center"/>
    </xf>
    <xf numFmtId="0" fontId="4" fillId="0" borderId="9" xfId="1" applyFont="1" applyBorder="1" applyAlignment="1">
      <alignment horizontal="center" vertical="center"/>
    </xf>
    <xf numFmtId="0" fontId="4" fillId="0" borderId="23" xfId="1" applyFont="1" applyBorder="1" applyAlignment="1">
      <alignment horizontal="center" vertical="center"/>
    </xf>
    <xf numFmtId="0" fontId="4" fillId="0" borderId="9" xfId="1" applyFont="1" applyBorder="1" applyAlignment="1">
      <alignment horizontal="center" vertical="center" wrapText="1"/>
    </xf>
    <xf numFmtId="0" fontId="4" fillId="0" borderId="10" xfId="1" applyFont="1" applyBorder="1" applyAlignment="1">
      <alignment horizontal="center" vertical="center" wrapText="1"/>
    </xf>
    <xf numFmtId="0" fontId="1" fillId="0" borderId="6" xfId="1" applyBorder="1" applyAlignment="1">
      <alignment horizontal="center"/>
    </xf>
    <xf numFmtId="0" fontId="1" fillId="0" borderId="7" xfId="1" applyBorder="1" applyAlignment="1">
      <alignment horizontal="center"/>
    </xf>
    <xf numFmtId="166" fontId="9" fillId="0" borderId="33" xfId="1" applyNumberFormat="1" applyFont="1" applyBorder="1" applyAlignment="1">
      <alignment horizontal="center" vertical="center"/>
    </xf>
    <xf numFmtId="166" fontId="9" fillId="0" borderId="11" xfId="1" applyNumberFormat="1" applyFont="1" applyBorder="1" applyAlignment="1">
      <alignment horizontal="center" vertical="center"/>
    </xf>
    <xf numFmtId="2" fontId="9" fillId="0" borderId="34" xfId="1" applyNumberFormat="1" applyFont="1" applyBorder="1" applyAlignment="1">
      <alignment horizontal="center" vertical="center"/>
    </xf>
    <xf numFmtId="2" fontId="9" fillId="0" borderId="8" xfId="1" applyNumberFormat="1" applyFont="1" applyBorder="1" applyAlignment="1">
      <alignment horizontal="center" vertical="center"/>
    </xf>
    <xf numFmtId="0" fontId="4" fillId="0" borderId="9" xfId="1" applyFont="1" applyBorder="1" applyAlignment="1">
      <alignment horizontal="center"/>
    </xf>
    <xf numFmtId="0" fontId="4" fillId="0" borderId="10" xfId="1" applyFont="1" applyBorder="1" applyAlignment="1">
      <alignment horizontal="center"/>
    </xf>
    <xf numFmtId="164" fontId="4" fillId="0" borderId="9" xfId="1" applyNumberFormat="1" applyFont="1" applyBorder="1" applyAlignment="1">
      <alignment horizontal="center"/>
    </xf>
    <xf numFmtId="164" fontId="4" fillId="0" borderId="11" xfId="1" applyNumberFormat="1" applyFont="1" applyBorder="1" applyAlignment="1">
      <alignment horizontal="center"/>
    </xf>
    <xf numFmtId="0" fontId="2" fillId="0" borderId="1" xfId="1" applyFont="1" applyBorder="1" applyAlignment="1">
      <alignment horizontal="center"/>
    </xf>
    <xf numFmtId="0" fontId="2" fillId="0" borderId="2" xfId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0" fontId="1" fillId="0" borderId="8" xfId="1" applyBorder="1" applyAlignment="1">
      <alignment horizontal="center"/>
    </xf>
    <xf numFmtId="0" fontId="35" fillId="0" borderId="30" xfId="0" applyFont="1" applyBorder="1" applyAlignment="1">
      <alignment horizontal="center" vertical="center" wrapText="1"/>
    </xf>
    <xf numFmtId="0" fontId="35" fillId="0" borderId="37" xfId="0" applyFont="1" applyBorder="1" applyAlignment="1">
      <alignment horizontal="center" vertical="center" wrapText="1"/>
    </xf>
    <xf numFmtId="0" fontId="35" fillId="0" borderId="32" xfId="0" applyFont="1" applyBorder="1" applyAlignment="1">
      <alignment horizontal="center" vertical="center" wrapText="1"/>
    </xf>
    <xf numFmtId="0" fontId="35" fillId="0" borderId="39" xfId="0" applyFont="1" applyBorder="1" applyAlignment="1">
      <alignment horizontal="center" vertical="center" wrapText="1"/>
    </xf>
    <xf numFmtId="0" fontId="35" fillId="0" borderId="40" xfId="0" applyFont="1" applyBorder="1" applyAlignment="1">
      <alignment horizontal="center" vertical="center" wrapText="1"/>
    </xf>
  </cellXfs>
  <cellStyles count="5">
    <cellStyle name="Normal" xfId="0" builtinId="0"/>
    <cellStyle name="Normal 2" xfId="1" xr:uid="{00000000-0005-0000-0000-000001000000}"/>
    <cellStyle name="Normal 3" xfId="2" xr:uid="{00000000-0005-0000-0000-000002000000}"/>
    <cellStyle name="Normal 3 2" xfId="3" xr:uid="{00000000-0005-0000-0000-000003000000}"/>
    <cellStyle name="Percent" xfId="4" builtinId="5"/>
  </cellStyles>
  <dxfs count="628"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0" tint="-0.34998626667073579"/>
        </patternFill>
      </fill>
    </dxf>
    <dxf>
      <font>
        <color theme="0"/>
      </font>
      <fill>
        <patternFill>
          <bgColor theme="9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0" tint="-0.34998626667073579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0" tint="-0.34998626667073579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34998626667073579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0" tint="-0.34998626667073579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0" tint="-0.34998626667073579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34998626667073579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9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0" tint="-0.34998626667073579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9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0" tint="-0.34998626667073579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0" tint="-0.34998626667073579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34998626667073579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34998626667073579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34998626667073579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34998626667073579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0" tint="-0.34998626667073579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fill>
        <patternFill>
          <bgColor theme="0" tint="-0.34998626667073579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FF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 style="double">
          <color auto="1"/>
        </top>
        <bottom style="thin">
          <color indexed="64"/>
        </bottom>
      </border>
    </dxf>
    <dxf>
      <font>
        <sz val="16"/>
        <color theme="0"/>
        <name val="Arial"/>
        <family val="2"/>
        <scheme val="none"/>
      </font>
      <fill>
        <patternFill patternType="solid">
          <fgColor indexed="64"/>
          <bgColor theme="8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0" tint="-0.499984740745262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/>
        <right/>
        <top style="double">
          <color auto="1"/>
        </top>
        <bottom/>
      </border>
    </dxf>
    <dxf>
      <font>
        <strike val="0"/>
        <outline val="0"/>
        <shadow val="0"/>
        <u val="none"/>
        <vertAlign val="baseline"/>
        <sz val="14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8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double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double">
          <color auto="1"/>
        </top>
        <bottom/>
      </border>
    </dxf>
    <dxf>
      <font>
        <strike val="0"/>
        <outline val="0"/>
        <shadow val="0"/>
        <u val="none"/>
        <vertAlign val="baseline"/>
        <sz val="16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8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family val="2"/>
        <scheme val="none"/>
      </font>
      <border diagonalUp="0" diagonalDown="0" outline="0">
        <left/>
        <right/>
        <top style="double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family val="2"/>
        <scheme val="none"/>
      </font>
      <border diagonalUp="0" diagonalDown="0" outline="0">
        <left/>
        <right/>
        <top style="double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family val="2"/>
        <scheme val="none"/>
      </font>
      <border diagonalUp="0" diagonalDown="0" outline="0">
        <left/>
        <right/>
        <top style="double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double">
          <color auto="1"/>
        </top>
      </border>
    </dxf>
    <dxf>
      <font>
        <b val="0"/>
        <strike val="0"/>
        <outline val="0"/>
        <shadow val="0"/>
        <u val="none"/>
        <vertAlign val="baseline"/>
        <sz val="16"/>
        <color auto="1"/>
        <name val="Arial"/>
        <scheme val="none"/>
      </font>
      <fill>
        <patternFill patternType="none">
          <fgColor indexed="64"/>
          <bgColor auto="1"/>
        </patternFill>
      </fill>
    </dxf>
    <dxf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0000CC"/>
      <color rgb="FF75DBFF"/>
      <color rgb="FF9C5BCB"/>
      <color rgb="FF9900FF"/>
      <color rgb="FF9933FF"/>
      <color rgb="FF9966FF"/>
      <color rgb="FF6600CC"/>
      <color rgb="FF9C5BCD"/>
      <color rgb="FFB829C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87629307090181474"/>
          <c:y val="0.31229286540448731"/>
          <c:w val="7.2165311721325912E-2"/>
          <c:h val="0.1627909617534029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'[1]ManpowerUtilization ACTUAL'!$C$50</c:f>
              <c:strCache>
                <c:ptCount val="1"/>
                <c:pt idx="0">
                  <c:v>BEC Time</c:v>
                </c:pt>
              </c:strCache>
            </c:strRef>
          </c:tx>
          <c:spPr>
            <a:solidFill>
              <a:srgbClr val="00B050"/>
            </a:solidFill>
            <a:ln>
              <a:solidFill>
                <a:srgbClr val="000000"/>
              </a:solidFill>
            </a:ln>
          </c:spPr>
          <c:invertIfNegative val="0"/>
          <c:val>
            <c:numLit>
              <c:formatCode>General</c:formatCode>
              <c:ptCount val="1"/>
              <c:pt idx="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B58D-4790-8118-16D9C9CBCFFE}"/>
            </c:ext>
          </c:extLst>
        </c:ser>
        <c:ser>
          <c:idx val="1"/>
          <c:order val="1"/>
          <c:tx>
            <c:strRef>
              <c:f>'[1]ManpowerUtilization ACTUAL'!$C$51</c:f>
              <c:strCache>
                <c:ptCount val="1"/>
                <c:pt idx="0">
                  <c:v>Work Time</c:v>
                </c:pt>
              </c:strCache>
            </c:strRef>
          </c:tx>
          <c:spPr>
            <a:solidFill>
              <a:srgbClr val="FFFF00"/>
            </a:solidFill>
            <a:ln>
              <a:solidFill>
                <a:srgbClr val="000000"/>
              </a:solidFill>
            </a:ln>
          </c:spPr>
          <c:invertIfNegative val="0"/>
          <c:val>
            <c:numLit>
              <c:formatCode>General</c:formatCode>
              <c:ptCount val="1"/>
              <c:pt idx="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1-B58D-4790-8118-16D9C9CBCFFE}"/>
            </c:ext>
          </c:extLst>
        </c:ser>
        <c:ser>
          <c:idx val="2"/>
          <c:order val="2"/>
          <c:tx>
            <c:strRef>
              <c:f>'[1]ManpowerUtilization ACTUAL'!$C$52</c:f>
              <c:strCache>
                <c:ptCount val="1"/>
                <c:pt idx="0">
                  <c:v>Walk Time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chemeClr val="tx1"/>
              </a:solidFill>
            </a:ln>
          </c:spPr>
          <c:invertIfNegative val="0"/>
          <c:val>
            <c:numLit>
              <c:formatCode>General</c:formatCode>
              <c:ptCount val="1"/>
              <c:pt idx="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2-B58D-4790-8118-16D9C9CBCFFE}"/>
            </c:ext>
          </c:extLst>
        </c:ser>
        <c:ser>
          <c:idx val="3"/>
          <c:order val="3"/>
          <c:tx>
            <c:strRef>
              <c:f>'[1]ManpowerUtilization ACTUAL'!$C$53</c:f>
              <c:strCache>
                <c:ptCount val="1"/>
                <c:pt idx="0">
                  <c:v>Wait Time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solidFill>
                <a:schemeClr val="tx1"/>
              </a:solidFill>
            </a:ln>
          </c:spPr>
          <c:invertIfNegative val="0"/>
          <c:val>
            <c:numLit>
              <c:formatCode>General</c:formatCode>
              <c:ptCount val="1"/>
              <c:pt idx="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3-B58D-4790-8118-16D9C9CBCF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3040864"/>
        <c:axId val="323441672"/>
      </c:barChart>
      <c:catAx>
        <c:axId val="163040864"/>
        <c:scaling>
          <c:orientation val="minMax"/>
        </c:scaling>
        <c:delete val="1"/>
        <c:axPos val="b"/>
        <c:majorTickMark val="out"/>
        <c:minorTickMark val="none"/>
        <c:tickLblPos val="nextTo"/>
        <c:crossAx val="323441672"/>
        <c:crosses val="autoZero"/>
        <c:auto val="1"/>
        <c:lblAlgn val="ctr"/>
        <c:lblOffset val="100"/>
        <c:noMultiLvlLbl val="0"/>
      </c:catAx>
      <c:valAx>
        <c:axId val="32344167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63040864"/>
        <c:crosses val="autoZero"/>
        <c:crossBetween val="between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1.3356663750364537E-2"/>
          <c:y val="5.3250595331212743E-2"/>
          <c:w val="0.97289783221541759"/>
          <c:h val="0.70810380490518154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200"/>
              <a:t>Total Utilization</a:t>
            </a:r>
          </a:p>
        </c:rich>
      </c:tx>
      <c:layout>
        <c:manualLayout>
          <c:xMode val="edge"/>
          <c:yMode val="edge"/>
          <c:x val="0.24780720591744212"/>
          <c:y val="1.408448162729658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1578947368421051"/>
          <c:y val="8.4507171403027506E-2"/>
          <c:w val="0.57894736842105265"/>
          <c:h val="0.86698098069031915"/>
        </c:manualLayout>
      </c:layout>
      <c:barChart>
        <c:barDir val="col"/>
        <c:grouping val="stacked"/>
        <c:varyColors val="0"/>
        <c:ser>
          <c:idx val="4"/>
          <c:order val="0"/>
          <c:tx>
            <c:strRef>
              <c:f>'Pillar Chart  NORTHFACE'!$B$50</c:f>
              <c:strCache>
                <c:ptCount val="1"/>
                <c:pt idx="0">
                  <c:v>Assy</c:v>
                </c:pt>
              </c:strCache>
            </c:strRef>
          </c:tx>
          <c:spPr>
            <a:solidFill>
              <a:srgbClr val="00B050"/>
            </a:solidFill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53821870628593316"/>
                      <c:h val="0.1564665125044874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0691-4DE0-9796-4B5EE38F595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'Pillar Chart  NORTHFACE'!$K$50</c:f>
              <c:numCache>
                <c:formatCode>0.0</c:formatCode>
                <c:ptCount val="1"/>
                <c:pt idx="0">
                  <c:v>248.85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BB-4D7D-870B-42F69531A180}"/>
            </c:ext>
          </c:extLst>
        </c:ser>
        <c:ser>
          <c:idx val="3"/>
          <c:order val="1"/>
          <c:tx>
            <c:strRef>
              <c:f>'Pillar Chart  NORTHFACE'!$B$51</c:f>
              <c:strCache>
                <c:ptCount val="1"/>
                <c:pt idx="0">
                  <c:v>Work Time</c:v>
                </c:pt>
              </c:strCache>
            </c:strRef>
          </c:tx>
          <c:spPr>
            <a:solidFill>
              <a:srgbClr val="FFFF00"/>
            </a:solidFill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48590604332901249"/>
                      <c:h val="0.131475333423909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0691-4DE0-9796-4B5EE38F595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'Pillar Chart  NORTHFACE'!$K$51</c:f>
              <c:numCache>
                <c:formatCode>0.0</c:formatCode>
                <c:ptCount val="1"/>
                <c:pt idx="0">
                  <c:v>56.2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BB-4D7D-870B-42F69531A180}"/>
            </c:ext>
          </c:extLst>
        </c:ser>
        <c:ser>
          <c:idx val="2"/>
          <c:order val="2"/>
          <c:tx>
            <c:strRef>
              <c:f>'Pillar Chart  NORTHFACE'!$B$52</c:f>
              <c:strCache>
                <c:ptCount val="1"/>
                <c:pt idx="0">
                  <c:v>Walk Time</c:v>
                </c:pt>
              </c:strCache>
            </c:strRef>
          </c:tx>
          <c:spPr>
            <a:solidFill>
              <a:srgbClr val="FF0000"/>
            </a:solidFill>
          </c:spPr>
          <c:invertIfNegative val="0"/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000"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53821902525842302"/>
                      <c:h val="4.425585409748192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0691-4DE0-9796-4B5EE38F595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'Pillar Chart  NORTHFACE'!$K$52</c:f>
              <c:numCache>
                <c:formatCode>0.0</c:formatCode>
                <c:ptCount val="1"/>
                <c:pt idx="0">
                  <c:v>41.25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BB-4D7D-870B-42F69531A180}"/>
            </c:ext>
          </c:extLst>
        </c:ser>
        <c:ser>
          <c:idx val="1"/>
          <c:order val="3"/>
          <c:tx>
            <c:strRef>
              <c:f>'Pillar Chart  NORTHFACE'!$B$53</c:f>
              <c:strCache>
                <c:ptCount val="1"/>
                <c:pt idx="0">
                  <c:v>Wait Time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4348079649041437"/>
                      <c:h val="5.669271005919598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88BF-4974-B8EE-E6E1315FFFD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'Pillar Chart  NORTHFACE'!$K$53</c:f>
              <c:numCache>
                <c:formatCode>0.0</c:formatCode>
                <c:ptCount val="1"/>
                <c:pt idx="0">
                  <c:v>14.450000000000001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6BB-4D7D-870B-42F69531A1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23442456"/>
        <c:axId val="323442848"/>
      </c:barChart>
      <c:catAx>
        <c:axId val="3234424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2344284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32344284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000"/>
                  <a:t>Seconds</a:t>
                </a:r>
              </a:p>
            </c:rich>
          </c:tx>
          <c:layout>
            <c:manualLayout>
              <c:xMode val="edge"/>
              <c:yMode val="edge"/>
              <c:x val="3.2895092658872187E-2"/>
              <c:y val="0.4898287401574802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23442456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5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200" verticalDpi="2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Manpower Utilization</a:t>
            </a:r>
          </a:p>
        </c:rich>
      </c:tx>
      <c:layout>
        <c:manualLayout>
          <c:xMode val="edge"/>
          <c:yMode val="edge"/>
          <c:x val="0.44920082575446812"/>
          <c:y val="1.581900587024584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4.069579830048714E-2"/>
          <c:y val="8.6587348775798156E-2"/>
          <c:w val="0.87787897463382158"/>
          <c:h val="0.86373651875084601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'Pillar Chart  NORTHFACE'!$B$50</c:f>
              <c:strCache>
                <c:ptCount val="1"/>
                <c:pt idx="0">
                  <c:v>Assy</c:v>
                </c:pt>
              </c:strCache>
            </c:strRef>
          </c:tx>
          <c:spPr>
            <a:solidFill>
              <a:srgbClr val="00B050"/>
            </a:solidFill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7A65-428D-B53F-E3BE9151B49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00"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'Pillar Chart  NORTHFACE'!$C$45:$J$45</c:f>
              <c:strCache>
                <c:ptCount val="8"/>
                <c:pt idx="0">
                  <c:v>Estacion #1-Fabricacion subensamble</c:v>
                </c:pt>
                <c:pt idx="1">
                  <c:v>Estacion #2-Fabricacion</c:v>
                </c:pt>
                <c:pt idx="2">
                  <c:v>Estacion #3-Fabricacion</c:v>
                </c:pt>
                <c:pt idx="3">
                  <c:v>Estacion #4-H</c:v>
                </c:pt>
                <c:pt idx="4">
                  <c:v>Estacion #5-H Subensamble</c:v>
                </c:pt>
                <c:pt idx="5">
                  <c:v>Estacion #6-Ensamble completo</c:v>
                </c:pt>
                <c:pt idx="6">
                  <c:v>Estacion #7-Integracion</c:v>
                </c:pt>
                <c:pt idx="7">
                  <c:v>Estacion #9-Empaque</c:v>
                </c:pt>
              </c:strCache>
            </c:strRef>
          </c:cat>
          <c:val>
            <c:numRef>
              <c:f>'Pillar Chart  NORTHFACE'!$C$50:$J$50</c:f>
              <c:numCache>
                <c:formatCode>0.0</c:formatCode>
                <c:ptCount val="8"/>
                <c:pt idx="0">
                  <c:v>34.416666666666664</c:v>
                </c:pt>
                <c:pt idx="1">
                  <c:v>26.366666666666667</c:v>
                </c:pt>
                <c:pt idx="2">
                  <c:v>54.6</c:v>
                </c:pt>
                <c:pt idx="3">
                  <c:v>19.8</c:v>
                </c:pt>
                <c:pt idx="4">
                  <c:v>13.633333333333333</c:v>
                </c:pt>
                <c:pt idx="5">
                  <c:v>72.849999999999994</c:v>
                </c:pt>
                <c:pt idx="6">
                  <c:v>27.183333333333334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25-41B6-87B8-331833FD80B1}"/>
            </c:ext>
          </c:extLst>
        </c:ser>
        <c:ser>
          <c:idx val="4"/>
          <c:order val="1"/>
          <c:tx>
            <c:strRef>
              <c:f>'Pillar Chart  NORTHFACE'!$B$51</c:f>
              <c:strCache>
                <c:ptCount val="1"/>
                <c:pt idx="0">
                  <c:v>Work Time</c:v>
                </c:pt>
              </c:strCache>
            </c:strRef>
          </c:tx>
          <c:spPr>
            <a:solidFill>
              <a:srgbClr val="FFFF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00"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'Pillar Chart  NORTHFACE'!$C$45:$J$45</c:f>
              <c:strCache>
                <c:ptCount val="8"/>
                <c:pt idx="0">
                  <c:v>Estacion #1-Fabricacion subensamble</c:v>
                </c:pt>
                <c:pt idx="1">
                  <c:v>Estacion #2-Fabricacion</c:v>
                </c:pt>
                <c:pt idx="2">
                  <c:v>Estacion #3-Fabricacion</c:v>
                </c:pt>
                <c:pt idx="3">
                  <c:v>Estacion #4-H</c:v>
                </c:pt>
                <c:pt idx="4">
                  <c:v>Estacion #5-H Subensamble</c:v>
                </c:pt>
                <c:pt idx="5">
                  <c:v>Estacion #6-Ensamble completo</c:v>
                </c:pt>
                <c:pt idx="6">
                  <c:v>Estacion #7-Integracion</c:v>
                </c:pt>
                <c:pt idx="7">
                  <c:v>Estacion #9-Empaque</c:v>
                </c:pt>
              </c:strCache>
            </c:strRef>
          </c:cat>
          <c:val>
            <c:numRef>
              <c:f>'Pillar Chart  NORTHFACE'!$C$51:$J$51</c:f>
              <c:numCache>
                <c:formatCode>0.0</c:formatCode>
                <c:ptCount val="8"/>
                <c:pt idx="0">
                  <c:v>1.8833333333333333</c:v>
                </c:pt>
                <c:pt idx="1">
                  <c:v>1.7166666666666666</c:v>
                </c:pt>
                <c:pt idx="2">
                  <c:v>6.333333333333333</c:v>
                </c:pt>
                <c:pt idx="3">
                  <c:v>0</c:v>
                </c:pt>
                <c:pt idx="4">
                  <c:v>0.96666666666666667</c:v>
                </c:pt>
                <c:pt idx="5">
                  <c:v>16.733333333333334</c:v>
                </c:pt>
                <c:pt idx="6">
                  <c:v>28.566666666666666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25-41B6-87B8-331833FD80B1}"/>
            </c:ext>
          </c:extLst>
        </c:ser>
        <c:ser>
          <c:idx val="2"/>
          <c:order val="2"/>
          <c:tx>
            <c:strRef>
              <c:f>'Pillar Chart  NORTHFACE'!$B$52</c:f>
              <c:strCache>
                <c:ptCount val="1"/>
                <c:pt idx="0">
                  <c:v>Walk Time</c:v>
                </c:pt>
              </c:strCache>
            </c:strRef>
          </c:tx>
          <c:spPr>
            <a:solidFill>
              <a:srgbClr val="FF00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00"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'Pillar Chart  NORTHFACE'!$C$45:$J$45</c:f>
              <c:strCache>
                <c:ptCount val="8"/>
                <c:pt idx="0">
                  <c:v>Estacion #1-Fabricacion subensamble</c:v>
                </c:pt>
                <c:pt idx="1">
                  <c:v>Estacion #2-Fabricacion</c:v>
                </c:pt>
                <c:pt idx="2">
                  <c:v>Estacion #3-Fabricacion</c:v>
                </c:pt>
                <c:pt idx="3">
                  <c:v>Estacion #4-H</c:v>
                </c:pt>
                <c:pt idx="4">
                  <c:v>Estacion #5-H Subensamble</c:v>
                </c:pt>
                <c:pt idx="5">
                  <c:v>Estacion #6-Ensamble completo</c:v>
                </c:pt>
                <c:pt idx="6">
                  <c:v>Estacion #7-Integracion</c:v>
                </c:pt>
                <c:pt idx="7">
                  <c:v>Estacion #9-Empaque</c:v>
                </c:pt>
              </c:strCache>
            </c:strRef>
          </c:cat>
          <c:val>
            <c:numRef>
              <c:f>'Pillar Chart  NORTHFACE'!$C$52:$J$52</c:f>
              <c:numCache>
                <c:formatCode>0.0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2.4666666666666668</c:v>
                </c:pt>
                <c:pt idx="3">
                  <c:v>17.45</c:v>
                </c:pt>
                <c:pt idx="4">
                  <c:v>0</c:v>
                </c:pt>
                <c:pt idx="5">
                  <c:v>6.8</c:v>
                </c:pt>
                <c:pt idx="6">
                  <c:v>14.533333333333333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225-41B6-87B8-331833FD80B1}"/>
            </c:ext>
          </c:extLst>
        </c:ser>
        <c:ser>
          <c:idx val="3"/>
          <c:order val="3"/>
          <c:tx>
            <c:strRef>
              <c:f>'Pillar Chart  NORTHFACE'!$B$53</c:f>
              <c:strCache>
                <c:ptCount val="1"/>
                <c:pt idx="0">
                  <c:v>Wait Time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00"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'Pillar Chart  NORTHFACE'!$C$45:$J$45</c:f>
              <c:strCache>
                <c:ptCount val="8"/>
                <c:pt idx="0">
                  <c:v>Estacion #1-Fabricacion subensamble</c:v>
                </c:pt>
                <c:pt idx="1">
                  <c:v>Estacion #2-Fabricacion</c:v>
                </c:pt>
                <c:pt idx="2">
                  <c:v>Estacion #3-Fabricacion</c:v>
                </c:pt>
                <c:pt idx="3">
                  <c:v>Estacion #4-H</c:v>
                </c:pt>
                <c:pt idx="4">
                  <c:v>Estacion #5-H Subensamble</c:v>
                </c:pt>
                <c:pt idx="5">
                  <c:v>Estacion #6-Ensamble completo</c:v>
                </c:pt>
                <c:pt idx="6">
                  <c:v>Estacion #7-Integracion</c:v>
                </c:pt>
                <c:pt idx="7">
                  <c:v>Estacion #9-Empaque</c:v>
                </c:pt>
              </c:strCache>
            </c:strRef>
          </c:cat>
          <c:val>
            <c:numRef>
              <c:f>'Pillar Chart  NORTHFACE'!$C$53:$J$53</c:f>
              <c:numCache>
                <c:formatCode>0.0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10.55</c:v>
                </c:pt>
                <c:pt idx="6">
                  <c:v>3.9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225-41B6-87B8-331833FD80B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0"/>
        <c:overlap val="100"/>
        <c:axId val="323443632"/>
        <c:axId val="326880400"/>
      </c:barChart>
      <c:lineChart>
        <c:grouping val="stacked"/>
        <c:varyColors val="0"/>
        <c:ser>
          <c:idx val="0"/>
          <c:order val="4"/>
          <c:tx>
            <c:strRef>
              <c:f>'Pillar Chart  NORTHFACE'!$B$49</c:f>
              <c:strCache>
                <c:ptCount val="1"/>
                <c:pt idx="0">
                  <c:v>Takt Time</c:v>
                </c:pt>
              </c:strCache>
            </c:strRef>
          </c:tx>
          <c:spPr>
            <a:ln>
              <a:solidFill>
                <a:schemeClr val="accent5"/>
              </a:solidFill>
              <a:prstDash val="dashDot"/>
            </a:ln>
          </c:spPr>
          <c:marker>
            <c:symbol val="none"/>
          </c:marker>
          <c:val>
            <c:numRef>
              <c:f>'Pillar Chart  NORTHFACE'!$C$49:$J$49</c:f>
              <c:numCache>
                <c:formatCode>0.0</c:formatCode>
                <c:ptCount val="8"/>
                <c:pt idx="0">
                  <c:v>47.008547008547005</c:v>
                </c:pt>
                <c:pt idx="1">
                  <c:v>47.008547008547005</c:v>
                </c:pt>
                <c:pt idx="2">
                  <c:v>47.008547008547005</c:v>
                </c:pt>
                <c:pt idx="3">
                  <c:v>47.008547008547005</c:v>
                </c:pt>
                <c:pt idx="4">
                  <c:v>47.008547008547005</c:v>
                </c:pt>
                <c:pt idx="5">
                  <c:v>47.008547008547005</c:v>
                </c:pt>
                <c:pt idx="6">
                  <c:v>47.008547008547005</c:v>
                </c:pt>
                <c:pt idx="7">
                  <c:v>47.008547008547005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CF9-4CF2-BACB-0321D6D67F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3443632"/>
        <c:axId val="326880400"/>
      </c:lineChart>
      <c:catAx>
        <c:axId val="3234436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2688040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32688040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000"/>
                  <a:t>Seconds</a:t>
                </a:r>
              </a:p>
            </c:rich>
          </c:tx>
          <c:layout>
            <c:manualLayout>
              <c:xMode val="edge"/>
              <c:yMode val="edge"/>
              <c:x val="2.3385826771653542E-3"/>
              <c:y val="0.5297967165868972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23443632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4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5" r="0.5" t="1" header="0.5" footer="0.5"/>
    <c:pageSetup paperSize="24" orientation="landscape" horizontalDpi="-3" verticalDpi="200"/>
  </c:printSettings>
</c:chartSpac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285749</xdr:colOff>
      <xdr:row>224</xdr:row>
      <xdr:rowOff>0</xdr:rowOff>
    </xdr:from>
    <xdr:to>
      <xdr:col>2</xdr:col>
      <xdr:colOff>0</xdr:colOff>
      <xdr:row>225</xdr:row>
      <xdr:rowOff>258536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GrpSpPr/>
      </xdr:nvGrpSpPr>
      <xdr:grpSpPr>
        <a:xfrm>
          <a:off x="285749" y="56498289"/>
          <a:ext cx="6090988" cy="501574"/>
          <a:chOff x="973189" y="57338890"/>
          <a:chExt cx="6400755" cy="411572"/>
        </a:xfrm>
      </xdr:grpSpPr>
      <xdr:grpSp>
        <xdr:nvGrpSpPr>
          <xdr:cNvPr id="21" name="Group 20">
            <a:extLst>
              <a:ext uri="{FF2B5EF4-FFF2-40B4-BE49-F238E27FC236}">
                <a16:creationId xmlns:a16="http://schemas.microsoft.com/office/drawing/2014/main" id="{00000000-0008-0000-0100-000015000000}"/>
              </a:ext>
            </a:extLst>
          </xdr:cNvPr>
          <xdr:cNvGrpSpPr/>
        </xdr:nvGrpSpPr>
        <xdr:grpSpPr>
          <a:xfrm>
            <a:off x="973189" y="57338890"/>
            <a:ext cx="6400755" cy="411572"/>
            <a:chOff x="12498527" y="12095420"/>
            <a:chExt cx="4847843" cy="407279"/>
          </a:xfrm>
          <a:noFill/>
        </xdr:grpSpPr>
        <xdr:grpSp>
          <xdr:nvGrpSpPr>
            <xdr:cNvPr id="23" name="Group 22">
              <a:extLst>
                <a:ext uri="{FF2B5EF4-FFF2-40B4-BE49-F238E27FC236}">
                  <a16:creationId xmlns:a16="http://schemas.microsoft.com/office/drawing/2014/main" id="{00000000-0008-0000-0100-000017000000}"/>
                </a:ext>
              </a:extLst>
            </xdr:cNvPr>
            <xdr:cNvGrpSpPr/>
          </xdr:nvGrpSpPr>
          <xdr:grpSpPr>
            <a:xfrm>
              <a:off x="12498527" y="12098626"/>
              <a:ext cx="1248656" cy="369795"/>
              <a:chOff x="12518898" y="12149853"/>
              <a:chExt cx="1266265" cy="369795"/>
            </a:xfrm>
            <a:grpFill/>
          </xdr:grpSpPr>
          <xdr:sp macro="" textlink="">
            <xdr:nvSpPr>
              <xdr:cNvPr id="31" name="TextBox 30">
                <a:extLst>
                  <a:ext uri="{FF2B5EF4-FFF2-40B4-BE49-F238E27FC236}">
                    <a16:creationId xmlns:a16="http://schemas.microsoft.com/office/drawing/2014/main" id="{00000000-0008-0000-0100-00001F000000}"/>
                  </a:ext>
                </a:extLst>
              </xdr:cNvPr>
              <xdr:cNvSpPr txBox="1"/>
            </xdr:nvSpPr>
            <xdr:spPr>
              <a:xfrm>
                <a:off x="12518898" y="12149853"/>
                <a:ext cx="1266265" cy="369795"/>
              </a:xfrm>
              <a:prstGeom prst="rect">
                <a:avLst/>
              </a:prstGeom>
              <a:grp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lang="en-US" sz="1200" b="1"/>
                  <a:t>Safety</a:t>
                </a:r>
              </a:p>
            </xdr:txBody>
          </xdr:sp>
          <xdr:sp macro="" textlink="">
            <xdr:nvSpPr>
              <xdr:cNvPr id="32" name="Symbol Safety Template">
                <a:extLst>
                  <a:ext uri="{FF2B5EF4-FFF2-40B4-BE49-F238E27FC236}">
                    <a16:creationId xmlns:a16="http://schemas.microsoft.com/office/drawing/2014/main" id="{00000000-0008-0000-0100-000020000000}"/>
                  </a:ext>
                </a:extLst>
              </xdr:cNvPr>
              <xdr:cNvSpPr>
                <a:spLocks noChangeAspect="1"/>
              </xdr:cNvSpPr>
            </xdr:nvSpPr>
            <xdr:spPr>
              <a:xfrm>
                <a:off x="12622009" y="12215924"/>
                <a:ext cx="282400" cy="255942"/>
              </a:xfrm>
              <a:prstGeom prst="plus">
                <a:avLst/>
              </a:prstGeom>
              <a:grpFill/>
              <a:ln w="12700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rtlCol="0" anchor="ctr"/>
              <a:lstStyle/>
              <a:p>
                <a:pPr algn="ctr"/>
                <a:endParaRPr lang="en-US" sz="1100"/>
              </a:p>
            </xdr:txBody>
          </xdr:sp>
        </xdr:grpSp>
        <xdr:grpSp>
          <xdr:nvGrpSpPr>
            <xdr:cNvPr id="24" name="Group 23">
              <a:extLst>
                <a:ext uri="{FF2B5EF4-FFF2-40B4-BE49-F238E27FC236}">
                  <a16:creationId xmlns:a16="http://schemas.microsoft.com/office/drawing/2014/main" id="{00000000-0008-0000-0100-000018000000}"/>
                </a:ext>
              </a:extLst>
            </xdr:cNvPr>
            <xdr:cNvGrpSpPr/>
          </xdr:nvGrpSpPr>
          <xdr:grpSpPr>
            <a:xfrm>
              <a:off x="13323318" y="12095420"/>
              <a:ext cx="1739633" cy="369795"/>
              <a:chOff x="13799401" y="12124236"/>
              <a:chExt cx="1766047" cy="369795"/>
            </a:xfrm>
            <a:grpFill/>
          </xdr:grpSpPr>
          <xdr:sp macro="" textlink="">
            <xdr:nvSpPr>
              <xdr:cNvPr id="29" name="TextBox 28">
                <a:extLst>
                  <a:ext uri="{FF2B5EF4-FFF2-40B4-BE49-F238E27FC236}">
                    <a16:creationId xmlns:a16="http://schemas.microsoft.com/office/drawing/2014/main" id="{00000000-0008-0000-0100-00001D000000}"/>
                  </a:ext>
                </a:extLst>
              </xdr:cNvPr>
              <xdr:cNvSpPr txBox="1"/>
            </xdr:nvSpPr>
            <xdr:spPr>
              <a:xfrm>
                <a:off x="13799401" y="12124236"/>
                <a:ext cx="1766047" cy="369795"/>
              </a:xfrm>
              <a:prstGeom prst="rect">
                <a:avLst/>
              </a:prstGeom>
              <a:grp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lang="en-US" sz="1200" b="1"/>
                  <a:t>Mandatory Seq.</a:t>
                </a:r>
              </a:p>
            </xdr:txBody>
          </xdr:sp>
          <xdr:sp macro="" textlink="">
            <xdr:nvSpPr>
              <xdr:cNvPr id="30" name="Symbol Mandatory Template">
                <a:extLst>
                  <a:ext uri="{FF2B5EF4-FFF2-40B4-BE49-F238E27FC236}">
                    <a16:creationId xmlns:a16="http://schemas.microsoft.com/office/drawing/2014/main" id="{00000000-0008-0000-0100-00001E000000}"/>
                  </a:ext>
                </a:extLst>
              </xdr:cNvPr>
              <xdr:cNvSpPr>
                <a:spLocks/>
              </xdr:cNvSpPr>
            </xdr:nvSpPr>
            <xdr:spPr>
              <a:xfrm>
                <a:off x="13984161" y="12190946"/>
                <a:ext cx="247310" cy="247585"/>
              </a:xfrm>
              <a:prstGeom prst="ellipse">
                <a:avLst/>
              </a:prstGeom>
              <a:grpFill/>
              <a:ln w="12700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rtlCol="0" anchor="ctr"/>
              <a:lstStyle/>
              <a:p>
                <a:pPr algn="ctr"/>
                <a:endParaRPr lang="en-US" sz="1100"/>
              </a:p>
            </xdr:txBody>
          </xdr:sp>
        </xdr:grpSp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00000000-0008-0000-0100-000019000000}"/>
                </a:ext>
              </a:extLst>
            </xdr:cNvPr>
            <xdr:cNvSpPr txBox="1"/>
          </xdr:nvSpPr>
          <xdr:spPr>
            <a:xfrm rot="10800000" flipV="1">
              <a:off x="14893370" y="12177571"/>
              <a:ext cx="1558378" cy="222681"/>
            </a:xfrm>
            <a:prstGeom prst="rect">
              <a:avLst/>
            </a:prstGeom>
            <a:grp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200" b="1"/>
                <a:t>Critical</a:t>
              </a:r>
              <a:r>
                <a:rPr lang="en-US" sz="1200" b="1" baseline="0"/>
                <a:t> Process</a:t>
              </a:r>
              <a:endParaRPr lang="en-US" sz="1200" b="1"/>
            </a:p>
          </xdr:txBody>
        </xdr:sp>
        <xdr:grpSp>
          <xdr:nvGrpSpPr>
            <xdr:cNvPr id="26" name="Group 25">
              <a:extLst>
                <a:ext uri="{FF2B5EF4-FFF2-40B4-BE49-F238E27FC236}">
                  <a16:creationId xmlns:a16="http://schemas.microsoft.com/office/drawing/2014/main" id="{00000000-0008-0000-0100-00001A000000}"/>
                </a:ext>
              </a:extLst>
            </xdr:cNvPr>
            <xdr:cNvGrpSpPr/>
          </xdr:nvGrpSpPr>
          <xdr:grpSpPr>
            <a:xfrm>
              <a:off x="16273732" y="12103396"/>
              <a:ext cx="1072638" cy="399303"/>
              <a:chOff x="17938372" y="12233064"/>
              <a:chExt cx="1088924" cy="399303"/>
            </a:xfrm>
            <a:grpFill/>
          </xdr:grpSpPr>
          <xdr:sp macro="" textlink="">
            <xdr:nvSpPr>
              <xdr:cNvPr id="27" name="TextBox 26">
                <a:extLst>
                  <a:ext uri="{FF2B5EF4-FFF2-40B4-BE49-F238E27FC236}">
                    <a16:creationId xmlns:a16="http://schemas.microsoft.com/office/drawing/2014/main" id="{00000000-0008-0000-0100-00001B000000}"/>
                  </a:ext>
                </a:extLst>
              </xdr:cNvPr>
              <xdr:cNvSpPr txBox="1"/>
            </xdr:nvSpPr>
            <xdr:spPr>
              <a:xfrm>
                <a:off x="17983198" y="12234580"/>
                <a:ext cx="1044098" cy="369795"/>
              </a:xfrm>
              <a:prstGeom prst="rect">
                <a:avLst/>
              </a:prstGeom>
              <a:grp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l"/>
                <a:r>
                  <a:rPr lang="en-US" sz="1200" b="1"/>
                  <a:t>         Quality</a:t>
                </a:r>
              </a:p>
            </xdr:txBody>
          </xdr:sp>
          <xdr:sp macro="" textlink="">
            <xdr:nvSpPr>
              <xdr:cNvPr id="28" name="Symbol Quality Template">
                <a:extLst>
                  <a:ext uri="{FF2B5EF4-FFF2-40B4-BE49-F238E27FC236}">
                    <a16:creationId xmlns:a16="http://schemas.microsoft.com/office/drawing/2014/main" id="{00000000-0008-0000-0100-00001C000000}"/>
                  </a:ext>
                </a:extLst>
              </xdr:cNvPr>
              <xdr:cNvSpPr>
                <a:spLocks noChangeAspect="1"/>
              </xdr:cNvSpPr>
            </xdr:nvSpPr>
            <xdr:spPr>
              <a:xfrm>
                <a:off x="17938372" y="12233064"/>
                <a:ext cx="283330" cy="399303"/>
              </a:xfrm>
              <a:prstGeom prst="diamond">
                <a:avLst/>
              </a:prstGeom>
              <a:grpFill/>
              <a:ln w="12700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rtlCol="0" anchor="ctr"/>
              <a:lstStyle/>
              <a:p>
                <a:pPr algn="ctr"/>
                <a:endParaRPr lang="en-US" sz="1100"/>
              </a:p>
            </xdr:txBody>
          </xdr:sp>
        </xdr:grpSp>
      </xdr:grpSp>
      <xdr:sp macro="" textlink="">
        <xdr:nvSpPr>
          <xdr:cNvPr id="22" name="Symbol KeyProcess Template">
            <a:extLst>
              <a:ext uri="{FF2B5EF4-FFF2-40B4-BE49-F238E27FC236}">
                <a16:creationId xmlns:a16="http://schemas.microsoft.com/office/drawing/2014/main" id="{00000000-0008-0000-0100-000016000000}"/>
              </a:ext>
            </a:extLst>
          </xdr:cNvPr>
          <xdr:cNvSpPr>
            <a:spLocks noChangeAspect="1"/>
          </xdr:cNvSpPr>
        </xdr:nvSpPr>
        <xdr:spPr>
          <a:xfrm>
            <a:off x="4222045" y="57414760"/>
            <a:ext cx="367557" cy="264179"/>
          </a:xfrm>
          <a:prstGeom prst="triangle">
            <a:avLst/>
          </a:prstGeom>
          <a:noFill/>
          <a:ln w="12700">
            <a:solidFill>
              <a:schemeClr val="tx1"/>
            </a:solidFill>
          </a:ln>
          <a:scene3d>
            <a:camera prst="orthographicFront">
              <a:rot lat="0" lon="0" rev="10800000"/>
            </a:camera>
            <a:lightRig rig="threePt" dir="t"/>
          </a:scene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184624</xdr:colOff>
      <xdr:row>8</xdr:row>
      <xdr:rowOff>149679</xdr:rowOff>
    </xdr:from>
    <xdr:to>
      <xdr:col>1</xdr:col>
      <xdr:colOff>40821</xdr:colOff>
      <xdr:row>22</xdr:row>
      <xdr:rowOff>122465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81644</xdr:colOff>
      <xdr:row>6</xdr:row>
      <xdr:rowOff>43295</xdr:rowOff>
    </xdr:from>
    <xdr:to>
      <xdr:col>2</xdr:col>
      <xdr:colOff>66799</xdr:colOff>
      <xdr:row>38</xdr:row>
      <xdr:rowOff>81643</xdr:rowOff>
    </xdr:to>
    <xdr:graphicFrame macro="">
      <xdr:nvGraphicFramePr>
        <xdr:cNvPr id="13" name="Chart 4">
          <a:extLst>
            <a:ext uri="{FF2B5EF4-FFF2-40B4-BE49-F238E27FC236}">
              <a16:creationId xmlns:a16="http://schemas.microsoft.com/office/drawing/2014/main" id="{00000000-0008-0000-0200-000003000000}"/>
            </a:ext>
            <a:ext uri="{147F2762-F138-4A5C-976F-8EAC2B608ADB}">
              <a16:predDERef xmlns:a16="http://schemas.microsoft.com/office/drawing/2014/main" pre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95250</xdr:colOff>
      <xdr:row>6</xdr:row>
      <xdr:rowOff>27214</xdr:rowOff>
    </xdr:from>
    <xdr:to>
      <xdr:col>11</xdr:col>
      <xdr:colOff>0</xdr:colOff>
      <xdr:row>43</xdr:row>
      <xdr:rowOff>68035</xdr:rowOff>
    </xdr:to>
    <xdr:graphicFrame macro="">
      <xdr:nvGraphicFramePr>
        <xdr:cNvPr id="4" name="Chart 2">
          <a:extLst>
            <a:ext uri="{FF2B5EF4-FFF2-40B4-BE49-F238E27FC236}">
              <a16:creationId xmlns:a16="http://schemas.microsoft.com/office/drawing/2014/main" id="{00000000-0008-0000-0200-000004000000}"/>
            </a:ext>
            <a:ext uri="{147F2762-F138-4A5C-976F-8EAC2B608ADB}">
              <a16:predDERef xmlns:a16="http://schemas.microsoft.com/office/drawing/2014/main" pre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CSVP09\public\Planeacion_Nuevos_Proyectos\Ing.%20Industrial\Usuarios\Practicantes\Victor%20Cantu\HTE&#180;S\L1\Piping%20L1\Pillar%20Chart\Formato%20de%20P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ManpowerUtilization ACTUAL"/>
    </sheetNames>
    <sheetDataSet>
      <sheetData sheetId="0" refreshError="1"/>
      <sheetData sheetId="1">
        <row r="50">
          <cell r="C50" t="str">
            <v>BEC Time</v>
          </cell>
        </row>
        <row r="51">
          <cell r="C51" t="str">
            <v>Work Time</v>
          </cell>
        </row>
        <row r="52">
          <cell r="C52" t="str">
            <v>Walk Time</v>
          </cell>
        </row>
        <row r="53">
          <cell r="C53" t="str">
            <v>Wait Time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WI" displayName="tbl_WI" ref="A35:G221" totalsRowCount="1" headerRowDxfId="627" totalsRowDxfId="624" headerRowBorderDxfId="626" tableBorderDxfId="625" totalsRowBorderDxfId="623" headerRowCellStyle="Normal 2">
  <autoFilter ref="A35:G220" xr:uid="{00000000-000C-0000-FFFF-FFFF00000000}"/>
  <tableColumns count="7">
    <tableColumn id="1" xr3:uid="{00000000-0010-0000-0000-000001000000}" name="#" totalsRowLabel="Total" dataDxfId="622" totalsRowDxfId="621" dataCellStyle="Normal 2"/>
    <tableColumn id="2" xr3:uid="{00000000-0010-0000-0000-000002000000}" name="ELEMENTO" dataDxfId="620" totalsRowDxfId="619"/>
    <tableColumn id="9" xr3:uid="{00000000-0010-0000-0000-000009000000}" name="# Operador" dataDxfId="618" totalsRowDxfId="617" dataCellStyle="Normal 2"/>
    <tableColumn id="10" xr3:uid="{00000000-0010-0000-0000-00000A000000}" name="BEC Time  (seg..)" totalsRowFunction="sum" dataDxfId="616" totalsRowDxfId="615" dataCellStyle="Normal 2"/>
    <tableColumn id="14" xr3:uid="{00000000-0010-0000-0000-00000E000000}" name="Work Time (seg…)" totalsRowFunction="sum" dataDxfId="614" totalsRowDxfId="613" dataCellStyle="Normal 2"/>
    <tableColumn id="11" xr3:uid="{00000000-0010-0000-0000-00000B000000}" name="Tiempo de Espera (seg..)" totalsRowFunction="sum" dataDxfId="612" totalsRowDxfId="611" dataCellStyle="Normal 2"/>
    <tableColumn id="12" xr3:uid="{00000000-0010-0000-0000-00000C000000}" name="Tiempo de Caminatas (seg..)" totalsRowFunction="sum" dataDxfId="610" totalsRowDxfId="609" dataCellStyle="Normal 2"/>
  </tableColumns>
  <tableStyleInfo name="TableStyleLight4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3CD57DD-7428-47F4-B329-D2F4A32BA7F3}">
  <we:reference id="wa104379629" version="1.3.0.0" store="en-US" storeType="OMEX"/>
  <we:alternateReferences>
    <we:reference id="WA104379629" version="1.3.0.0" store="WA104379629" storeType="OMEX"/>
  </we:alternateReferences>
  <we:properties>
    <we:property name="RuntimeConfig" value="{&quot;HostName&quot;:&quot;&quot;,&quot;Applets&quot;:{},&quot;ActiveAppletId&quot;:&quot;&quot;,&quot;Language&quot;:&quot;ES-MX&quot;,&quot;DocumentId&quot;:&quot;4419e8eb-77a6-46c7-82e6-c981dbea7cfa&quot;,&quot;DateCreated&quot;:&quot;2018-05-08T15:46:16.847Z&quot;,&quot;GenerationActivityId&quot;:&quot;&quot;}"/>
    <we:property name="Features" value="{&quot;LogDomEvents&quot;:false,&quot;LogTelemetry&quot;:true}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0"/>
  </sheetPr>
  <dimension ref="A2:P16"/>
  <sheetViews>
    <sheetView showGridLines="0" zoomScale="80" zoomScaleNormal="80" workbookViewId="0">
      <selection activeCell="D6" sqref="D6"/>
    </sheetView>
  </sheetViews>
  <sheetFormatPr defaultColWidth="9.109375" defaultRowHeight="13.2" x14ac:dyDescent="0.25"/>
  <cols>
    <col min="1" max="1" width="14.44140625" style="1" bestFit="1" customWidth="1"/>
    <col min="2" max="2" width="11.5546875" style="1" customWidth="1"/>
    <col min="3" max="3" width="13" style="1" customWidth="1"/>
    <col min="4" max="5" width="9.109375" style="1"/>
    <col min="6" max="8" width="10.44140625" style="1" bestFit="1" customWidth="1"/>
    <col min="9" max="9" width="15" style="1" customWidth="1"/>
    <col min="10" max="10" width="9.109375" style="1"/>
    <col min="11" max="11" width="16" style="1" customWidth="1"/>
    <col min="12" max="12" width="14.88671875" style="1" bestFit="1" customWidth="1"/>
    <col min="13" max="255" width="9.109375" style="1"/>
    <col min="256" max="256" width="10.109375" style="1" customWidth="1"/>
    <col min="257" max="257" width="11.109375" style="1" customWidth="1"/>
    <col min="258" max="511" width="9.109375" style="1"/>
    <col min="512" max="512" width="10.109375" style="1" customWidth="1"/>
    <col min="513" max="513" width="11.109375" style="1" customWidth="1"/>
    <col min="514" max="767" width="9.109375" style="1"/>
    <col min="768" max="768" width="10.109375" style="1" customWidth="1"/>
    <col min="769" max="769" width="11.109375" style="1" customWidth="1"/>
    <col min="770" max="1023" width="9.109375" style="1"/>
    <col min="1024" max="1024" width="10.109375" style="1" customWidth="1"/>
    <col min="1025" max="1025" width="11.109375" style="1" customWidth="1"/>
    <col min="1026" max="1279" width="9.109375" style="1"/>
    <col min="1280" max="1280" width="10.109375" style="1" customWidth="1"/>
    <col min="1281" max="1281" width="11.109375" style="1" customWidth="1"/>
    <col min="1282" max="1535" width="9.109375" style="1"/>
    <col min="1536" max="1536" width="10.109375" style="1" customWidth="1"/>
    <col min="1537" max="1537" width="11.109375" style="1" customWidth="1"/>
    <col min="1538" max="1791" width="9.109375" style="1"/>
    <col min="1792" max="1792" width="10.109375" style="1" customWidth="1"/>
    <col min="1793" max="1793" width="11.109375" style="1" customWidth="1"/>
    <col min="1794" max="2047" width="9.109375" style="1"/>
    <col min="2048" max="2048" width="10.109375" style="1" customWidth="1"/>
    <col min="2049" max="2049" width="11.109375" style="1" customWidth="1"/>
    <col min="2050" max="2303" width="9.109375" style="1"/>
    <col min="2304" max="2304" width="10.109375" style="1" customWidth="1"/>
    <col min="2305" max="2305" width="11.109375" style="1" customWidth="1"/>
    <col min="2306" max="2559" width="9.109375" style="1"/>
    <col min="2560" max="2560" width="10.109375" style="1" customWidth="1"/>
    <col min="2561" max="2561" width="11.109375" style="1" customWidth="1"/>
    <col min="2562" max="2815" width="9.109375" style="1"/>
    <col min="2816" max="2816" width="10.109375" style="1" customWidth="1"/>
    <col min="2817" max="2817" width="11.109375" style="1" customWidth="1"/>
    <col min="2818" max="3071" width="9.109375" style="1"/>
    <col min="3072" max="3072" width="10.109375" style="1" customWidth="1"/>
    <col min="3073" max="3073" width="11.109375" style="1" customWidth="1"/>
    <col min="3074" max="3327" width="9.109375" style="1"/>
    <col min="3328" max="3328" width="10.109375" style="1" customWidth="1"/>
    <col min="3329" max="3329" width="11.109375" style="1" customWidth="1"/>
    <col min="3330" max="3583" width="9.109375" style="1"/>
    <col min="3584" max="3584" width="10.109375" style="1" customWidth="1"/>
    <col min="3585" max="3585" width="11.109375" style="1" customWidth="1"/>
    <col min="3586" max="3839" width="9.109375" style="1"/>
    <col min="3840" max="3840" width="10.109375" style="1" customWidth="1"/>
    <col min="3841" max="3841" width="11.109375" style="1" customWidth="1"/>
    <col min="3842" max="4095" width="9.109375" style="1"/>
    <col min="4096" max="4096" width="10.109375" style="1" customWidth="1"/>
    <col min="4097" max="4097" width="11.109375" style="1" customWidth="1"/>
    <col min="4098" max="4351" width="9.109375" style="1"/>
    <col min="4352" max="4352" width="10.109375" style="1" customWidth="1"/>
    <col min="4353" max="4353" width="11.109375" style="1" customWidth="1"/>
    <col min="4354" max="4607" width="9.109375" style="1"/>
    <col min="4608" max="4608" width="10.109375" style="1" customWidth="1"/>
    <col min="4609" max="4609" width="11.109375" style="1" customWidth="1"/>
    <col min="4610" max="4863" width="9.109375" style="1"/>
    <col min="4864" max="4864" width="10.109375" style="1" customWidth="1"/>
    <col min="4865" max="4865" width="11.109375" style="1" customWidth="1"/>
    <col min="4866" max="5119" width="9.109375" style="1"/>
    <col min="5120" max="5120" width="10.109375" style="1" customWidth="1"/>
    <col min="5121" max="5121" width="11.109375" style="1" customWidth="1"/>
    <col min="5122" max="5375" width="9.109375" style="1"/>
    <col min="5376" max="5376" width="10.109375" style="1" customWidth="1"/>
    <col min="5377" max="5377" width="11.109375" style="1" customWidth="1"/>
    <col min="5378" max="5631" width="9.109375" style="1"/>
    <col min="5632" max="5632" width="10.109375" style="1" customWidth="1"/>
    <col min="5633" max="5633" width="11.109375" style="1" customWidth="1"/>
    <col min="5634" max="5887" width="9.109375" style="1"/>
    <col min="5888" max="5888" width="10.109375" style="1" customWidth="1"/>
    <col min="5889" max="5889" width="11.109375" style="1" customWidth="1"/>
    <col min="5890" max="6143" width="9.109375" style="1"/>
    <col min="6144" max="6144" width="10.109375" style="1" customWidth="1"/>
    <col min="6145" max="6145" width="11.109375" style="1" customWidth="1"/>
    <col min="6146" max="6399" width="9.109375" style="1"/>
    <col min="6400" max="6400" width="10.109375" style="1" customWidth="1"/>
    <col min="6401" max="6401" width="11.109375" style="1" customWidth="1"/>
    <col min="6402" max="6655" width="9.109375" style="1"/>
    <col min="6656" max="6656" width="10.109375" style="1" customWidth="1"/>
    <col min="6657" max="6657" width="11.109375" style="1" customWidth="1"/>
    <col min="6658" max="6911" width="9.109375" style="1"/>
    <col min="6912" max="6912" width="10.109375" style="1" customWidth="1"/>
    <col min="6913" max="6913" width="11.109375" style="1" customWidth="1"/>
    <col min="6914" max="7167" width="9.109375" style="1"/>
    <col min="7168" max="7168" width="10.109375" style="1" customWidth="1"/>
    <col min="7169" max="7169" width="11.109375" style="1" customWidth="1"/>
    <col min="7170" max="7423" width="9.109375" style="1"/>
    <col min="7424" max="7424" width="10.109375" style="1" customWidth="1"/>
    <col min="7425" max="7425" width="11.109375" style="1" customWidth="1"/>
    <col min="7426" max="7679" width="9.109375" style="1"/>
    <col min="7680" max="7680" width="10.109375" style="1" customWidth="1"/>
    <col min="7681" max="7681" width="11.109375" style="1" customWidth="1"/>
    <col min="7682" max="7935" width="9.109375" style="1"/>
    <col min="7936" max="7936" width="10.109375" style="1" customWidth="1"/>
    <col min="7937" max="7937" width="11.109375" style="1" customWidth="1"/>
    <col min="7938" max="8191" width="9.109375" style="1"/>
    <col min="8192" max="8192" width="10.109375" style="1" customWidth="1"/>
    <col min="8193" max="8193" width="11.109375" style="1" customWidth="1"/>
    <col min="8194" max="8447" width="9.109375" style="1"/>
    <col min="8448" max="8448" width="10.109375" style="1" customWidth="1"/>
    <col min="8449" max="8449" width="11.109375" style="1" customWidth="1"/>
    <col min="8450" max="8703" width="9.109375" style="1"/>
    <col min="8704" max="8704" width="10.109375" style="1" customWidth="1"/>
    <col min="8705" max="8705" width="11.109375" style="1" customWidth="1"/>
    <col min="8706" max="8959" width="9.109375" style="1"/>
    <col min="8960" max="8960" width="10.109375" style="1" customWidth="1"/>
    <col min="8961" max="8961" width="11.109375" style="1" customWidth="1"/>
    <col min="8962" max="9215" width="9.109375" style="1"/>
    <col min="9216" max="9216" width="10.109375" style="1" customWidth="1"/>
    <col min="9217" max="9217" width="11.109375" style="1" customWidth="1"/>
    <col min="9218" max="9471" width="9.109375" style="1"/>
    <col min="9472" max="9472" width="10.109375" style="1" customWidth="1"/>
    <col min="9473" max="9473" width="11.109375" style="1" customWidth="1"/>
    <col min="9474" max="9727" width="9.109375" style="1"/>
    <col min="9728" max="9728" width="10.109375" style="1" customWidth="1"/>
    <col min="9729" max="9729" width="11.109375" style="1" customWidth="1"/>
    <col min="9730" max="9983" width="9.109375" style="1"/>
    <col min="9984" max="9984" width="10.109375" style="1" customWidth="1"/>
    <col min="9985" max="9985" width="11.109375" style="1" customWidth="1"/>
    <col min="9986" max="10239" width="9.109375" style="1"/>
    <col min="10240" max="10240" width="10.109375" style="1" customWidth="1"/>
    <col min="10241" max="10241" width="11.109375" style="1" customWidth="1"/>
    <col min="10242" max="10495" width="9.109375" style="1"/>
    <col min="10496" max="10496" width="10.109375" style="1" customWidth="1"/>
    <col min="10497" max="10497" width="11.109375" style="1" customWidth="1"/>
    <col min="10498" max="10751" width="9.109375" style="1"/>
    <col min="10752" max="10752" width="10.109375" style="1" customWidth="1"/>
    <col min="10753" max="10753" width="11.109375" style="1" customWidth="1"/>
    <col min="10754" max="11007" width="9.109375" style="1"/>
    <col min="11008" max="11008" width="10.109375" style="1" customWidth="1"/>
    <col min="11009" max="11009" width="11.109375" style="1" customWidth="1"/>
    <col min="11010" max="11263" width="9.109375" style="1"/>
    <col min="11264" max="11264" width="10.109375" style="1" customWidth="1"/>
    <col min="11265" max="11265" width="11.109375" style="1" customWidth="1"/>
    <col min="11266" max="11519" width="9.109375" style="1"/>
    <col min="11520" max="11520" width="10.109375" style="1" customWidth="1"/>
    <col min="11521" max="11521" width="11.109375" style="1" customWidth="1"/>
    <col min="11522" max="11775" width="9.109375" style="1"/>
    <col min="11776" max="11776" width="10.109375" style="1" customWidth="1"/>
    <col min="11777" max="11777" width="11.109375" style="1" customWidth="1"/>
    <col min="11778" max="12031" width="9.109375" style="1"/>
    <col min="12032" max="12032" width="10.109375" style="1" customWidth="1"/>
    <col min="12033" max="12033" width="11.109375" style="1" customWidth="1"/>
    <col min="12034" max="12287" width="9.109375" style="1"/>
    <col min="12288" max="12288" width="10.109375" style="1" customWidth="1"/>
    <col min="12289" max="12289" width="11.109375" style="1" customWidth="1"/>
    <col min="12290" max="12543" width="9.109375" style="1"/>
    <col min="12544" max="12544" width="10.109375" style="1" customWidth="1"/>
    <col min="12545" max="12545" width="11.109375" style="1" customWidth="1"/>
    <col min="12546" max="12799" width="9.109375" style="1"/>
    <col min="12800" max="12800" width="10.109375" style="1" customWidth="1"/>
    <col min="12801" max="12801" width="11.109375" style="1" customWidth="1"/>
    <col min="12802" max="13055" width="9.109375" style="1"/>
    <col min="13056" max="13056" width="10.109375" style="1" customWidth="1"/>
    <col min="13057" max="13057" width="11.109375" style="1" customWidth="1"/>
    <col min="13058" max="13311" width="9.109375" style="1"/>
    <col min="13312" max="13312" width="10.109375" style="1" customWidth="1"/>
    <col min="13313" max="13313" width="11.109375" style="1" customWidth="1"/>
    <col min="13314" max="13567" width="9.109375" style="1"/>
    <col min="13568" max="13568" width="10.109375" style="1" customWidth="1"/>
    <col min="13569" max="13569" width="11.109375" style="1" customWidth="1"/>
    <col min="13570" max="13823" width="9.109375" style="1"/>
    <col min="13824" max="13824" width="10.109375" style="1" customWidth="1"/>
    <col min="13825" max="13825" width="11.109375" style="1" customWidth="1"/>
    <col min="13826" max="14079" width="9.109375" style="1"/>
    <col min="14080" max="14080" width="10.109375" style="1" customWidth="1"/>
    <col min="14081" max="14081" width="11.109375" style="1" customWidth="1"/>
    <col min="14082" max="14335" width="9.109375" style="1"/>
    <col min="14336" max="14336" width="10.109375" style="1" customWidth="1"/>
    <col min="14337" max="14337" width="11.109375" style="1" customWidth="1"/>
    <col min="14338" max="14591" width="9.109375" style="1"/>
    <col min="14592" max="14592" width="10.109375" style="1" customWidth="1"/>
    <col min="14593" max="14593" width="11.109375" style="1" customWidth="1"/>
    <col min="14594" max="14847" width="9.109375" style="1"/>
    <col min="14848" max="14848" width="10.109375" style="1" customWidth="1"/>
    <col min="14849" max="14849" width="11.109375" style="1" customWidth="1"/>
    <col min="14850" max="15103" width="9.109375" style="1"/>
    <col min="15104" max="15104" width="10.109375" style="1" customWidth="1"/>
    <col min="15105" max="15105" width="11.109375" style="1" customWidth="1"/>
    <col min="15106" max="15359" width="9.109375" style="1"/>
    <col min="15360" max="15360" width="10.109375" style="1" customWidth="1"/>
    <col min="15361" max="15361" width="11.109375" style="1" customWidth="1"/>
    <col min="15362" max="15615" width="9.109375" style="1"/>
    <col min="15616" max="15616" width="10.109375" style="1" customWidth="1"/>
    <col min="15617" max="15617" width="11.109375" style="1" customWidth="1"/>
    <col min="15618" max="15871" width="9.109375" style="1"/>
    <col min="15872" max="15872" width="10.109375" style="1" customWidth="1"/>
    <col min="15873" max="15873" width="11.109375" style="1" customWidth="1"/>
    <col min="15874" max="16127" width="9.109375" style="1"/>
    <col min="16128" max="16128" width="10.109375" style="1" customWidth="1"/>
    <col min="16129" max="16129" width="11.109375" style="1" customWidth="1"/>
    <col min="16130" max="16384" width="9.109375" style="1"/>
  </cols>
  <sheetData>
    <row r="2" spans="1:16" ht="13.8" thickBot="1" x14ac:dyDescent="0.3"/>
    <row r="3" spans="1:16" ht="21.6" thickBot="1" x14ac:dyDescent="0.45">
      <c r="A3" s="152" t="s">
        <v>0</v>
      </c>
      <c r="B3" s="153"/>
      <c r="C3" s="153"/>
      <c r="D3" s="153"/>
      <c r="E3" s="153"/>
      <c r="F3" s="153"/>
      <c r="G3" s="153"/>
      <c r="H3" s="153"/>
      <c r="I3" s="154"/>
      <c r="K3" s="155" t="s">
        <v>1</v>
      </c>
      <c r="L3" s="156"/>
      <c r="M3"/>
      <c r="N3"/>
      <c r="O3"/>
      <c r="P3"/>
    </row>
    <row r="4" spans="1:16" ht="60.6" thickBot="1" x14ac:dyDescent="0.35">
      <c r="A4" s="79" t="s">
        <v>2</v>
      </c>
      <c r="B4" s="79" t="s">
        <v>3</v>
      </c>
      <c r="C4" s="79" t="s">
        <v>4</v>
      </c>
      <c r="D4" s="79" t="s">
        <v>5</v>
      </c>
      <c r="E4" s="79" t="s">
        <v>6</v>
      </c>
      <c r="F4" s="79" t="s">
        <v>7</v>
      </c>
      <c r="G4" s="79" t="s">
        <v>8</v>
      </c>
      <c r="H4" s="79" t="s">
        <v>9</v>
      </c>
      <c r="I4" s="15" t="s">
        <v>10</v>
      </c>
      <c r="K4" s="111" t="s">
        <v>11</v>
      </c>
      <c r="L4" s="111" t="s">
        <v>191</v>
      </c>
      <c r="M4"/>
      <c r="N4"/>
      <c r="O4"/>
      <c r="P4"/>
    </row>
    <row r="5" spans="1:16" ht="15.75" customHeight="1" thickBot="1" x14ac:dyDescent="0.35">
      <c r="A5" s="85" t="s">
        <v>12</v>
      </c>
      <c r="B5" s="84">
        <v>660</v>
      </c>
      <c r="C5" s="81">
        <v>13</v>
      </c>
      <c r="D5" s="81">
        <v>1.08</v>
      </c>
      <c r="E5" s="81">
        <v>60</v>
      </c>
      <c r="F5" s="82">
        <f>(($B$5/($C$5*$D$5)*$E$5))</f>
        <v>2820.5128205128203</v>
      </c>
      <c r="G5" s="82">
        <f>F5/60</f>
        <v>47.008547008547005</v>
      </c>
      <c r="H5" s="83">
        <f>G5/60</f>
        <v>0.78347578347578339</v>
      </c>
      <c r="I5" s="80">
        <v>45776</v>
      </c>
      <c r="K5" s="112" t="s">
        <v>0</v>
      </c>
      <c r="L5" s="113">
        <f>+'Pillar Chart  NORTHFACE'!C48+'Pillar Chart  NORTHFACE'!G48</f>
        <v>50.9</v>
      </c>
      <c r="M5"/>
      <c r="N5"/>
      <c r="O5"/>
      <c r="P5"/>
    </row>
    <row r="6" spans="1:16" ht="15" customHeight="1" thickBot="1" x14ac:dyDescent="0.35">
      <c r="A6" s="69"/>
      <c r="B6" s="70"/>
      <c r="C6" s="70"/>
      <c r="D6" s="70"/>
      <c r="E6" s="70"/>
      <c r="F6" s="69"/>
      <c r="G6" s="41"/>
      <c r="H6" s="41"/>
      <c r="I6" s="44"/>
      <c r="K6" s="114" t="s">
        <v>13</v>
      </c>
      <c r="L6" s="115">
        <f>+'Pillar Chart  NORTHFACE'!D48+'Pillar Chart  NORTHFACE'!E48+'Pillar Chart  NORTHFACE'!F48+'Pillar Chart  NORTHFACE'!H48+'Pillar Chart  NORTHFACE'!I48+'Pillar Chart  NORTHFACE'!J48</f>
        <v>309.85000000000002</v>
      </c>
      <c r="M6"/>
      <c r="N6"/>
      <c r="O6"/>
      <c r="P6"/>
    </row>
    <row r="7" spans="1:16" ht="15" customHeight="1" x14ac:dyDescent="0.3">
      <c r="A7" s="69"/>
      <c r="B7" s="70"/>
      <c r="C7" s="70"/>
      <c r="D7" s="70"/>
      <c r="E7" s="70"/>
      <c r="F7" s="69"/>
      <c r="G7" s="41"/>
      <c r="H7" s="41"/>
      <c r="I7" s="44"/>
      <c r="K7"/>
      <c r="L7" s="120">
        <f>+SUM(L5:L6)</f>
        <v>360.75</v>
      </c>
      <c r="M7"/>
      <c r="N7"/>
      <c r="O7"/>
      <c r="P7"/>
    </row>
    <row r="8" spans="1:16" ht="29.4" customHeight="1" x14ac:dyDescent="0.3">
      <c r="A8"/>
      <c r="B8"/>
      <c r="C8"/>
      <c r="D8"/>
      <c r="E8"/>
      <c r="F8"/>
      <c r="G8"/>
      <c r="H8"/>
      <c r="I8"/>
      <c r="K8"/>
      <c r="L8"/>
      <c r="M8"/>
      <c r="N8"/>
      <c r="O8"/>
      <c r="P8"/>
    </row>
    <row r="9" spans="1:16" ht="14.4" x14ac:dyDescent="0.3">
      <c r="A9"/>
      <c r="B9"/>
      <c r="C9"/>
      <c r="D9"/>
      <c r="E9"/>
      <c r="F9"/>
      <c r="G9"/>
      <c r="H9"/>
      <c r="I9"/>
      <c r="K9"/>
      <c r="L9"/>
      <c r="M9"/>
      <c r="N9"/>
      <c r="O9"/>
      <c r="P9"/>
    </row>
    <row r="10" spans="1:16" ht="14.4" x14ac:dyDescent="0.3">
      <c r="A10"/>
      <c r="B10"/>
      <c r="C10"/>
      <c r="D10"/>
      <c r="E10"/>
      <c r="F10"/>
      <c r="G10"/>
      <c r="H10"/>
      <c r="I10"/>
      <c r="K10"/>
      <c r="L10"/>
      <c r="M10"/>
      <c r="N10"/>
      <c r="O10"/>
      <c r="P10"/>
    </row>
    <row r="11" spans="1:16" ht="14.4" x14ac:dyDescent="0.3">
      <c r="A11"/>
      <c r="B11"/>
      <c r="C11"/>
      <c r="D11"/>
      <c r="E11"/>
      <c r="F11"/>
      <c r="G11"/>
      <c r="H11"/>
      <c r="I11"/>
      <c r="K11"/>
      <c r="L11"/>
      <c r="M11"/>
      <c r="N11"/>
      <c r="O11"/>
      <c r="P11"/>
    </row>
    <row r="12" spans="1:16" ht="14.4" x14ac:dyDescent="0.3">
      <c r="A12"/>
      <c r="B12"/>
      <c r="C12"/>
      <c r="D12"/>
      <c r="E12"/>
      <c r="F12"/>
      <c r="G12"/>
      <c r="H12"/>
      <c r="I12"/>
      <c r="K12"/>
      <c r="L12"/>
      <c r="M12"/>
      <c r="N12"/>
      <c r="O12"/>
      <c r="P12"/>
    </row>
    <row r="13" spans="1:16" ht="14.4" x14ac:dyDescent="0.3">
      <c r="A13"/>
      <c r="B13"/>
      <c r="C13"/>
      <c r="D13"/>
      <c r="E13"/>
      <c r="F13"/>
      <c r="G13"/>
      <c r="H13"/>
      <c r="I13"/>
      <c r="K13"/>
      <c r="L13"/>
      <c r="M13"/>
      <c r="N13"/>
      <c r="O13"/>
      <c r="P13"/>
    </row>
    <row r="14" spans="1:16" ht="14.4" x14ac:dyDescent="0.3">
      <c r="A14"/>
      <c r="B14"/>
      <c r="C14"/>
      <c r="D14"/>
      <c r="E14"/>
      <c r="F14"/>
      <c r="G14"/>
      <c r="H14"/>
      <c r="I14"/>
    </row>
    <row r="15" spans="1:16" ht="14.4" x14ac:dyDescent="0.3">
      <c r="A15"/>
      <c r="B15"/>
      <c r="C15"/>
      <c r="D15"/>
      <c r="E15"/>
      <c r="F15"/>
      <c r="G15"/>
      <c r="H15"/>
      <c r="I15"/>
    </row>
    <row r="16" spans="1:16" ht="14.4" x14ac:dyDescent="0.3">
      <c r="A16"/>
      <c r="B16"/>
      <c r="C16"/>
      <c r="D16"/>
      <c r="E16"/>
      <c r="F16"/>
      <c r="G16"/>
      <c r="H16"/>
      <c r="I16"/>
    </row>
  </sheetData>
  <mergeCells count="2">
    <mergeCell ref="A3:I3"/>
    <mergeCell ref="K3:L3"/>
  </mergeCells>
  <phoneticPr fontId="30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theme="4" tint="-0.499984740745262"/>
    <pageSetUpPr fitToPage="1"/>
  </sheetPr>
  <dimension ref="A1:W245"/>
  <sheetViews>
    <sheetView showGridLines="0" view="pageBreakPreview" topLeftCell="A122" zoomScale="76" zoomScaleNormal="55" zoomScaleSheetLayoutView="55" workbookViewId="0">
      <selection activeCell="B144" sqref="B144"/>
    </sheetView>
  </sheetViews>
  <sheetFormatPr defaultColWidth="11.44140625" defaultRowHeight="13.2" x14ac:dyDescent="0.25"/>
  <cols>
    <col min="1" max="1" width="11.6640625" style="1" customWidth="1"/>
    <col min="2" max="2" width="81.33203125" style="1" bestFit="1" customWidth="1"/>
    <col min="3" max="3" width="14.6640625" style="1" customWidth="1"/>
    <col min="4" max="4" width="15.44140625" style="90" customWidth="1"/>
    <col min="5" max="5" width="15.44140625" style="1" customWidth="1"/>
    <col min="6" max="6" width="18.6640625" style="1" customWidth="1"/>
    <col min="7" max="7" width="22.44140625" style="1" customWidth="1"/>
    <col min="8" max="8" width="5" style="1" customWidth="1"/>
    <col min="9" max="9" width="2.6640625" style="1" customWidth="1"/>
    <col min="10" max="10" width="12.88671875" style="1" bestFit="1" customWidth="1"/>
    <col min="11" max="22" width="13" style="1" customWidth="1"/>
    <col min="23" max="28" width="2.6640625" style="1" customWidth="1"/>
    <col min="29" max="16384" width="11.44140625" style="1"/>
  </cols>
  <sheetData>
    <row r="1" spans="1:22" ht="33.75" customHeight="1" thickBot="1" x14ac:dyDescent="0.45">
      <c r="A1" s="179" t="s">
        <v>14</v>
      </c>
      <c r="B1" s="180"/>
      <c r="C1" s="180"/>
      <c r="D1" s="180"/>
      <c r="E1" s="180"/>
      <c r="F1" s="180"/>
      <c r="G1" s="181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</row>
    <row r="2" spans="1:22" ht="12.75" customHeight="1" thickBot="1" x14ac:dyDescent="0.3">
      <c r="A2" s="163" t="s">
        <v>15</v>
      </c>
      <c r="B2" s="164"/>
      <c r="C2" s="169" t="s">
        <v>16</v>
      </c>
      <c r="D2" s="170"/>
      <c r="E2" s="169" t="s">
        <v>17</v>
      </c>
      <c r="F2" s="182"/>
      <c r="G2" s="72" t="s">
        <v>18</v>
      </c>
      <c r="I2" s="11"/>
      <c r="K2" s="60">
        <v>1</v>
      </c>
      <c r="L2" s="60">
        <v>2</v>
      </c>
      <c r="M2" s="60">
        <v>3</v>
      </c>
      <c r="N2" s="60">
        <v>4</v>
      </c>
      <c r="O2" s="60">
        <v>5</v>
      </c>
      <c r="P2" s="60">
        <v>6</v>
      </c>
      <c r="Q2" s="60">
        <v>7</v>
      </c>
      <c r="R2" s="60">
        <v>8</v>
      </c>
      <c r="S2" s="60">
        <v>9</v>
      </c>
      <c r="T2" s="60">
        <v>10</v>
      </c>
      <c r="U2" s="60">
        <v>11</v>
      </c>
      <c r="V2" s="60">
        <v>12</v>
      </c>
    </row>
    <row r="3" spans="1:22" ht="15.6" thickBot="1" x14ac:dyDescent="0.3">
      <c r="A3" s="175" t="s">
        <v>19</v>
      </c>
      <c r="B3" s="176"/>
      <c r="C3" s="175" t="s">
        <v>20</v>
      </c>
      <c r="D3" s="176"/>
      <c r="E3" s="177">
        <f>+'Master Sheet'!B5</f>
        <v>660</v>
      </c>
      <c r="F3" s="178"/>
      <c r="G3" s="73">
        <f>+'Master Sheet'!I5</f>
        <v>45776</v>
      </c>
      <c r="J3" s="46" t="s">
        <v>21</v>
      </c>
      <c r="K3" s="47">
        <f>+SUMIFS(tbl_WI[BEC Time  (seg..)],tbl_WI[ELEMENTO],"*"&amp;$J3&amp;"*",tbl_WI['# Operador],K$2)</f>
        <v>0</v>
      </c>
      <c r="L3" s="47">
        <f>+SUMIFS(tbl_WI[BEC Time  (seg..)],tbl_WI[ELEMENTO],"*"&amp;$J3&amp;"*",tbl_WI['# Operador],L$2)</f>
        <v>0</v>
      </c>
      <c r="M3" s="47">
        <f>+SUMIFS(tbl_WI[BEC Time  (seg..)],tbl_WI[ELEMENTO],"*"&amp;$J3&amp;"*",tbl_WI['# Operador],M$2)</f>
        <v>0</v>
      </c>
      <c r="N3" s="47">
        <f>+SUMIFS(tbl_WI[BEC Time  (seg..)],tbl_WI[ELEMENTO],"*"&amp;$J3&amp;"*",tbl_WI['# Operador],N$2)</f>
        <v>257</v>
      </c>
      <c r="O3" s="47">
        <f>+SUMIFS(tbl_WI[BEC Time  (seg..)],tbl_WI[ELEMENTO],"*"&amp;$J3&amp;"*",tbl_WI['# Operador],O$2)</f>
        <v>0</v>
      </c>
      <c r="P3" s="47">
        <f>+SUMIFS(tbl_WI[BEC Time  (seg..)],tbl_WI[ELEMENTO],"*"&amp;$J3&amp;"*",tbl_WI['# Operador],P$2)</f>
        <v>0</v>
      </c>
      <c r="Q3" s="47">
        <f>+SUMIFS(tbl_WI[BEC Time  (seg..)],tbl_WI[ELEMENTO],"*"&amp;$J3&amp;"*",tbl_WI['# Operador],Q$2)</f>
        <v>759</v>
      </c>
      <c r="R3" s="47">
        <f>+SUMIFS(tbl_WI[BEC Time  (seg..)],tbl_WI[ELEMENTO],"*"&amp;$J3&amp;"*",tbl_WI['# Operador],R$2)</f>
        <v>0</v>
      </c>
      <c r="S3" s="47">
        <f>+SUMIFS(tbl_WI[BEC Time  (seg..)],tbl_WI[ELEMENTO],"*"&amp;$J3&amp;"*",tbl_WI['# Operador],S$2)</f>
        <v>0</v>
      </c>
      <c r="T3" s="47">
        <f>+SUMIFS(tbl_WI[BEC Time  (seg..)],tbl_WI[ELEMENTO],"*"&amp;$J3&amp;"*",tbl_WI['# Operador],T$2)</f>
        <v>0</v>
      </c>
      <c r="U3" s="47">
        <f>+SUMIFS(tbl_WI[BEC Time  (seg..)],tbl_WI[ELEMENTO],"*"&amp;$J3&amp;"*",tbl_WI['# Operador],U$2)</f>
        <v>0</v>
      </c>
      <c r="V3" s="47">
        <f>+SUMIFS(tbl_WI[BEC Time  (seg..)],tbl_WI[ELEMENTO],"*"&amp;$J3&amp;"*",tbl_WI['# Operador],V$2)</f>
        <v>0</v>
      </c>
    </row>
    <row r="4" spans="1:22" ht="15.6" thickBot="1" x14ac:dyDescent="0.3">
      <c r="A4" s="163" t="s">
        <v>22</v>
      </c>
      <c r="B4" s="164"/>
      <c r="C4" s="169" t="s">
        <v>23</v>
      </c>
      <c r="D4" s="170"/>
      <c r="E4" s="68" t="s">
        <v>24</v>
      </c>
      <c r="F4" s="68" t="s">
        <v>25</v>
      </c>
      <c r="G4" s="74" t="s">
        <v>26</v>
      </c>
      <c r="I4" s="11"/>
      <c r="J4" s="48" t="s">
        <v>27</v>
      </c>
      <c r="K4" s="23">
        <f>+SUMIFS(tbl_WI[BEC Time  (seg..)],tbl_WI[ELEMENTO],"*"&amp;$J4&amp;"*",tbl_WI['# Operador],K$2)</f>
        <v>0</v>
      </c>
      <c r="L4" s="23">
        <f>+SUMIFS(tbl_WI[BEC Time  (seg..)],tbl_WI[ELEMENTO],"*"&amp;$J4&amp;"*",tbl_WI['# Operador],L$2)</f>
        <v>0</v>
      </c>
      <c r="M4" s="23">
        <f>+SUMIFS(tbl_WI[BEC Time  (seg..)],tbl_WI[ELEMENTO],"*"&amp;$J4&amp;"*",tbl_WI['# Operador],M$2)</f>
        <v>0</v>
      </c>
      <c r="N4" s="23">
        <f>+SUMIFS(tbl_WI[BEC Time  (seg..)],tbl_WI[ELEMENTO],"*"&amp;$J4&amp;"*",tbl_WI['# Operador],N$2)</f>
        <v>0</v>
      </c>
      <c r="O4" s="23">
        <f>+SUMIFS(tbl_WI[BEC Time  (seg..)],tbl_WI[ELEMENTO],"*"&amp;$J4&amp;"*",tbl_WI['# Operador],O$2)</f>
        <v>0</v>
      </c>
      <c r="P4" s="23">
        <f>+SUMIFS(tbl_WI[BEC Time  (seg..)],tbl_WI[ELEMENTO],"*"&amp;$J4&amp;"*",tbl_WI['# Operador],P$2)</f>
        <v>0</v>
      </c>
      <c r="Q4" s="23">
        <f>+SUMIFS(tbl_WI[BEC Time  (seg..)],tbl_WI[ELEMENTO],"*"&amp;$J4&amp;"*",tbl_WI['# Operador],Q$2)</f>
        <v>126</v>
      </c>
      <c r="R4" s="23">
        <f>+SUMIFS(tbl_WI[BEC Time  (seg..)],tbl_WI[ELEMENTO],"*"&amp;$J4&amp;"*",tbl_WI['# Operador],R$2)</f>
        <v>0</v>
      </c>
      <c r="S4" s="23">
        <f>+SUMIFS(tbl_WI[BEC Time  (seg..)],tbl_WI[ELEMENTO],"*"&amp;$J4&amp;"*",tbl_WI['# Operador],S$2)</f>
        <v>0</v>
      </c>
      <c r="T4" s="23">
        <f>+SUMIFS(tbl_WI[BEC Time  (seg..)],tbl_WI[ELEMENTO],"*"&amp;$J4&amp;"*",tbl_WI['# Operador],T$2)</f>
        <v>0</v>
      </c>
      <c r="U4" s="23">
        <f>+SUMIFS(tbl_WI[BEC Time  (seg..)],tbl_WI[ELEMENTO],"*"&amp;$J4&amp;"*",tbl_WI['# Operador],U$2)</f>
        <v>0</v>
      </c>
      <c r="V4" s="23">
        <f>+SUMIFS(tbl_WI[BEC Time  (seg..)],tbl_WI[ELEMENTO],"*"&amp;$J4&amp;"*",tbl_WI['# Operador],V$2)</f>
        <v>0</v>
      </c>
    </row>
    <row r="5" spans="1:22" ht="16.5" customHeight="1" thickBot="1" x14ac:dyDescent="0.3">
      <c r="A5" s="165" t="s">
        <v>28</v>
      </c>
      <c r="B5" s="166"/>
      <c r="C5" s="167" t="str">
        <f>+C3</f>
        <v>NORTH FACE</v>
      </c>
      <c r="D5" s="168"/>
      <c r="E5" s="75">
        <f>(((D226/G226)*F5)/521)*100</f>
        <v>109.23493282149713</v>
      </c>
      <c r="F5" s="76">
        <f>+'Master Sheet'!C5</f>
        <v>13</v>
      </c>
      <c r="G5" s="77">
        <v>1</v>
      </c>
      <c r="J5" s="48" t="s">
        <v>29</v>
      </c>
      <c r="K5" s="23">
        <f>+SUMIFS(tbl_WI[BEC Time  (seg..)],tbl_WI[ELEMENTO],"*"&amp;$J5&amp;"*",tbl_WI['# Operador],K$2)</f>
        <v>2065</v>
      </c>
      <c r="L5" s="23">
        <f>+SUMIFS(tbl_WI[BEC Time  (seg..)],tbl_WI[ELEMENTO],"*"&amp;$J5&amp;"*",tbl_WI['# Operador],L$2)</f>
        <v>200</v>
      </c>
      <c r="M5" s="23">
        <f>+SUMIFS(tbl_WI[BEC Time  (seg..)],tbl_WI[ELEMENTO],"*"&amp;$J5&amp;"*",tbl_WI['# Operador],M$2)</f>
        <v>0</v>
      </c>
      <c r="N5" s="23">
        <f>+SUMIFS(tbl_WI[BEC Time  (seg..)],tbl_WI[ELEMENTO],"*"&amp;$J5&amp;"*",tbl_WI['# Operador],N$2)</f>
        <v>203</v>
      </c>
      <c r="O5" s="23">
        <f>+SUMIFS(tbl_WI[BEC Time  (seg..)],tbl_WI[ELEMENTO],"*"&amp;$J5&amp;"*",tbl_WI['# Operador],O$2)</f>
        <v>769</v>
      </c>
      <c r="P5" s="23">
        <f>+SUMIFS(tbl_WI[BEC Time  (seg..)],tbl_WI[ELEMENTO],"*"&amp;$J5&amp;"*",tbl_WI['# Operador],P$2)</f>
        <v>81</v>
      </c>
      <c r="Q5" s="23">
        <f>+SUMIFS(tbl_WI[BEC Time  (seg..)],tbl_WI[ELEMENTO],"*"&amp;$J5&amp;"*",tbl_WI['# Operador],Q$2)</f>
        <v>0</v>
      </c>
      <c r="R5" s="23">
        <f>+SUMIFS(tbl_WI[BEC Time  (seg..)],tbl_WI[ELEMENTO],"*"&amp;$J5&amp;"*",tbl_WI['# Operador],R$2)</f>
        <v>0</v>
      </c>
      <c r="S5" s="23">
        <f>+SUMIFS(tbl_WI[BEC Time  (seg..)],tbl_WI[ELEMENTO],"*"&amp;$J5&amp;"*",tbl_WI['# Operador],S$2)</f>
        <v>0</v>
      </c>
      <c r="T5" s="23">
        <f>+SUMIFS(tbl_WI[BEC Time  (seg..)],tbl_WI[ELEMENTO],"*"&amp;$J5&amp;"*",tbl_WI['# Operador],T$2)</f>
        <v>0</v>
      </c>
      <c r="U5" s="23">
        <f>+SUMIFS(tbl_WI[BEC Time  (seg..)],tbl_WI[ELEMENTO],"*"&amp;$J5&amp;"*",tbl_WI['# Operador],U$2)</f>
        <v>0</v>
      </c>
      <c r="V5" s="23">
        <f>+SUMIFS(tbl_WI[BEC Time  (seg..)],tbl_WI[ELEMENTO],"*"&amp;$J5&amp;"*",tbl_WI['# Operador],V$2)</f>
        <v>0</v>
      </c>
    </row>
    <row r="6" spans="1:22" ht="15" x14ac:dyDescent="0.25">
      <c r="A6" s="13" t="s">
        <v>30</v>
      </c>
      <c r="B6" s="2"/>
      <c r="C6" s="2"/>
      <c r="D6" s="89"/>
      <c r="E6" s="2"/>
      <c r="F6" s="2"/>
      <c r="G6" s="3"/>
      <c r="H6" s="12"/>
      <c r="I6" s="12"/>
      <c r="J6" s="48" t="s">
        <v>31</v>
      </c>
      <c r="K6" s="23">
        <f>+SUMIFS(tbl_WI[BEC Time  (seg..)],tbl_WI[ELEMENTO],"*"&amp;$J6&amp;"*",tbl_WI['# Operador],K$2)</f>
        <v>0</v>
      </c>
      <c r="L6" s="23">
        <f>+SUMIFS(tbl_WI[BEC Time  (seg..)],tbl_WI[ELEMENTO],"*"&amp;$J6&amp;"*",tbl_WI['# Operador],L$2)</f>
        <v>1382</v>
      </c>
      <c r="M6" s="23">
        <f>+SUMIFS(tbl_WI[BEC Time  (seg..)],tbl_WI[ELEMENTO],"*"&amp;$J6&amp;"*",tbl_WI['# Operador],M$2)</f>
        <v>3276</v>
      </c>
      <c r="N6" s="23">
        <f>+SUMIFS(tbl_WI[BEC Time  (seg..)],tbl_WI[ELEMENTO],"*"&amp;$J6&amp;"*",tbl_WI['# Operador],N$2)</f>
        <v>728</v>
      </c>
      <c r="O6" s="23">
        <f>+SUMIFS(tbl_WI[BEC Time  (seg..)],tbl_WI[ELEMENTO],"*"&amp;$J6&amp;"*",tbl_WI['# Operador],O$2)</f>
        <v>49</v>
      </c>
      <c r="P6" s="23">
        <f>+SUMIFS(tbl_WI[BEC Time  (seg..)],tbl_WI[ELEMENTO],"*"&amp;$J6&amp;"*",tbl_WI['# Operador],P$2)</f>
        <v>4290</v>
      </c>
      <c r="Q6" s="23">
        <f>+SUMIFS(tbl_WI[BEC Time  (seg..)],tbl_WI[ELEMENTO],"*"&amp;$J6&amp;"*",tbl_WI['# Operador],Q$2)</f>
        <v>746</v>
      </c>
      <c r="R6" s="23">
        <f>+SUMIFS(tbl_WI[BEC Time  (seg..)],tbl_WI[ELEMENTO],"*"&amp;$J6&amp;"*",tbl_WI['# Operador],R$2)</f>
        <v>0</v>
      </c>
      <c r="S6" s="23">
        <f>+SUMIFS(tbl_WI[BEC Time  (seg..)],tbl_WI[ELEMENTO],"*"&amp;$J6&amp;"*",tbl_WI['# Operador],S$2)</f>
        <v>0</v>
      </c>
      <c r="T6" s="23">
        <f>+SUMIFS(tbl_WI[BEC Time  (seg..)],tbl_WI[ELEMENTO],"*"&amp;$J6&amp;"*",tbl_WI['# Operador],T$2)</f>
        <v>0</v>
      </c>
      <c r="U6" s="23">
        <f>+SUMIFS(tbl_WI[BEC Time  (seg..)],tbl_WI[ELEMENTO],"*"&amp;$J6&amp;"*",tbl_WI['# Operador],U$2)</f>
        <v>0</v>
      </c>
      <c r="V6" s="23">
        <f>+SUMIFS(tbl_WI[BEC Time  (seg..)],tbl_WI[ELEMENTO],"*"&amp;$J6&amp;"*",tbl_WI['# Operador],V$2)</f>
        <v>0</v>
      </c>
    </row>
    <row r="7" spans="1:22" ht="15" x14ac:dyDescent="0.25">
      <c r="A7" s="14"/>
      <c r="G7" s="4"/>
      <c r="J7" s="48" t="s">
        <v>32</v>
      </c>
      <c r="K7" s="23">
        <f>+SUMIFS(tbl_WI[BEC Time  (seg..)],tbl_WI[ELEMENTO],"*"&amp;$J7&amp;"*",tbl_WI['# Operador],K$2)</f>
        <v>0</v>
      </c>
      <c r="L7" s="23">
        <f>+SUMIFS(tbl_WI[BEC Time  (seg..)],tbl_WI[ELEMENTO],"*"&amp;$J7&amp;"*",tbl_WI['# Operador],L$2)</f>
        <v>0</v>
      </c>
      <c r="M7" s="23">
        <f>+SUMIFS(tbl_WI[BEC Time  (seg..)],tbl_WI[ELEMENTO],"*"&amp;$J7&amp;"*",tbl_WI['# Operador],M$2)</f>
        <v>0</v>
      </c>
      <c r="N7" s="23">
        <f>+SUMIFS(tbl_WI[BEC Time  (seg..)],tbl_WI[ELEMENTO],"*"&amp;$J7&amp;"*",tbl_WI['# Operador],N$2)</f>
        <v>0</v>
      </c>
      <c r="O7" s="23">
        <f>+SUMIFS(tbl_WI[BEC Time  (seg..)],tbl_WI[ELEMENTO],"*"&amp;$J7&amp;"*",tbl_WI['# Operador],O$2)</f>
        <v>0</v>
      </c>
      <c r="P7" s="23">
        <f>+SUMIFS(tbl_WI[BEC Time  (seg..)],tbl_WI[ELEMENTO],"*"&amp;$J7&amp;"*",tbl_WI['# Operador],P$2)</f>
        <v>0</v>
      </c>
      <c r="Q7" s="23">
        <f>+SUMIFS(tbl_WI[BEC Time  (seg..)],tbl_WI[ELEMENTO],"*"&amp;$J7&amp;"*",tbl_WI['# Operador],Q$2)</f>
        <v>0</v>
      </c>
      <c r="R7" s="23">
        <f>+SUMIFS(tbl_WI[BEC Time  (seg..)],tbl_WI[ELEMENTO],"*"&amp;$J7&amp;"*",tbl_WI['# Operador],R$2)</f>
        <v>0</v>
      </c>
      <c r="S7" s="23">
        <f>+SUMIFS(tbl_WI[BEC Time  (seg..)],tbl_WI[ELEMENTO],"*"&amp;$J7&amp;"*",tbl_WI['# Operador],S$2)</f>
        <v>0</v>
      </c>
      <c r="T7" s="23">
        <f>+SUMIFS(tbl_WI[BEC Time  (seg..)],tbl_WI[ELEMENTO],"*"&amp;$J7&amp;"*",tbl_WI['# Operador],T$2)</f>
        <v>0</v>
      </c>
      <c r="U7" s="23">
        <f>+SUMIFS(tbl_WI[BEC Time  (seg..)],tbl_WI[ELEMENTO],"*"&amp;$J7&amp;"*",tbl_WI['# Operador],U$2)</f>
        <v>0</v>
      </c>
      <c r="V7" s="23">
        <f>+SUMIFS(tbl_WI[BEC Time  (seg..)],tbl_WI[ELEMENTO],"*"&amp;$J7&amp;"*",tbl_WI['# Operador],V$2)</f>
        <v>0</v>
      </c>
    </row>
    <row r="8" spans="1:22" ht="15" x14ac:dyDescent="0.25">
      <c r="A8" s="14"/>
      <c r="G8" s="4"/>
      <c r="J8" s="48" t="s">
        <v>204</v>
      </c>
      <c r="K8" s="23">
        <f>+SUMIFS(tbl_WI[BEC Time  (seg..)],tbl_WI[ELEMENTO],"*"&amp;$J8&amp;"*",tbl_WI['# Operador],K$2)</f>
        <v>0</v>
      </c>
      <c r="L8" s="23">
        <f>+SUMIFS(tbl_WI[BEC Time  (seg..)],tbl_WI[ELEMENTO],"*"&amp;$J8&amp;"*",tbl_WI['# Operador],L$2)</f>
        <v>0</v>
      </c>
      <c r="M8" s="23">
        <f>+SUMIFS(tbl_WI[BEC Time  (seg..)],tbl_WI[ELEMENTO],"*"&amp;$J8&amp;"*",tbl_WI['# Operador],M$2)</f>
        <v>0</v>
      </c>
      <c r="N8" s="23">
        <f>+SUMIFS(tbl_WI[BEC Time  (seg..)],tbl_WI[ELEMENTO],"*"&amp;$J8&amp;"*",tbl_WI['# Operador],N$2)</f>
        <v>0</v>
      </c>
      <c r="O8" s="23">
        <f>+SUMIFS(tbl_WI[BEC Time  (seg..)],tbl_WI[ELEMENTO],"*"&amp;$J8&amp;"*",tbl_WI['# Operador],O$2)</f>
        <v>0</v>
      </c>
      <c r="P8" s="23">
        <f>+SUMIFS(tbl_WI[BEC Time  (seg..)],tbl_WI[ELEMENTO],"*"&amp;$J8&amp;"*",tbl_WI['# Operador],P$2)</f>
        <v>0</v>
      </c>
      <c r="Q8" s="23">
        <f>+SUMIFS(tbl_WI[BEC Time  (seg..)],tbl_WI[ELEMENTO],"*"&amp;$J8&amp;"*",tbl_WI['# Operador],Q$2)</f>
        <v>0</v>
      </c>
      <c r="R8" s="23">
        <f>+SUMIFS(tbl_WI[BEC Time  (seg..)],tbl_WI[ELEMENTO],"*"&amp;$J8&amp;"*",tbl_WI['# Operador],R$2)</f>
        <v>0</v>
      </c>
      <c r="S8" s="23">
        <f>+SUMIFS(tbl_WI[BEC Time  (seg..)],tbl_WI[ELEMENTO],"*"&amp;$J8&amp;"*",tbl_WI['# Operador],S$2)</f>
        <v>0</v>
      </c>
      <c r="T8" s="23">
        <f>+SUMIFS(tbl_WI[BEC Time  (seg..)],tbl_WI[ELEMENTO],"*"&amp;$J8&amp;"*",tbl_WI['# Operador],T$2)</f>
        <v>0</v>
      </c>
      <c r="U8" s="23">
        <f>+SUMIFS(tbl_WI[BEC Time  (seg..)],tbl_WI[ELEMENTO],"*"&amp;$J8&amp;"*",tbl_WI['# Operador],U$2)</f>
        <v>0</v>
      </c>
      <c r="V8" s="23">
        <f>+SUMIFS(tbl_WI[BEC Time  (seg..)],tbl_WI[ELEMENTO],"*"&amp;$J8&amp;"*",tbl_WI['# Operador],V$2)</f>
        <v>0</v>
      </c>
    </row>
    <row r="9" spans="1:22" ht="15" x14ac:dyDescent="0.25">
      <c r="A9" s="14"/>
      <c r="G9" s="4"/>
      <c r="J9" s="48" t="s">
        <v>33</v>
      </c>
      <c r="K9" s="23">
        <f>+SUMIFS(tbl_WI[BEC Time  (seg..)],tbl_WI[ELEMENTO],"*"&amp;$J9&amp;"*",tbl_WI['# Operador],K$2)</f>
        <v>0</v>
      </c>
      <c r="L9" s="23">
        <f>+SUMIFS(tbl_WI[BEC Time  (seg..)],tbl_WI[ELEMENTO],"*"&amp;$J9&amp;"*",tbl_WI['# Operador],L$2)</f>
        <v>0</v>
      </c>
      <c r="M9" s="23">
        <f>+SUMIFS(tbl_WI[BEC Time  (seg..)],tbl_WI[ELEMENTO],"*"&amp;$J9&amp;"*",tbl_WI['# Operador],M$2)</f>
        <v>0</v>
      </c>
      <c r="N9" s="23">
        <f>+SUMIFS(tbl_WI[BEC Time  (seg..)],tbl_WI[ELEMENTO],"*"&amp;$J9&amp;"*",tbl_WI['# Operador],N$2)</f>
        <v>0</v>
      </c>
      <c r="O9" s="23">
        <f>+SUMIFS(tbl_WI[BEC Time  (seg..)],tbl_WI[ELEMENTO],"*"&amp;$J9&amp;"*",tbl_WI['# Operador],O$2)</f>
        <v>0</v>
      </c>
      <c r="P9" s="23">
        <f>+SUMIFS(tbl_WI[BEC Time  (seg..)],tbl_WI[ELEMENTO],"*"&amp;$J9&amp;"*",tbl_WI['# Operador],P$2)</f>
        <v>0</v>
      </c>
      <c r="Q9" s="23">
        <f>+SUMIFS(tbl_WI[BEC Time  (seg..)],tbl_WI[ELEMENTO],"*"&amp;$J9&amp;"*",tbl_WI['# Operador],Q$2)</f>
        <v>0</v>
      </c>
      <c r="R9" s="23">
        <f>+SUMIFS(tbl_WI[BEC Time  (seg..)],tbl_WI[ELEMENTO],"*"&amp;$J9&amp;"*",tbl_WI['# Operador],R$2)</f>
        <v>0</v>
      </c>
      <c r="S9" s="23">
        <f>+SUMIFS(tbl_WI[BEC Time  (seg..)],tbl_WI[ELEMENTO],"*"&amp;$J9&amp;"*",tbl_WI['# Operador],S$2)</f>
        <v>0</v>
      </c>
      <c r="T9" s="23">
        <f>+SUMIFS(tbl_WI[BEC Time  (seg..)],tbl_WI[ELEMENTO],"*"&amp;$J9&amp;"*",tbl_WI['# Operador],T$2)</f>
        <v>0</v>
      </c>
      <c r="U9" s="23">
        <f>+SUMIFS(tbl_WI[BEC Time  (seg..)],tbl_WI[ELEMENTO],"*"&amp;$J9&amp;"*",tbl_WI['# Operador],U$2)</f>
        <v>0</v>
      </c>
      <c r="V9" s="23">
        <f>+SUMIFS(tbl_WI[BEC Time  (seg..)],tbl_WI[ELEMENTO],"*"&amp;$J9&amp;"*",tbl_WI['# Operador],V$2)</f>
        <v>0</v>
      </c>
    </row>
    <row r="10" spans="1:22" ht="15" x14ac:dyDescent="0.25">
      <c r="A10" s="14"/>
      <c r="G10" s="4"/>
      <c r="J10" s="48" t="s">
        <v>34</v>
      </c>
      <c r="K10" s="23">
        <f>+SUMIFS(tbl_WI[BEC Time  (seg..)],tbl_WI[ELEMENTO],"*"&amp;$J10&amp;"*",tbl_WI['# Operador],K$2)</f>
        <v>0</v>
      </c>
      <c r="L10" s="23">
        <f>+SUMIFS(tbl_WI[BEC Time  (seg..)],tbl_WI[ELEMENTO],"*"&amp;$J10&amp;"*",tbl_WI['# Operador],L$2)</f>
        <v>0</v>
      </c>
      <c r="M10" s="23">
        <f>+SUMIFS(tbl_WI[BEC Time  (seg..)],tbl_WI[ELEMENTO],"*"&amp;$J10&amp;"*",tbl_WI['# Operador],M$2)</f>
        <v>0</v>
      </c>
      <c r="N10" s="23">
        <f>+SUMIFS(tbl_WI[BEC Time  (seg..)],tbl_WI[ELEMENTO],"*"&amp;$J10&amp;"*",tbl_WI['# Operador],N$2)</f>
        <v>0</v>
      </c>
      <c r="O10" s="23">
        <f>+SUMIFS(tbl_WI[BEC Time  (seg..)],tbl_WI[ELEMENTO],"*"&amp;$J10&amp;"*",tbl_WI['# Operador],O$2)</f>
        <v>0</v>
      </c>
      <c r="P10" s="23">
        <f>+SUMIFS(tbl_WI[BEC Time  (seg..)],tbl_WI[ELEMENTO],"*"&amp;$J10&amp;"*",tbl_WI['# Operador],P$2)</f>
        <v>0</v>
      </c>
      <c r="Q10" s="23">
        <f>+SUMIFS(tbl_WI[BEC Time  (seg..)],tbl_WI[ELEMENTO],"*"&amp;$J10&amp;"*",tbl_WI['# Operador],Q$2)</f>
        <v>0</v>
      </c>
      <c r="R10" s="23">
        <f>+SUMIFS(tbl_WI[BEC Time  (seg..)],tbl_WI[ELEMENTO],"*"&amp;$J10&amp;"*",tbl_WI['# Operador],R$2)</f>
        <v>0</v>
      </c>
      <c r="S10" s="23">
        <f>+SUMIFS(tbl_WI[BEC Time  (seg..)],tbl_WI[ELEMENTO],"*"&amp;$J10&amp;"*",tbl_WI['# Operador],S$2)</f>
        <v>0</v>
      </c>
      <c r="T10" s="23">
        <f>+SUMIFS(tbl_WI[BEC Time  (seg..)],tbl_WI[ELEMENTO],"*"&amp;$J10&amp;"*",tbl_WI['# Operador],T$2)</f>
        <v>0</v>
      </c>
      <c r="U10" s="23">
        <f>+SUMIFS(tbl_WI[BEC Time  (seg..)],tbl_WI[ELEMENTO],"*"&amp;$J10&amp;"*",tbl_WI['# Operador],U$2)</f>
        <v>0</v>
      </c>
      <c r="V10" s="23">
        <f>+SUMIFS(tbl_WI[BEC Time  (seg..)],tbl_WI[ELEMENTO],"*"&amp;$J10&amp;"*",tbl_WI['# Operador],V$2)</f>
        <v>0</v>
      </c>
    </row>
    <row r="11" spans="1:22" ht="15" x14ac:dyDescent="0.25">
      <c r="A11" s="14"/>
      <c r="G11" s="4"/>
      <c r="J11" s="48" t="s">
        <v>35</v>
      </c>
      <c r="K11" s="23">
        <f>+SUMIFS(tbl_WI[BEC Time  (seg..)],tbl_WI[ELEMENTO],"*"&amp;$J11&amp;"*",tbl_WI['# Operador],K$2)</f>
        <v>0</v>
      </c>
      <c r="L11" s="23">
        <f>+SUMIFS(tbl_WI[BEC Time  (seg..)],tbl_WI[ELEMENTO],"*"&amp;$J11&amp;"*",tbl_WI['# Operador],L$2)</f>
        <v>0</v>
      </c>
      <c r="M11" s="23">
        <f>+SUMIFS(tbl_WI[BEC Time  (seg..)],tbl_WI[ELEMENTO],"*"&amp;$J11&amp;"*",tbl_WI['# Operador],M$2)</f>
        <v>0</v>
      </c>
      <c r="N11" s="23">
        <f>+SUMIFS(tbl_WI[BEC Time  (seg..)],tbl_WI[ELEMENTO],"*"&amp;$J11&amp;"*",tbl_WI['# Operador],N$2)</f>
        <v>0</v>
      </c>
      <c r="O11" s="23">
        <f>+SUMIFS(tbl_WI[BEC Time  (seg..)],tbl_WI[ELEMENTO],"*"&amp;$J11&amp;"*",tbl_WI['# Operador],O$2)</f>
        <v>0</v>
      </c>
      <c r="P11" s="23">
        <f>+SUMIFS(tbl_WI[BEC Time  (seg..)],tbl_WI[ELEMENTO],"*"&amp;$J11&amp;"*",tbl_WI['# Operador],P$2)</f>
        <v>0</v>
      </c>
      <c r="Q11" s="23">
        <f>+SUMIFS(tbl_WI[BEC Time  (seg..)],tbl_WI[ELEMENTO],"*"&amp;$J11&amp;"*",tbl_WI['# Operador],Q$2)</f>
        <v>0</v>
      </c>
      <c r="R11" s="23">
        <f>+SUMIFS(tbl_WI[BEC Time  (seg..)],tbl_WI[ELEMENTO],"*"&amp;$J11&amp;"*",tbl_WI['# Operador],R$2)</f>
        <v>0</v>
      </c>
      <c r="S11" s="23">
        <f>+SUMIFS(tbl_WI[BEC Time  (seg..)],tbl_WI[ELEMENTO],"*"&amp;$J11&amp;"*",tbl_WI['# Operador],S$2)</f>
        <v>0</v>
      </c>
      <c r="T11" s="23">
        <f>+SUMIFS(tbl_WI[BEC Time  (seg..)],tbl_WI[ELEMENTO],"*"&amp;$J11&amp;"*",tbl_WI['# Operador],T$2)</f>
        <v>0</v>
      </c>
      <c r="U11" s="23">
        <f>+SUMIFS(tbl_WI[BEC Time  (seg..)],tbl_WI[ELEMENTO],"*"&amp;$J11&amp;"*",tbl_WI['# Operador],U$2)</f>
        <v>0</v>
      </c>
      <c r="V11" s="23">
        <f>+SUMIFS(tbl_WI[BEC Time  (seg..)],tbl_WI[ELEMENTO],"*"&amp;$J11&amp;"*",tbl_WI['# Operador],V$2)</f>
        <v>0</v>
      </c>
    </row>
    <row r="12" spans="1:22" ht="15.6" thickBot="1" x14ac:dyDescent="0.3">
      <c r="A12" s="14"/>
      <c r="G12" s="4"/>
      <c r="J12" s="49" t="s">
        <v>36</v>
      </c>
      <c r="K12" s="50">
        <f>+SUMIFS(tbl_WI[BEC Time  (seg..)],tbl_WI[ELEMENTO],"*"&amp;$J12&amp;"*",tbl_WI['# Operador],K$2)</f>
        <v>0</v>
      </c>
      <c r="L12" s="50">
        <f>+SUMIFS(tbl_WI[BEC Time  (seg..)],tbl_WI[ELEMENTO],"*"&amp;$J12&amp;"*",tbl_WI['# Operador],L$2)</f>
        <v>0</v>
      </c>
      <c r="M12" s="50">
        <f>+SUMIFS(tbl_WI[BEC Time  (seg..)],tbl_WI[ELEMENTO],"*"&amp;$J12&amp;"*",tbl_WI['# Operador],M$2)</f>
        <v>0</v>
      </c>
      <c r="N12" s="50">
        <f>+SUMIFS(tbl_WI[BEC Time  (seg..)],tbl_WI[ELEMENTO],"*"&amp;$J12&amp;"*",tbl_WI['# Operador],N$2)</f>
        <v>0</v>
      </c>
      <c r="O12" s="50">
        <f>+SUMIFS(tbl_WI[BEC Time  (seg..)],tbl_WI[ELEMENTO],"*"&amp;$J12&amp;"*",tbl_WI['# Operador],O$2)</f>
        <v>0</v>
      </c>
      <c r="P12" s="50">
        <f>+SUMIFS(tbl_WI[BEC Time  (seg..)],tbl_WI[ELEMENTO],"*"&amp;$J12&amp;"*",tbl_WI['# Operador],P$2)</f>
        <v>0</v>
      </c>
      <c r="Q12" s="50">
        <f>+SUMIFS(tbl_WI[BEC Time  (seg..)],tbl_WI[ELEMENTO],"*"&amp;$J12&amp;"*",tbl_WI['# Operador],Q$2)</f>
        <v>0</v>
      </c>
      <c r="R12" s="50">
        <f>+SUMIFS(tbl_WI[BEC Time  (seg..)],tbl_WI[ELEMENTO],"*"&amp;$J12&amp;"*",tbl_WI['# Operador],R$2)</f>
        <v>0</v>
      </c>
      <c r="S12" s="50">
        <f>+SUMIFS(tbl_WI[BEC Time  (seg..)],tbl_WI[ELEMENTO],"*"&amp;$J12&amp;"*",tbl_WI['# Operador],S$2)</f>
        <v>0</v>
      </c>
      <c r="T12" s="50">
        <f>+SUMIFS(tbl_WI[BEC Time  (seg..)],tbl_WI[ELEMENTO],"*"&amp;$J12&amp;"*",tbl_WI['# Operador],T$2)</f>
        <v>0</v>
      </c>
      <c r="U12" s="50">
        <f>+SUMIFS(tbl_WI[BEC Time  (seg..)],tbl_WI[ELEMENTO],"*"&amp;$J12&amp;"*",tbl_WI['# Operador],U$2)</f>
        <v>0</v>
      </c>
      <c r="V12" s="50">
        <f>+SUMIFS(tbl_WI[BEC Time  (seg..)],tbl_WI[ELEMENTO],"*"&amp;$J12&amp;"*",tbl_WI['# Operador],V$2)</f>
        <v>0</v>
      </c>
    </row>
    <row r="13" spans="1:22" ht="15.6" thickBot="1" x14ac:dyDescent="0.3">
      <c r="A13" s="14"/>
      <c r="G13" s="4"/>
      <c r="J13" s="42" t="s">
        <v>37</v>
      </c>
      <c r="K13" s="43">
        <f>(SUM(K3:K12)/('Master Sheet'!$F$5))</f>
        <v>0.7321363636363637</v>
      </c>
      <c r="L13" s="43">
        <f>(SUM(L3:L12)/('Master Sheet'!$F$5))</f>
        <v>0.56089090909090911</v>
      </c>
      <c r="M13" s="43">
        <f>(SUM(M3:M12)/('Master Sheet'!$F$5))</f>
        <v>1.1614909090909091</v>
      </c>
      <c r="N13" s="43">
        <f>(SUM(N3:N12)/('Master Sheet'!$F$5))</f>
        <v>0.42120000000000002</v>
      </c>
      <c r="O13" s="43">
        <f>(SUM(O3:O12)/('Master Sheet'!$F$5))</f>
        <v>0.29001818181818184</v>
      </c>
      <c r="P13" s="43">
        <f>(SUM(P3:P12)/('Master Sheet'!$F$5))</f>
        <v>1.549718181818182</v>
      </c>
      <c r="Q13" s="43">
        <f>(SUM(Q3:Q12)/('Master Sheet'!$F$5))</f>
        <v>0.57826363636363642</v>
      </c>
      <c r="R13" s="43">
        <f>(SUM(R3:R12)/('Master Sheet'!$F$5))</f>
        <v>0</v>
      </c>
      <c r="S13" s="43">
        <f>(SUM(S3:S12)/('Master Sheet'!$F$5))</f>
        <v>0</v>
      </c>
      <c r="T13" s="43">
        <f>(SUM(T3:T12)/('Master Sheet'!$F$5))</f>
        <v>0</v>
      </c>
      <c r="U13" s="43">
        <f>(SUM(U3:U12)/('Master Sheet'!$F$5))</f>
        <v>0</v>
      </c>
      <c r="V13" s="43">
        <f>(SUM(V3:V12)/('Master Sheet'!$F$5))</f>
        <v>0</v>
      </c>
    </row>
    <row r="14" spans="1:22" ht="15" x14ac:dyDescent="0.25">
      <c r="A14" s="14"/>
      <c r="G14" s="4"/>
      <c r="J14" s="51" t="s">
        <v>38</v>
      </c>
      <c r="K14" s="52">
        <f>+SUMIFS(tbl_WI[Work Time (seg…)],tbl_WI[ELEMENTO],"*"&amp;$J14&amp;"*",tbl_WI['# Operador],K$2)</f>
        <v>0</v>
      </c>
      <c r="L14" s="52">
        <f>+SUMIFS(tbl_WI[Work Time (seg…)],tbl_WI[ELEMENTO],"*"&amp;$J14&amp;"*",tbl_WI['# Operador],L$2)</f>
        <v>0</v>
      </c>
      <c r="M14" s="52">
        <f>+SUMIFS(tbl_WI[Work Time (seg…)],tbl_WI[ELEMENTO],"*"&amp;$J14&amp;"*",tbl_WI['# Operador],M$2)</f>
        <v>0</v>
      </c>
      <c r="N14" s="52">
        <f>+SUMIFS(tbl_WI[Work Time (seg…)],tbl_WI[ELEMENTO],"*"&amp;$J14&amp;"*",tbl_WI['# Operador],N$2)</f>
        <v>0</v>
      </c>
      <c r="O14" s="52">
        <f>+SUMIFS(tbl_WI[Work Time (seg…)],tbl_WI[ELEMENTO],"*"&amp;$J14&amp;"*",tbl_WI['# Operador],O$2)</f>
        <v>0</v>
      </c>
      <c r="P14" s="52">
        <f>+SUMIFS(tbl_WI[Work Time (seg…)],tbl_WI[ELEMENTO],"*"&amp;$J14&amp;"*",tbl_WI['# Operador],P$2)</f>
        <v>0</v>
      </c>
      <c r="Q14" s="52">
        <f>+SUMIFS(tbl_WI[Work Time (seg…)],tbl_WI[ELEMENTO],"*"&amp;$J14&amp;"*",tbl_WI['# Operador],Q$2)</f>
        <v>0</v>
      </c>
      <c r="R14" s="52">
        <f>+SUMIFS(tbl_WI[Work Time (seg…)],tbl_WI[ELEMENTO],"*"&amp;$J14&amp;"*",tbl_WI['# Operador],R$2)</f>
        <v>0</v>
      </c>
      <c r="S14" s="52">
        <f>+SUMIFS(tbl_WI[Work Time (seg…)],tbl_WI[ELEMENTO],"*"&amp;$J14&amp;"*",tbl_WI['# Operador],S$2)</f>
        <v>0</v>
      </c>
      <c r="T14" s="52">
        <f>+SUMIFS(tbl_WI[Work Time (seg…)],tbl_WI[ELEMENTO],"*"&amp;$J14&amp;"*",tbl_WI['# Operador],T$2)</f>
        <v>0</v>
      </c>
      <c r="U14" s="52">
        <f>+SUMIFS(tbl_WI[Work Time (seg…)],tbl_WI[ELEMENTO],"*"&amp;$J14&amp;"*",tbl_WI['# Operador],U$2)</f>
        <v>0</v>
      </c>
      <c r="V14" s="52">
        <f>+SUMIFS(tbl_WI[Work Time (seg…)],tbl_WI[ELEMENTO],"*"&amp;$J14&amp;"*",tbl_WI['# Operador],V$2)</f>
        <v>0</v>
      </c>
    </row>
    <row r="15" spans="1:22" ht="15" x14ac:dyDescent="0.25">
      <c r="A15" s="14"/>
      <c r="G15" s="4"/>
      <c r="J15" s="53" t="s">
        <v>39</v>
      </c>
      <c r="K15" s="24">
        <f>+SUMIFS(tbl_WI[Work Time (seg…)],tbl_WI[ELEMENTO],"*"&amp;$J15&amp;"*",tbl_WI['# Operador],K$2)</f>
        <v>0</v>
      </c>
      <c r="L15" s="24">
        <f>+SUMIFS(tbl_WI[Work Time (seg…)],tbl_WI[ELEMENTO],"*"&amp;$J15&amp;"*",tbl_WI['# Operador],L$2)</f>
        <v>0</v>
      </c>
      <c r="M15" s="24">
        <f>+SUMIFS(tbl_WI[Work Time (seg…)],tbl_WI[ELEMENTO],"*"&amp;$J15&amp;"*",tbl_WI['# Operador],M$2)</f>
        <v>0</v>
      </c>
      <c r="N15" s="24">
        <f>+SUMIFS(tbl_WI[Work Time (seg…)],tbl_WI[ELEMENTO],"*"&amp;$J15&amp;"*",tbl_WI['# Operador],N$2)</f>
        <v>0</v>
      </c>
      <c r="O15" s="24">
        <f>+SUMIFS(tbl_WI[Work Time (seg…)],tbl_WI[ELEMENTO],"*"&amp;$J15&amp;"*",tbl_WI['# Operador],O$2)</f>
        <v>0</v>
      </c>
      <c r="P15" s="24">
        <f>+SUMIFS(tbl_WI[Work Time (seg…)],tbl_WI[ELEMENTO],"*"&amp;$J15&amp;"*",tbl_WI['# Operador],P$2)</f>
        <v>0</v>
      </c>
      <c r="Q15" s="24">
        <f>+SUMIFS(tbl_WI[Work Time (seg…)],tbl_WI[ELEMENTO],"*"&amp;$J15&amp;"*",tbl_WI['# Operador],Q$2)</f>
        <v>0</v>
      </c>
      <c r="R15" s="24">
        <f>+SUMIFS(tbl_WI[Work Time (seg…)],tbl_WI[ELEMENTO],"*"&amp;$J15&amp;"*",tbl_WI['# Operador],R$2)</f>
        <v>0</v>
      </c>
      <c r="S15" s="24">
        <f>+SUMIFS(tbl_WI[Work Time (seg…)],tbl_WI[ELEMENTO],"*"&amp;$J15&amp;"*",tbl_WI['# Operador],S$2)</f>
        <v>0</v>
      </c>
      <c r="T15" s="24">
        <f>+SUMIFS(tbl_WI[Work Time (seg…)],tbl_WI[ELEMENTO],"*"&amp;$J15&amp;"*",tbl_WI['# Operador],T$2)</f>
        <v>0</v>
      </c>
      <c r="U15" s="24">
        <f>+SUMIFS(tbl_WI[Work Time (seg…)],tbl_WI[ELEMENTO],"*"&amp;$J15&amp;"*",tbl_WI['# Operador],U$2)</f>
        <v>0</v>
      </c>
      <c r="V15" s="24">
        <f>+SUMIFS(tbl_WI[Work Time (seg…)],tbl_WI[ELEMENTO],"*"&amp;$J15&amp;"*",tbl_WI['# Operador],V$2)</f>
        <v>0</v>
      </c>
    </row>
    <row r="16" spans="1:22" ht="15" x14ac:dyDescent="0.25">
      <c r="A16" s="14"/>
      <c r="G16" s="4"/>
      <c r="J16" s="53" t="s">
        <v>40</v>
      </c>
      <c r="K16" s="24">
        <f>+SUMIFS(tbl_WI[Work Time (seg…)],tbl_WI[ELEMENTO],"*"&amp;$J16&amp;"*",tbl_WI['# Operador],K$2)</f>
        <v>0</v>
      </c>
      <c r="L16" s="24">
        <f>+SUMIFS(tbl_WI[Work Time (seg…)],tbl_WI[ELEMENTO],"*"&amp;$J16&amp;"*",tbl_WI['# Operador],L$2)</f>
        <v>0</v>
      </c>
      <c r="M16" s="24">
        <f>+SUMIFS(tbl_WI[Work Time (seg…)],tbl_WI[ELEMENTO],"*"&amp;$J16&amp;"*",tbl_WI['# Operador],M$2)</f>
        <v>0</v>
      </c>
      <c r="N16" s="24">
        <f>+SUMIFS(tbl_WI[Work Time (seg…)],tbl_WI[ELEMENTO],"*"&amp;$J16&amp;"*",tbl_WI['# Operador],N$2)</f>
        <v>0</v>
      </c>
      <c r="O16" s="24">
        <f>+SUMIFS(tbl_WI[Work Time (seg…)],tbl_WI[ELEMENTO],"*"&amp;$J16&amp;"*",tbl_WI['# Operador],O$2)</f>
        <v>0</v>
      </c>
      <c r="P16" s="24">
        <f>+SUMIFS(tbl_WI[Work Time (seg…)],tbl_WI[ELEMENTO],"*"&amp;$J16&amp;"*",tbl_WI['# Operador],P$2)</f>
        <v>0</v>
      </c>
      <c r="Q16" s="24">
        <f>+SUMIFS(tbl_WI[Work Time (seg…)],tbl_WI[ELEMENTO],"*"&amp;$J16&amp;"*",tbl_WI['# Operador],Q$2)</f>
        <v>0</v>
      </c>
      <c r="R16" s="24">
        <f>+SUMIFS(tbl_WI[Work Time (seg…)],tbl_WI[ELEMENTO],"*"&amp;$J16&amp;"*",tbl_WI['# Operador],R$2)</f>
        <v>0</v>
      </c>
      <c r="S16" s="24">
        <f>+SUMIFS(tbl_WI[Work Time (seg…)],tbl_WI[ELEMENTO],"*"&amp;$J16&amp;"*",tbl_WI['# Operador],S$2)</f>
        <v>0</v>
      </c>
      <c r="T16" s="24">
        <f>+SUMIFS(tbl_WI[Work Time (seg…)],tbl_WI[ELEMENTO],"*"&amp;$J16&amp;"*",tbl_WI['# Operador],T$2)</f>
        <v>0</v>
      </c>
      <c r="U16" s="24">
        <f>+SUMIFS(tbl_WI[Work Time (seg…)],tbl_WI[ELEMENTO],"*"&amp;$J16&amp;"*",tbl_WI['# Operador],U$2)</f>
        <v>0</v>
      </c>
      <c r="V16" s="24">
        <f>+SUMIFS(tbl_WI[Work Time (seg…)],tbl_WI[ELEMENTO],"*"&amp;$J16&amp;"*",tbl_WI['# Operador],V$2)</f>
        <v>0</v>
      </c>
    </row>
    <row r="17" spans="1:22" ht="15" x14ac:dyDescent="0.25">
      <c r="A17" s="14"/>
      <c r="G17" s="4"/>
      <c r="J17" s="53" t="s">
        <v>41</v>
      </c>
      <c r="K17" s="24">
        <f>+SUMIFS(tbl_WI[Work Time (seg…)],tbl_WI[ELEMENTO],"*"&amp;$J17&amp;"*",tbl_WI['# Operador],K$2)</f>
        <v>0</v>
      </c>
      <c r="L17" s="24">
        <f>+SUMIFS(tbl_WI[Work Time (seg…)],tbl_WI[ELEMENTO],"*"&amp;$J17&amp;"*",tbl_WI['# Operador],L$2)</f>
        <v>0</v>
      </c>
      <c r="M17" s="24">
        <f>+SUMIFS(tbl_WI[Work Time (seg…)],tbl_WI[ELEMENTO],"*"&amp;$J17&amp;"*",tbl_WI['# Operador],M$2)</f>
        <v>0</v>
      </c>
      <c r="N17" s="24">
        <f>+SUMIFS(tbl_WI[Work Time (seg…)],tbl_WI[ELEMENTO],"*"&amp;$J17&amp;"*",tbl_WI['# Operador],N$2)</f>
        <v>0</v>
      </c>
      <c r="O17" s="24">
        <f>+SUMIFS(tbl_WI[Work Time (seg…)],tbl_WI[ELEMENTO],"*"&amp;$J17&amp;"*",tbl_WI['# Operador],O$2)</f>
        <v>0</v>
      </c>
      <c r="P17" s="24">
        <f>+SUMIFS(tbl_WI[Work Time (seg…)],tbl_WI[ELEMENTO],"*"&amp;$J17&amp;"*",tbl_WI['# Operador],P$2)</f>
        <v>0</v>
      </c>
      <c r="Q17" s="24">
        <f>+SUMIFS(tbl_WI[Work Time (seg…)],tbl_WI[ELEMENTO],"*"&amp;$J17&amp;"*",tbl_WI['# Operador],Q$2)</f>
        <v>0</v>
      </c>
      <c r="R17" s="24">
        <f>+SUMIFS(tbl_WI[Work Time (seg…)],tbl_WI[ELEMENTO],"*"&amp;$J17&amp;"*",tbl_WI['# Operador],R$2)</f>
        <v>0</v>
      </c>
      <c r="S17" s="24">
        <f>+SUMIFS(tbl_WI[Work Time (seg…)],tbl_WI[ELEMENTO],"*"&amp;$J17&amp;"*",tbl_WI['# Operador],S$2)</f>
        <v>0</v>
      </c>
      <c r="T17" s="24">
        <f>+SUMIFS(tbl_WI[Work Time (seg…)],tbl_WI[ELEMENTO],"*"&amp;$J17&amp;"*",tbl_WI['# Operador],T$2)</f>
        <v>0</v>
      </c>
      <c r="U17" s="24">
        <f>+SUMIFS(tbl_WI[Work Time (seg…)],tbl_WI[ELEMENTO],"*"&amp;$J17&amp;"*",tbl_WI['# Operador],U$2)</f>
        <v>0</v>
      </c>
      <c r="V17" s="24">
        <f>+SUMIFS(tbl_WI[Work Time (seg…)],tbl_WI[ELEMENTO],"*"&amp;$J17&amp;"*",tbl_WI['# Operador],V$2)</f>
        <v>0</v>
      </c>
    </row>
    <row r="18" spans="1:22" ht="15" x14ac:dyDescent="0.25">
      <c r="A18" s="14"/>
      <c r="G18" s="4"/>
      <c r="J18" s="53" t="s">
        <v>42</v>
      </c>
      <c r="K18" s="24">
        <f>+SUMIFS(tbl_WI[Work Time (seg…)],tbl_WI[ELEMENTO],"*"&amp;$J18&amp;"*",tbl_WI['# Operador],K$2)</f>
        <v>0</v>
      </c>
      <c r="L18" s="24">
        <f>+SUMIFS(tbl_WI[Work Time (seg…)],tbl_WI[ELEMENTO],"*"&amp;$J18&amp;"*",tbl_WI['# Operador],L$2)</f>
        <v>0</v>
      </c>
      <c r="M18" s="24">
        <f>+SUMIFS(tbl_WI[Work Time (seg…)],tbl_WI[ELEMENTO],"*"&amp;$J18&amp;"*",tbl_WI['# Operador],M$2)</f>
        <v>0</v>
      </c>
      <c r="N18" s="24">
        <f>+SUMIFS(tbl_WI[Work Time (seg…)],tbl_WI[ELEMENTO],"*"&amp;$J18&amp;"*",tbl_WI['# Operador],N$2)</f>
        <v>0</v>
      </c>
      <c r="O18" s="24">
        <f>+SUMIFS(tbl_WI[Work Time (seg…)],tbl_WI[ELEMENTO],"*"&amp;$J18&amp;"*",tbl_WI['# Operador],O$2)</f>
        <v>0</v>
      </c>
      <c r="P18" s="24">
        <f>+SUMIFS(tbl_WI[Work Time (seg…)],tbl_WI[ELEMENTO],"*"&amp;$J18&amp;"*",tbl_WI['# Operador],P$2)</f>
        <v>0</v>
      </c>
      <c r="Q18" s="24">
        <f>+SUMIFS(tbl_WI[Work Time (seg…)],tbl_WI[ELEMENTO],"*"&amp;$J18&amp;"*",tbl_WI['# Operador],Q$2)</f>
        <v>0</v>
      </c>
      <c r="R18" s="24">
        <f>+SUMIFS(tbl_WI[Work Time (seg…)],tbl_WI[ELEMENTO],"*"&amp;$J18&amp;"*",tbl_WI['# Operador],R$2)</f>
        <v>0</v>
      </c>
      <c r="S18" s="24">
        <f>+SUMIFS(tbl_WI[Work Time (seg…)],tbl_WI[ELEMENTO],"*"&amp;$J18&amp;"*",tbl_WI['# Operador],S$2)</f>
        <v>0</v>
      </c>
      <c r="T18" s="24">
        <f>+SUMIFS(tbl_WI[Work Time (seg…)],tbl_WI[ELEMENTO],"*"&amp;$J18&amp;"*",tbl_WI['# Operador],T$2)</f>
        <v>0</v>
      </c>
      <c r="U18" s="24">
        <f>+SUMIFS(tbl_WI[Work Time (seg…)],tbl_WI[ELEMENTO],"*"&amp;$J18&amp;"*",tbl_WI['# Operador],U$2)</f>
        <v>0</v>
      </c>
      <c r="V18" s="24">
        <f>+SUMIFS(tbl_WI[Work Time (seg…)],tbl_WI[ELEMENTO],"*"&amp;$J18&amp;"*",tbl_WI['# Operador],V$2)</f>
        <v>0</v>
      </c>
    </row>
    <row r="19" spans="1:22" ht="15" x14ac:dyDescent="0.25">
      <c r="A19" s="14"/>
      <c r="G19" s="4"/>
      <c r="J19" s="53" t="s">
        <v>43</v>
      </c>
      <c r="K19" s="24">
        <f>+SUMIFS(tbl_WI[Work Time (seg…)],tbl_WI[ELEMENTO],"*"&amp;$J19&amp;"*",tbl_WI['# Operador],K$2)</f>
        <v>0</v>
      </c>
      <c r="L19" s="24">
        <f>+SUMIFS(tbl_WI[Work Time (seg…)],tbl_WI[ELEMENTO],"*"&amp;$J19&amp;"*",tbl_WI['# Operador],L$2)</f>
        <v>84</v>
      </c>
      <c r="M19" s="24">
        <f>+SUMIFS(tbl_WI[Work Time (seg…)],tbl_WI[ELEMENTO],"*"&amp;$J19&amp;"*",tbl_WI['# Operador],M$2)</f>
        <v>328</v>
      </c>
      <c r="N19" s="24">
        <f>+SUMIFS(tbl_WI[Work Time (seg…)],tbl_WI[ELEMENTO],"*"&amp;$J19&amp;"*",tbl_WI['# Operador],N$2)</f>
        <v>0</v>
      </c>
      <c r="O19" s="24">
        <f>+SUMIFS(tbl_WI[Work Time (seg…)],tbl_WI[ELEMENTO],"*"&amp;$J19&amp;"*",tbl_WI['# Operador],O$2)</f>
        <v>0</v>
      </c>
      <c r="P19" s="24">
        <f>+SUMIFS(tbl_WI[Work Time (seg…)],tbl_WI[ELEMENTO],"*"&amp;$J19&amp;"*",tbl_WI['# Operador],P$2)</f>
        <v>53</v>
      </c>
      <c r="Q19" s="24">
        <f>+SUMIFS(tbl_WI[Work Time (seg…)],tbl_WI[ELEMENTO],"*"&amp;$J19&amp;"*",tbl_WI['# Operador],Q$2)</f>
        <v>71</v>
      </c>
      <c r="R19" s="24">
        <f>+SUMIFS(tbl_WI[Work Time (seg…)],tbl_WI[ELEMENTO],"*"&amp;$J19&amp;"*",tbl_WI['# Operador],R$2)</f>
        <v>0</v>
      </c>
      <c r="S19" s="24">
        <f>+SUMIFS(tbl_WI[Work Time (seg…)],tbl_WI[ELEMENTO],"*"&amp;$J19&amp;"*",tbl_WI['# Operador],S$2)</f>
        <v>0</v>
      </c>
      <c r="T19" s="24">
        <f>+SUMIFS(tbl_WI[Work Time (seg…)],tbl_WI[ELEMENTO],"*"&amp;$J19&amp;"*",tbl_WI['# Operador],T$2)</f>
        <v>0</v>
      </c>
      <c r="U19" s="24">
        <f>+SUMIFS(tbl_WI[Work Time (seg…)],tbl_WI[ELEMENTO],"*"&amp;$J19&amp;"*",tbl_WI['# Operador],U$2)</f>
        <v>0</v>
      </c>
      <c r="V19" s="24">
        <f>+SUMIFS(tbl_WI[Work Time (seg…)],tbl_WI[ELEMENTO],"*"&amp;$J19&amp;"*",tbl_WI['# Operador],V$2)</f>
        <v>0</v>
      </c>
    </row>
    <row r="20" spans="1:22" ht="15" x14ac:dyDescent="0.25">
      <c r="A20" s="14"/>
      <c r="G20" s="4"/>
      <c r="J20" s="53" t="s">
        <v>44</v>
      </c>
      <c r="K20" s="24">
        <f>+SUMIFS(tbl_WI[Work Time (seg…)],tbl_WI[ELEMENTO],"*"&amp;$J20&amp;"*",tbl_WI['# Operador],K$2)</f>
        <v>0</v>
      </c>
      <c r="L20" s="24">
        <f>+SUMIFS(tbl_WI[Work Time (seg…)],tbl_WI[ELEMENTO],"*"&amp;$J20&amp;"*",tbl_WI['# Operador],L$2)</f>
        <v>0</v>
      </c>
      <c r="M20" s="24">
        <f>+SUMIFS(tbl_WI[Work Time (seg…)],tbl_WI[ELEMENTO],"*"&amp;$J20&amp;"*",tbl_WI['# Operador],M$2)</f>
        <v>0</v>
      </c>
      <c r="N20" s="24">
        <f>+SUMIFS(tbl_WI[Work Time (seg…)],tbl_WI[ELEMENTO],"*"&amp;$J20&amp;"*",tbl_WI['# Operador],N$2)</f>
        <v>0</v>
      </c>
      <c r="O20" s="24">
        <f>+SUMIFS(tbl_WI[Work Time (seg…)],tbl_WI[ELEMENTO],"*"&amp;$J20&amp;"*",tbl_WI['# Operador],O$2)</f>
        <v>0</v>
      </c>
      <c r="P20" s="24">
        <f>+SUMIFS(tbl_WI[Work Time (seg…)],tbl_WI[ELEMENTO],"*"&amp;$J20&amp;"*",tbl_WI['# Operador],P$2)</f>
        <v>0</v>
      </c>
      <c r="Q20" s="24">
        <f>+SUMIFS(tbl_WI[Work Time (seg…)],tbl_WI[ELEMENTO],"*"&amp;$J20&amp;"*",tbl_WI['# Operador],Q$2)</f>
        <v>0</v>
      </c>
      <c r="R20" s="24">
        <f>+SUMIFS(tbl_WI[Work Time (seg…)],tbl_WI[ELEMENTO],"*"&amp;$J20&amp;"*",tbl_WI['# Operador],R$2)</f>
        <v>0</v>
      </c>
      <c r="S20" s="24">
        <f>+SUMIFS(tbl_WI[Work Time (seg…)],tbl_WI[ELEMENTO],"*"&amp;$J20&amp;"*",tbl_WI['# Operador],S$2)</f>
        <v>0</v>
      </c>
      <c r="T20" s="24">
        <f>+SUMIFS(tbl_WI[Work Time (seg…)],tbl_WI[ELEMENTO],"*"&amp;$J20&amp;"*",tbl_WI['# Operador],T$2)</f>
        <v>0</v>
      </c>
      <c r="U20" s="24">
        <f>+SUMIFS(tbl_WI[Work Time (seg…)],tbl_WI[ELEMENTO],"*"&amp;$J20&amp;"*",tbl_WI['# Operador],U$2)</f>
        <v>0</v>
      </c>
      <c r="V20" s="24">
        <f>+SUMIFS(tbl_WI[Work Time (seg…)],tbl_WI[ELEMENTO],"*"&amp;$J20&amp;"*",tbl_WI['# Operador],V$2)</f>
        <v>0</v>
      </c>
    </row>
    <row r="21" spans="1:22" ht="15" x14ac:dyDescent="0.25">
      <c r="A21" s="14"/>
      <c r="G21" s="4"/>
      <c r="J21" s="53" t="s">
        <v>45</v>
      </c>
      <c r="K21" s="24">
        <f>+SUMIFS(tbl_WI[Work Time (seg…)],tbl_WI[ELEMENTO],"*"&amp;$J21&amp;"*",tbl_WI['# Operador],K$2)</f>
        <v>0</v>
      </c>
      <c r="L21" s="24">
        <f>+SUMIFS(tbl_WI[Work Time (seg…)],tbl_WI[ELEMENTO],"*"&amp;$J21&amp;"*",tbl_WI['# Operador],L$2)</f>
        <v>0</v>
      </c>
      <c r="M21" s="24">
        <f>+SUMIFS(tbl_WI[Work Time (seg…)],tbl_WI[ELEMENTO],"*"&amp;$J21&amp;"*",tbl_WI['# Operador],M$2)</f>
        <v>0</v>
      </c>
      <c r="N21" s="24">
        <f>+SUMIFS(tbl_WI[Work Time (seg…)],tbl_WI[ELEMENTO],"*"&amp;$J21&amp;"*",tbl_WI['# Operador],N$2)</f>
        <v>0</v>
      </c>
      <c r="O21" s="24">
        <f>+SUMIFS(tbl_WI[Work Time (seg…)],tbl_WI[ELEMENTO],"*"&amp;$J21&amp;"*",tbl_WI['# Operador],O$2)</f>
        <v>0</v>
      </c>
      <c r="P21" s="24">
        <f>+SUMIFS(tbl_WI[Work Time (seg…)],tbl_WI[ELEMENTO],"*"&amp;$J21&amp;"*",tbl_WI['# Operador],P$2)</f>
        <v>0</v>
      </c>
      <c r="Q21" s="24">
        <f>+SUMIFS(tbl_WI[Work Time (seg…)],tbl_WI[ELEMENTO],"*"&amp;$J21&amp;"*",tbl_WI['# Operador],Q$2)</f>
        <v>0</v>
      </c>
      <c r="R21" s="24">
        <f>+SUMIFS(tbl_WI[Work Time (seg…)],tbl_WI[ELEMENTO],"*"&amp;$J21&amp;"*",tbl_WI['# Operador],R$2)</f>
        <v>0</v>
      </c>
      <c r="S21" s="24">
        <f>+SUMIFS(tbl_WI[Work Time (seg…)],tbl_WI[ELEMENTO],"*"&amp;$J21&amp;"*",tbl_WI['# Operador],S$2)</f>
        <v>0</v>
      </c>
      <c r="T21" s="24">
        <f>+SUMIFS(tbl_WI[Work Time (seg…)],tbl_WI[ELEMENTO],"*"&amp;$J21&amp;"*",tbl_WI['# Operador],T$2)</f>
        <v>0</v>
      </c>
      <c r="U21" s="24">
        <f>+SUMIFS(tbl_WI[Work Time (seg…)],tbl_WI[ELEMENTO],"*"&amp;$J21&amp;"*",tbl_WI['# Operador],U$2)</f>
        <v>0</v>
      </c>
      <c r="V21" s="24">
        <f>+SUMIFS(tbl_WI[Work Time (seg…)],tbl_WI[ELEMENTO],"*"&amp;$J21&amp;"*",tbl_WI['# Operador],V$2)</f>
        <v>0</v>
      </c>
    </row>
    <row r="22" spans="1:22" ht="15" x14ac:dyDescent="0.25">
      <c r="A22" s="14"/>
      <c r="G22" s="4"/>
      <c r="J22" s="53" t="s">
        <v>46</v>
      </c>
      <c r="K22" s="24">
        <f>+SUMIFS(tbl_WI[Work Time (seg…)],tbl_WI[ELEMENTO],"*"&amp;$J22&amp;"*",tbl_WI['# Operador],K$2)</f>
        <v>0</v>
      </c>
      <c r="L22" s="24">
        <f>+SUMIFS(tbl_WI[Work Time (seg…)],tbl_WI[ELEMENTO],"*"&amp;$J22&amp;"*",tbl_WI['# Operador],L$2)</f>
        <v>0</v>
      </c>
      <c r="M22" s="24">
        <f>+SUMIFS(tbl_WI[Work Time (seg…)],tbl_WI[ELEMENTO],"*"&amp;$J22&amp;"*",tbl_WI['# Operador],M$2)</f>
        <v>0</v>
      </c>
      <c r="N22" s="24">
        <f>+SUMIFS(tbl_WI[Work Time (seg…)],tbl_WI[ELEMENTO],"*"&amp;$J22&amp;"*",tbl_WI['# Operador],N$2)</f>
        <v>0</v>
      </c>
      <c r="O22" s="24">
        <f>+SUMIFS(tbl_WI[Work Time (seg…)],tbl_WI[ELEMENTO],"*"&amp;$J22&amp;"*",tbl_WI['# Operador],O$2)</f>
        <v>0</v>
      </c>
      <c r="P22" s="24">
        <f>+SUMIFS(tbl_WI[Work Time (seg…)],tbl_WI[ELEMENTO],"*"&amp;$J22&amp;"*",tbl_WI['# Operador],P$2)</f>
        <v>0</v>
      </c>
      <c r="Q22" s="24">
        <f>+SUMIFS(tbl_WI[Work Time (seg…)],tbl_WI[ELEMENTO],"*"&amp;$J22&amp;"*",tbl_WI['# Operador],Q$2)</f>
        <v>0</v>
      </c>
      <c r="R22" s="24">
        <f>+SUMIFS(tbl_WI[Work Time (seg…)],tbl_WI[ELEMENTO],"*"&amp;$J22&amp;"*",tbl_WI['# Operador],R$2)</f>
        <v>0</v>
      </c>
      <c r="S22" s="24">
        <f>+SUMIFS(tbl_WI[Work Time (seg…)],tbl_WI[ELEMENTO],"*"&amp;$J22&amp;"*",tbl_WI['# Operador],S$2)</f>
        <v>0</v>
      </c>
      <c r="T22" s="24">
        <f>+SUMIFS(tbl_WI[Work Time (seg…)],tbl_WI[ELEMENTO],"*"&amp;$J22&amp;"*",tbl_WI['# Operador],T$2)</f>
        <v>0</v>
      </c>
      <c r="U22" s="24">
        <f>+SUMIFS(tbl_WI[Work Time (seg…)],tbl_WI[ELEMENTO],"*"&amp;$J22&amp;"*",tbl_WI['# Operador],U$2)</f>
        <v>0</v>
      </c>
      <c r="V22" s="24">
        <f>+SUMIFS(tbl_WI[Work Time (seg…)],tbl_WI[ELEMENTO],"*"&amp;$J22&amp;"*",tbl_WI['# Operador],V$2)</f>
        <v>0</v>
      </c>
    </row>
    <row r="23" spans="1:22" ht="25.5" customHeight="1" x14ac:dyDescent="0.25">
      <c r="A23" s="14"/>
      <c r="G23" s="4"/>
      <c r="J23" s="53" t="s">
        <v>47</v>
      </c>
      <c r="K23" s="24">
        <f>+SUMIFS(tbl_WI[Work Time (seg…)],tbl_WI[ELEMENTO],"*"&amp;$J23&amp;"*",tbl_WI['# Operador],K$2)</f>
        <v>0</v>
      </c>
      <c r="L23" s="24">
        <f>+SUMIFS(tbl_WI[Work Time (seg…)],tbl_WI[ELEMENTO],"*"&amp;$J23&amp;"*",tbl_WI['# Operador],L$2)</f>
        <v>0</v>
      </c>
      <c r="M23" s="24">
        <f>+SUMIFS(tbl_WI[Work Time (seg…)],tbl_WI[ELEMENTO],"*"&amp;$J23&amp;"*",tbl_WI['# Operador],M$2)</f>
        <v>0</v>
      </c>
      <c r="N23" s="24">
        <f>+SUMIFS(tbl_WI[Work Time (seg…)],tbl_WI[ELEMENTO],"*"&amp;$J23&amp;"*",tbl_WI['# Operador],N$2)</f>
        <v>0</v>
      </c>
      <c r="O23" s="24">
        <f>+SUMIFS(tbl_WI[Work Time (seg…)],tbl_WI[ELEMENTO],"*"&amp;$J23&amp;"*",tbl_WI['# Operador],O$2)</f>
        <v>0</v>
      </c>
      <c r="P23" s="24">
        <f>+SUMIFS(tbl_WI[Work Time (seg…)],tbl_WI[ELEMENTO],"*"&amp;$J23&amp;"*",tbl_WI['# Operador],P$2)</f>
        <v>0</v>
      </c>
      <c r="Q23" s="24">
        <f>+SUMIFS(tbl_WI[Work Time (seg…)],tbl_WI[ELEMENTO],"*"&amp;$J23&amp;"*",tbl_WI['# Operador],Q$2)</f>
        <v>166</v>
      </c>
      <c r="R23" s="24">
        <f>+SUMIFS(tbl_WI[Work Time (seg…)],tbl_WI[ELEMENTO],"*"&amp;$J23&amp;"*",tbl_WI['# Operador],R$2)</f>
        <v>0</v>
      </c>
      <c r="S23" s="24">
        <f>+SUMIFS(tbl_WI[Work Time (seg…)],tbl_WI[ELEMENTO],"*"&amp;$J23&amp;"*",tbl_WI['# Operador],S$2)</f>
        <v>0</v>
      </c>
      <c r="T23" s="24">
        <f>+SUMIFS(tbl_WI[Work Time (seg…)],tbl_WI[ELEMENTO],"*"&amp;$J23&amp;"*",tbl_WI['# Operador],T$2)</f>
        <v>0</v>
      </c>
      <c r="U23" s="24">
        <f>+SUMIFS(tbl_WI[Work Time (seg…)],tbl_WI[ELEMENTO],"*"&amp;$J23&amp;"*",tbl_WI['# Operador],U$2)</f>
        <v>0</v>
      </c>
      <c r="V23" s="24">
        <f>+SUMIFS(tbl_WI[Work Time (seg…)],tbl_WI[ELEMENTO],"*"&amp;$J23&amp;"*",tbl_WI['# Operador],V$2)</f>
        <v>0</v>
      </c>
    </row>
    <row r="24" spans="1:22" ht="25.5" customHeight="1" x14ac:dyDescent="0.25">
      <c r="A24" s="14"/>
      <c r="G24" s="4"/>
      <c r="J24" s="53" t="s">
        <v>48</v>
      </c>
      <c r="K24" s="24">
        <f>+SUMIFS(tbl_WI[Work Time (seg…)],tbl_WI[ELEMENTO],"*"&amp;$J24&amp;"*",tbl_WI['# Operador],K$2)</f>
        <v>0</v>
      </c>
      <c r="L24" s="24">
        <f>+SUMIFS(tbl_WI[Work Time (seg…)],tbl_WI[ELEMENTO],"*"&amp;$J24&amp;"*",tbl_WI['# Operador],L$2)</f>
        <v>0</v>
      </c>
      <c r="M24" s="24">
        <f>+SUMIFS(tbl_WI[Work Time (seg…)],tbl_WI[ELEMENTO],"*"&amp;$J24&amp;"*",tbl_WI['# Operador],M$2)</f>
        <v>0</v>
      </c>
      <c r="N24" s="24">
        <f>+SUMIFS(tbl_WI[Work Time (seg…)],tbl_WI[ELEMENTO],"*"&amp;$J24&amp;"*",tbl_WI['# Operador],N$2)</f>
        <v>0</v>
      </c>
      <c r="O24" s="24">
        <f>+SUMIFS(tbl_WI[Work Time (seg…)],tbl_WI[ELEMENTO],"*"&amp;$J24&amp;"*",tbl_WI['# Operador],O$2)</f>
        <v>0</v>
      </c>
      <c r="P24" s="24">
        <f>+SUMIFS(tbl_WI[Work Time (seg…)],tbl_WI[ELEMENTO],"*"&amp;$J24&amp;"*",tbl_WI['# Operador],P$2)</f>
        <v>0</v>
      </c>
      <c r="Q24" s="24">
        <f>+SUMIFS(tbl_WI[Work Time (seg…)],tbl_WI[ELEMENTO],"*"&amp;$J24&amp;"*",tbl_WI['# Operador],Q$2)</f>
        <v>0</v>
      </c>
      <c r="R24" s="24">
        <f>+SUMIFS(tbl_WI[Work Time (seg…)],tbl_WI[ELEMENTO],"*"&amp;$J24&amp;"*",tbl_WI['# Operador],R$2)</f>
        <v>0</v>
      </c>
      <c r="S24" s="24">
        <f>+SUMIFS(tbl_WI[Work Time (seg…)],tbl_WI[ELEMENTO],"*"&amp;$J24&amp;"*",tbl_WI['# Operador],S$2)</f>
        <v>0</v>
      </c>
      <c r="T24" s="24">
        <f>+SUMIFS(tbl_WI[Work Time (seg…)],tbl_WI[ELEMENTO],"*"&amp;$J24&amp;"*",tbl_WI['# Operador],T$2)</f>
        <v>0</v>
      </c>
      <c r="U24" s="24">
        <f>+SUMIFS(tbl_WI[Work Time (seg…)],tbl_WI[ELEMENTO],"*"&amp;$J24&amp;"*",tbl_WI['# Operador],U$2)</f>
        <v>0</v>
      </c>
      <c r="V24" s="24">
        <f>+SUMIFS(tbl_WI[Work Time (seg…)],tbl_WI[ELEMENTO],"*"&amp;$J24&amp;"*",tbl_WI['# Operador],V$2)</f>
        <v>0</v>
      </c>
    </row>
    <row r="25" spans="1:22" ht="15" x14ac:dyDescent="0.25">
      <c r="A25" s="14"/>
      <c r="G25" s="4"/>
      <c r="J25" s="53" t="s">
        <v>49</v>
      </c>
      <c r="K25" s="24">
        <f>+SUMIFS(tbl_WI[Work Time (seg…)],tbl_WI[ELEMENTO],"*"&amp;$J25&amp;"*",tbl_WI['# Operador],K$2)</f>
        <v>0</v>
      </c>
      <c r="L25" s="24">
        <f>+SUMIFS(tbl_WI[Work Time (seg…)],tbl_WI[ELEMENTO],"*"&amp;$J25&amp;"*",tbl_WI['# Operador],L$2)</f>
        <v>0</v>
      </c>
      <c r="M25" s="24">
        <f>+SUMIFS(tbl_WI[Work Time (seg…)],tbl_WI[ELEMENTO],"*"&amp;$J25&amp;"*",tbl_WI['# Operador],M$2)</f>
        <v>0</v>
      </c>
      <c r="N25" s="24">
        <f>+SUMIFS(tbl_WI[Work Time (seg…)],tbl_WI[ELEMENTO],"*"&amp;$J25&amp;"*",tbl_WI['# Operador],N$2)</f>
        <v>0</v>
      </c>
      <c r="O25" s="24">
        <f>+SUMIFS(tbl_WI[Work Time (seg…)],tbl_WI[ELEMENTO],"*"&amp;$J25&amp;"*",tbl_WI['# Operador],O$2)</f>
        <v>0</v>
      </c>
      <c r="P25" s="24">
        <f>+SUMIFS(tbl_WI[Work Time (seg…)],tbl_WI[ELEMENTO],"*"&amp;$J25&amp;"*",tbl_WI['# Operador],P$2)</f>
        <v>0</v>
      </c>
      <c r="Q25" s="24">
        <f>+SUMIFS(tbl_WI[Work Time (seg…)],tbl_WI[ELEMENTO],"*"&amp;$J25&amp;"*",tbl_WI['# Operador],Q$2)</f>
        <v>0</v>
      </c>
      <c r="R25" s="24">
        <f>+SUMIFS(tbl_WI[Work Time (seg…)],tbl_WI[ELEMENTO],"*"&amp;$J25&amp;"*",tbl_WI['# Operador],R$2)</f>
        <v>0</v>
      </c>
      <c r="S25" s="24">
        <f>+SUMIFS(tbl_WI[Work Time (seg…)],tbl_WI[ELEMENTO],"*"&amp;$J25&amp;"*",tbl_WI['# Operador],S$2)</f>
        <v>0</v>
      </c>
      <c r="T25" s="24">
        <f>+SUMIFS(tbl_WI[Work Time (seg…)],tbl_WI[ELEMENTO],"*"&amp;$J25&amp;"*",tbl_WI['# Operador],T$2)</f>
        <v>0</v>
      </c>
      <c r="U25" s="24">
        <f>+SUMIFS(tbl_WI[Work Time (seg…)],tbl_WI[ELEMENTO],"*"&amp;$J25&amp;"*",tbl_WI['# Operador],U$2)</f>
        <v>0</v>
      </c>
      <c r="V25" s="24">
        <f>+SUMIFS(tbl_WI[Work Time (seg…)],tbl_WI[ELEMENTO],"*"&amp;$J25&amp;"*",tbl_WI['# Operador],V$2)</f>
        <v>0</v>
      </c>
    </row>
    <row r="26" spans="1:22" ht="15" x14ac:dyDescent="0.25">
      <c r="A26" s="14"/>
      <c r="G26" s="4"/>
      <c r="J26" s="53" t="s">
        <v>50</v>
      </c>
      <c r="K26" s="24">
        <f>+SUMIFS(tbl_WI[Work Time (seg…)],tbl_WI[ELEMENTO],"*"&amp;$J26&amp;"*",tbl_WI['# Operador],K$2)</f>
        <v>0</v>
      </c>
      <c r="L26" s="24">
        <f>+SUMIFS(tbl_WI[Work Time (seg…)],tbl_WI[ELEMENTO],"*"&amp;$J26&amp;"*",tbl_WI['# Operador],L$2)</f>
        <v>0</v>
      </c>
      <c r="M26" s="24">
        <f>+SUMIFS(tbl_WI[Work Time (seg…)],tbl_WI[ELEMENTO],"*"&amp;$J26&amp;"*",tbl_WI['# Operador],M$2)</f>
        <v>0</v>
      </c>
      <c r="N26" s="24">
        <f>+SUMIFS(tbl_WI[Work Time (seg…)],tbl_WI[ELEMENTO],"*"&amp;$J26&amp;"*",tbl_WI['# Operador],N$2)</f>
        <v>0</v>
      </c>
      <c r="O26" s="24">
        <f>+SUMIFS(tbl_WI[Work Time (seg…)],tbl_WI[ELEMENTO],"*"&amp;$J26&amp;"*",tbl_WI['# Operador],O$2)</f>
        <v>0</v>
      </c>
      <c r="P26" s="24">
        <f>+SUMIFS(tbl_WI[Work Time (seg…)],tbl_WI[ELEMENTO],"*"&amp;$J26&amp;"*",tbl_WI['# Operador],P$2)</f>
        <v>0</v>
      </c>
      <c r="Q26" s="24">
        <f>+SUMIFS(tbl_WI[Work Time (seg…)],tbl_WI[ELEMENTO],"*"&amp;$J26&amp;"*",tbl_WI['# Operador],Q$2)</f>
        <v>0</v>
      </c>
      <c r="R26" s="24">
        <f>+SUMIFS(tbl_WI[Work Time (seg…)],tbl_WI[ELEMENTO],"*"&amp;$J26&amp;"*",tbl_WI['# Operador],R$2)</f>
        <v>0</v>
      </c>
      <c r="S26" s="24">
        <f>+SUMIFS(tbl_WI[Work Time (seg…)],tbl_WI[ELEMENTO],"*"&amp;$J26&amp;"*",tbl_WI['# Operador],S$2)</f>
        <v>0</v>
      </c>
      <c r="T26" s="24">
        <f>+SUMIFS(tbl_WI[Work Time (seg…)],tbl_WI[ELEMENTO],"*"&amp;$J26&amp;"*",tbl_WI['# Operador],T$2)</f>
        <v>0</v>
      </c>
      <c r="U26" s="24">
        <f>+SUMIFS(tbl_WI[Work Time (seg…)],tbl_WI[ELEMENTO],"*"&amp;$J26&amp;"*",tbl_WI['# Operador],U$2)</f>
        <v>0</v>
      </c>
      <c r="V26" s="24">
        <f>+SUMIFS(tbl_WI[Work Time (seg…)],tbl_WI[ELEMENTO],"*"&amp;$J26&amp;"*",tbl_WI['# Operador],V$2)</f>
        <v>0</v>
      </c>
    </row>
    <row r="27" spans="1:22" ht="15" x14ac:dyDescent="0.25">
      <c r="A27" s="14"/>
      <c r="G27" s="4"/>
      <c r="J27" s="53" t="s">
        <v>51</v>
      </c>
      <c r="K27" s="24">
        <f>+SUMIFS(tbl_WI[Work Time (seg…)],tbl_WI[ELEMENTO],"*"&amp;$J27&amp;"*",tbl_WI['# Operador],K$2)</f>
        <v>0</v>
      </c>
      <c r="L27" s="24">
        <f>+SUMIFS(tbl_WI[Work Time (seg…)],tbl_WI[ELEMENTO],"*"&amp;$J27&amp;"*",tbl_WI['# Operador],L$2)</f>
        <v>0</v>
      </c>
      <c r="M27" s="24">
        <f>+SUMIFS(tbl_WI[Work Time (seg…)],tbl_WI[ELEMENTO],"*"&amp;$J27&amp;"*",tbl_WI['# Operador],M$2)</f>
        <v>0</v>
      </c>
      <c r="N27" s="24">
        <f>+SUMIFS(tbl_WI[Work Time (seg…)],tbl_WI[ELEMENTO],"*"&amp;$J27&amp;"*",tbl_WI['# Operador],N$2)</f>
        <v>0</v>
      </c>
      <c r="O27" s="24">
        <f>+SUMIFS(tbl_WI[Work Time (seg…)],tbl_WI[ELEMENTO],"*"&amp;$J27&amp;"*",tbl_WI['# Operador],O$2)</f>
        <v>0</v>
      </c>
      <c r="P27" s="24">
        <f>+SUMIFS(tbl_WI[Work Time (seg…)],tbl_WI[ELEMENTO],"*"&amp;$J27&amp;"*",tbl_WI['# Operador],P$2)</f>
        <v>0</v>
      </c>
      <c r="Q27" s="24">
        <f>+SUMIFS(tbl_WI[Work Time (seg…)],tbl_WI[ELEMENTO],"*"&amp;$J27&amp;"*",tbl_WI['# Operador],Q$2)</f>
        <v>16</v>
      </c>
      <c r="R27" s="24">
        <f>+SUMIFS(tbl_WI[Work Time (seg…)],tbl_WI[ELEMENTO],"*"&amp;$J27&amp;"*",tbl_WI['# Operador],R$2)</f>
        <v>0</v>
      </c>
      <c r="S27" s="24">
        <f>+SUMIFS(tbl_WI[Work Time (seg…)],tbl_WI[ELEMENTO],"*"&amp;$J27&amp;"*",tbl_WI['# Operador],S$2)</f>
        <v>0</v>
      </c>
      <c r="T27" s="24">
        <f>+SUMIFS(tbl_WI[Work Time (seg…)],tbl_WI[ELEMENTO],"*"&amp;$J27&amp;"*",tbl_WI['# Operador],T$2)</f>
        <v>0</v>
      </c>
      <c r="U27" s="24">
        <f>+SUMIFS(tbl_WI[Work Time (seg…)],tbl_WI[ELEMENTO],"*"&amp;$J27&amp;"*",tbl_WI['# Operador],U$2)</f>
        <v>0</v>
      </c>
      <c r="V27" s="24">
        <f>+SUMIFS(tbl_WI[Work Time (seg…)],tbl_WI[ELEMENTO],"*"&amp;$J27&amp;"*",tbl_WI['# Operador],V$2)</f>
        <v>0</v>
      </c>
    </row>
    <row r="28" spans="1:22" ht="15" x14ac:dyDescent="0.25">
      <c r="A28" s="14"/>
      <c r="G28" s="4"/>
      <c r="J28" s="53" t="s">
        <v>52</v>
      </c>
      <c r="K28" s="24">
        <f>+SUMIFS(tbl_WI[Work Time (seg…)],tbl_WI[ELEMENTO],"*"&amp;$J28&amp;"*",tbl_WI['# Operador],K$2)</f>
        <v>0</v>
      </c>
      <c r="L28" s="24">
        <f>+SUMIFS(tbl_WI[Work Time (seg…)],tbl_WI[ELEMENTO],"*"&amp;$J28&amp;"*",tbl_WI['# Operador],L$2)</f>
        <v>0</v>
      </c>
      <c r="M28" s="24">
        <f>+SUMIFS(tbl_WI[Work Time (seg…)],tbl_WI[ELEMENTO],"*"&amp;$J28&amp;"*",tbl_WI['# Operador],M$2)</f>
        <v>0</v>
      </c>
      <c r="N28" s="24">
        <f>+SUMIFS(tbl_WI[Work Time (seg…)],tbl_WI[ELEMENTO],"*"&amp;$J28&amp;"*",tbl_WI['# Operador],N$2)</f>
        <v>0</v>
      </c>
      <c r="O28" s="24">
        <f>+SUMIFS(tbl_WI[Work Time (seg…)],tbl_WI[ELEMENTO],"*"&amp;$J28&amp;"*",tbl_WI['# Operador],O$2)</f>
        <v>0</v>
      </c>
      <c r="P28" s="24">
        <f>+SUMIFS(tbl_WI[Work Time (seg…)],tbl_WI[ELEMENTO],"*"&amp;$J28&amp;"*",tbl_WI['# Operador],P$2)</f>
        <v>74</v>
      </c>
      <c r="Q28" s="24">
        <f>+SUMIFS(tbl_WI[Work Time (seg…)],tbl_WI[ELEMENTO],"*"&amp;$J28&amp;"*",tbl_WI['# Operador],Q$2)</f>
        <v>0</v>
      </c>
      <c r="R28" s="24">
        <f>+SUMIFS(tbl_WI[Work Time (seg…)],tbl_WI[ELEMENTO],"*"&amp;$J28&amp;"*",tbl_WI['# Operador],R$2)</f>
        <v>0</v>
      </c>
      <c r="S28" s="24">
        <f>+SUMIFS(tbl_WI[Work Time (seg…)],tbl_WI[ELEMENTO],"*"&amp;$J28&amp;"*",tbl_WI['# Operador],S$2)</f>
        <v>0</v>
      </c>
      <c r="T28" s="24">
        <f>+SUMIFS(tbl_WI[Work Time (seg…)],tbl_WI[ELEMENTO],"*"&amp;$J28&amp;"*",tbl_WI['# Operador],T$2)</f>
        <v>0</v>
      </c>
      <c r="U28" s="24">
        <f>+SUMIFS(tbl_WI[Work Time (seg…)],tbl_WI[ELEMENTO],"*"&amp;$J28&amp;"*",tbl_WI['# Operador],U$2)</f>
        <v>0</v>
      </c>
      <c r="V28" s="24">
        <f>+SUMIFS(tbl_WI[Work Time (seg…)],tbl_WI[ELEMENTO],"*"&amp;$J28&amp;"*",tbl_WI['# Operador],V$2)</f>
        <v>0</v>
      </c>
    </row>
    <row r="29" spans="1:22" ht="15" x14ac:dyDescent="0.25">
      <c r="A29" s="14"/>
      <c r="G29" s="4"/>
      <c r="J29" s="53" t="s">
        <v>53</v>
      </c>
      <c r="K29" s="24">
        <f>+SUMIFS(tbl_WI[Work Time (seg…)],tbl_WI[ELEMENTO],"*"&amp;$J29&amp;"*",tbl_WI['# Operador],K$2)</f>
        <v>113</v>
      </c>
      <c r="L29" s="24">
        <f>+SUMIFS(tbl_WI[Work Time (seg…)],tbl_WI[ELEMENTO],"*"&amp;$J29&amp;"*",tbl_WI['# Operador],L$2)</f>
        <v>0</v>
      </c>
      <c r="M29" s="24">
        <f>+SUMIFS(tbl_WI[Work Time (seg…)],tbl_WI[ELEMENTO],"*"&amp;$J29&amp;"*",tbl_WI['# Operador],M$2)</f>
        <v>0</v>
      </c>
      <c r="N29" s="24">
        <f>+SUMIFS(tbl_WI[Work Time (seg…)],tbl_WI[ELEMENTO],"*"&amp;$J29&amp;"*",tbl_WI['# Operador],N$2)</f>
        <v>0</v>
      </c>
      <c r="O29" s="24">
        <f>+SUMIFS(tbl_WI[Work Time (seg…)],tbl_WI[ELEMENTO],"*"&amp;$J29&amp;"*",tbl_WI['# Operador],O$2)</f>
        <v>50</v>
      </c>
      <c r="P29" s="24">
        <f>+SUMIFS(tbl_WI[Work Time (seg…)],tbl_WI[ELEMENTO],"*"&amp;$J29&amp;"*",tbl_WI['# Operador],P$2)</f>
        <v>175</v>
      </c>
      <c r="Q29" s="24">
        <f>+SUMIFS(tbl_WI[Work Time (seg…)],tbl_WI[ELEMENTO],"*"&amp;$J29&amp;"*",tbl_WI['# Operador],Q$2)</f>
        <v>87</v>
      </c>
      <c r="R29" s="24">
        <f>+SUMIFS(tbl_WI[Work Time (seg…)],tbl_WI[ELEMENTO],"*"&amp;$J29&amp;"*",tbl_WI['# Operador],R$2)</f>
        <v>0</v>
      </c>
      <c r="S29" s="24">
        <f>+SUMIFS(tbl_WI[Work Time (seg…)],tbl_WI[ELEMENTO],"*"&amp;$J29&amp;"*",tbl_WI['# Operador],S$2)</f>
        <v>0</v>
      </c>
      <c r="T29" s="24">
        <f>+SUMIFS(tbl_WI[Work Time (seg…)],tbl_WI[ELEMENTO],"*"&amp;$J29&amp;"*",tbl_WI['# Operador],T$2)</f>
        <v>0</v>
      </c>
      <c r="U29" s="24">
        <f>+SUMIFS(tbl_WI[Work Time (seg…)],tbl_WI[ELEMENTO],"*"&amp;$J29&amp;"*",tbl_WI['# Operador],U$2)</f>
        <v>0</v>
      </c>
      <c r="V29" s="24">
        <f>+SUMIFS(tbl_WI[Work Time (seg…)],tbl_WI[ELEMENTO],"*"&amp;$J29&amp;"*",tbl_WI['# Operador],V$2)</f>
        <v>0</v>
      </c>
    </row>
    <row r="30" spans="1:22" ht="15" x14ac:dyDescent="0.25">
      <c r="A30" s="14"/>
      <c r="G30" s="4"/>
      <c r="J30" s="53" t="s">
        <v>54</v>
      </c>
      <c r="K30" s="24">
        <f>+SUMIFS(tbl_WI[Work Time (seg…)],tbl_WI[ELEMENTO],"*"&amp;$J30&amp;"*",tbl_WI['# Operador],K$2)</f>
        <v>0</v>
      </c>
      <c r="L30" s="24">
        <f>+SUMIFS(tbl_WI[Work Time (seg…)],tbl_WI[ELEMENTO],"*"&amp;$J30&amp;"*",tbl_WI['# Operador],L$2)</f>
        <v>0</v>
      </c>
      <c r="M30" s="24">
        <f>+SUMIFS(tbl_WI[Work Time (seg…)],tbl_WI[ELEMENTO],"*"&amp;$J30&amp;"*",tbl_WI['# Operador],M$2)</f>
        <v>0</v>
      </c>
      <c r="N30" s="24">
        <f>+SUMIFS(tbl_WI[Work Time (seg…)],tbl_WI[ELEMENTO],"*"&amp;$J30&amp;"*",tbl_WI['# Operador],N$2)</f>
        <v>0</v>
      </c>
      <c r="O30" s="24">
        <f>+SUMIFS(tbl_WI[Work Time (seg…)],tbl_WI[ELEMENTO],"*"&amp;$J30&amp;"*",tbl_WI['# Operador],O$2)</f>
        <v>0</v>
      </c>
      <c r="P30" s="24">
        <f>+SUMIFS(tbl_WI[Work Time (seg…)],tbl_WI[ELEMENTO],"*"&amp;$J30&amp;"*",tbl_WI['# Operador],P$2)</f>
        <v>0</v>
      </c>
      <c r="Q30" s="24">
        <f>+SUMIFS(tbl_WI[Work Time (seg…)],tbl_WI[ELEMENTO],"*"&amp;$J30&amp;"*",tbl_WI['# Operador],Q$2)</f>
        <v>0</v>
      </c>
      <c r="R30" s="24">
        <f>+SUMIFS(tbl_WI[Work Time (seg…)],tbl_WI[ELEMENTO],"*"&amp;$J30&amp;"*",tbl_WI['# Operador],R$2)</f>
        <v>0</v>
      </c>
      <c r="S30" s="24">
        <f>+SUMIFS(tbl_WI[Work Time (seg…)],tbl_WI[ELEMENTO],"*"&amp;$J30&amp;"*",tbl_WI['# Operador],S$2)</f>
        <v>0</v>
      </c>
      <c r="T30" s="24">
        <f>+SUMIFS(tbl_WI[Work Time (seg…)],tbl_WI[ELEMENTO],"*"&amp;$J30&amp;"*",tbl_WI['# Operador],T$2)</f>
        <v>0</v>
      </c>
      <c r="U30" s="24">
        <f>+SUMIFS(tbl_WI[Work Time (seg…)],tbl_WI[ELEMENTO],"*"&amp;$J30&amp;"*",tbl_WI['# Operador],U$2)</f>
        <v>0</v>
      </c>
      <c r="V30" s="24">
        <f>+SUMIFS(tbl_WI[Work Time (seg…)],tbl_WI[ELEMENTO],"*"&amp;$J30&amp;"*",tbl_WI['# Operador],V$2)</f>
        <v>0</v>
      </c>
    </row>
    <row r="31" spans="1:22" ht="15" x14ac:dyDescent="0.25">
      <c r="A31" s="14"/>
      <c r="G31" s="4"/>
      <c r="J31" s="53" t="s">
        <v>55</v>
      </c>
      <c r="K31" s="24">
        <f>+SUMIFS(tbl_WI[Work Time (seg…)],tbl_WI[ELEMENTO],"*"&amp;$J31&amp;"*",tbl_WI['# Operador],K$2)</f>
        <v>0</v>
      </c>
      <c r="L31" s="24">
        <f>+SUMIFS(tbl_WI[Work Time (seg…)],tbl_WI[ELEMENTO],"*"&amp;$J31&amp;"*",tbl_WI['# Operador],L$2)</f>
        <v>19</v>
      </c>
      <c r="M31" s="24">
        <f>+SUMIFS(tbl_WI[Work Time (seg…)],tbl_WI[ELEMENTO],"*"&amp;$J31&amp;"*",tbl_WI['# Operador],M$2)</f>
        <v>0</v>
      </c>
      <c r="N31" s="24">
        <f>+SUMIFS(tbl_WI[Work Time (seg…)],tbl_WI[ELEMENTO],"*"&amp;$J31&amp;"*",tbl_WI['# Operador],N$2)</f>
        <v>0</v>
      </c>
      <c r="O31" s="24">
        <f>+SUMIFS(tbl_WI[Work Time (seg…)],tbl_WI[ELEMENTO],"*"&amp;$J31&amp;"*",tbl_WI['# Operador],O$2)</f>
        <v>0</v>
      </c>
      <c r="P31" s="24">
        <f>+SUMIFS(tbl_WI[Work Time (seg…)],tbl_WI[ELEMENTO],"*"&amp;$J31&amp;"*",tbl_WI['# Operador],P$2)</f>
        <v>0</v>
      </c>
      <c r="Q31" s="24">
        <f>+SUMIFS(tbl_WI[Work Time (seg…)],tbl_WI[ELEMENTO],"*"&amp;$J31&amp;"*",tbl_WI['# Operador],Q$2)</f>
        <v>0</v>
      </c>
      <c r="R31" s="24">
        <f>+SUMIFS(tbl_WI[Work Time (seg…)],tbl_WI[ELEMENTO],"*"&amp;$J31&amp;"*",tbl_WI['# Operador],R$2)</f>
        <v>0</v>
      </c>
      <c r="S31" s="24">
        <f>+SUMIFS(tbl_WI[Work Time (seg…)],tbl_WI[ELEMENTO],"*"&amp;$J31&amp;"*",tbl_WI['# Operador],S$2)</f>
        <v>0</v>
      </c>
      <c r="T31" s="24">
        <f>+SUMIFS(tbl_WI[Work Time (seg…)],tbl_WI[ELEMENTO],"*"&amp;$J31&amp;"*",tbl_WI['# Operador],T$2)</f>
        <v>0</v>
      </c>
      <c r="U31" s="24">
        <f>+SUMIFS(tbl_WI[Work Time (seg…)],tbl_WI[ELEMENTO],"*"&amp;$J31&amp;"*",tbl_WI['# Operador],U$2)</f>
        <v>0</v>
      </c>
      <c r="V31" s="24">
        <f>+SUMIFS(tbl_WI[Work Time (seg…)],tbl_WI[ELEMENTO],"*"&amp;$J31&amp;"*",tbl_WI['# Operador],V$2)</f>
        <v>0</v>
      </c>
    </row>
    <row r="32" spans="1:22" ht="15" x14ac:dyDescent="0.25">
      <c r="A32" s="14"/>
      <c r="G32" s="4"/>
      <c r="J32" s="53" t="s">
        <v>56</v>
      </c>
      <c r="K32" s="24">
        <f>+SUMIFS(tbl_WI[Work Time (seg…)],tbl_WI[ELEMENTO],"*"&amp;$J32&amp;"*",tbl_WI['# Operador],K$2)</f>
        <v>0</v>
      </c>
      <c r="L32" s="24">
        <f>+SUMIFS(tbl_WI[Work Time (seg…)],tbl_WI[ELEMENTO],"*"&amp;$J32&amp;"*",tbl_WI['# Operador],L$2)</f>
        <v>0</v>
      </c>
      <c r="M32" s="24">
        <f>+SUMIFS(tbl_WI[Work Time (seg…)],tbl_WI[ELEMENTO],"*"&amp;$J32&amp;"*",tbl_WI['# Operador],M$2)</f>
        <v>0</v>
      </c>
      <c r="N32" s="24">
        <f>+SUMIFS(tbl_WI[Work Time (seg…)],tbl_WI[ELEMENTO],"*"&amp;$J32&amp;"*",tbl_WI['# Operador],N$2)</f>
        <v>0</v>
      </c>
      <c r="O32" s="24">
        <f>+SUMIFS(tbl_WI[Work Time (seg…)],tbl_WI[ELEMENTO],"*"&amp;$J32&amp;"*",tbl_WI['# Operador],O$2)</f>
        <v>0</v>
      </c>
      <c r="P32" s="24">
        <f>+SUMIFS(tbl_WI[Work Time (seg…)],tbl_WI[ELEMENTO],"*"&amp;$J32&amp;"*",tbl_WI['# Operador],P$2)</f>
        <v>0</v>
      </c>
      <c r="Q32" s="24">
        <f>+SUMIFS(tbl_WI[Work Time (seg…)],tbl_WI[ELEMENTO],"*"&amp;$J32&amp;"*",tbl_WI['# Operador],Q$2)</f>
        <v>0</v>
      </c>
      <c r="R32" s="24">
        <f>+SUMIFS(tbl_WI[Work Time (seg…)],tbl_WI[ELEMENTO],"*"&amp;$J32&amp;"*",tbl_WI['# Operador],R$2)</f>
        <v>0</v>
      </c>
      <c r="S32" s="24">
        <f>+SUMIFS(tbl_WI[Work Time (seg…)],tbl_WI[ELEMENTO],"*"&amp;$J32&amp;"*",tbl_WI['# Operador],S$2)</f>
        <v>0</v>
      </c>
      <c r="T32" s="24">
        <f>+SUMIFS(tbl_WI[Work Time (seg…)],tbl_WI[ELEMENTO],"*"&amp;$J32&amp;"*",tbl_WI['# Operador],T$2)</f>
        <v>0</v>
      </c>
      <c r="U32" s="24">
        <f>+SUMIFS(tbl_WI[Work Time (seg…)],tbl_WI[ELEMENTO],"*"&amp;$J32&amp;"*",tbl_WI['# Operador],U$2)</f>
        <v>0</v>
      </c>
      <c r="V32" s="24">
        <f>+SUMIFS(tbl_WI[Work Time (seg…)],tbl_WI[ELEMENTO],"*"&amp;$J32&amp;"*",tbl_WI['# Operador],V$2)</f>
        <v>0</v>
      </c>
    </row>
    <row r="33" spans="1:23" ht="15" x14ac:dyDescent="0.25">
      <c r="A33" s="14"/>
      <c r="G33" s="4"/>
      <c r="J33" s="53" t="s">
        <v>57</v>
      </c>
      <c r="K33" s="24">
        <f>+SUMIFS(tbl_WI[Work Time (seg…)],tbl_WI[ELEMENTO],"*"&amp;$J33&amp;"*",tbl_WI['# Operador],K$2)</f>
        <v>0</v>
      </c>
      <c r="L33" s="24">
        <f>+SUMIFS(tbl_WI[Work Time (seg…)],tbl_WI[ELEMENTO],"*"&amp;$J33&amp;"*",tbl_WI['# Operador],L$2)</f>
        <v>0</v>
      </c>
      <c r="M33" s="24">
        <f>+SUMIFS(tbl_WI[Work Time (seg…)],tbl_WI[ELEMENTO],"*"&amp;$J33&amp;"*",tbl_WI['# Operador],M$2)</f>
        <v>0</v>
      </c>
      <c r="N33" s="24">
        <f>+SUMIFS(tbl_WI[Work Time (seg…)],tbl_WI[ELEMENTO],"*"&amp;$J33&amp;"*",tbl_WI['# Operador],N$2)</f>
        <v>0</v>
      </c>
      <c r="O33" s="24">
        <f>+SUMIFS(tbl_WI[Work Time (seg…)],tbl_WI[ELEMENTO],"*"&amp;$J33&amp;"*",tbl_WI['# Operador],O$2)</f>
        <v>0</v>
      </c>
      <c r="P33" s="24">
        <f>+SUMIFS(tbl_WI[Work Time (seg…)],tbl_WI[ELEMENTO],"*"&amp;$J33&amp;"*",tbl_WI['# Operador],P$2)</f>
        <v>0</v>
      </c>
      <c r="Q33" s="24">
        <f>+SUMIFS(tbl_WI[Work Time (seg…)],tbl_WI[ELEMENTO],"*"&amp;$J33&amp;"*",tbl_WI['# Operador],Q$2)</f>
        <v>96</v>
      </c>
      <c r="R33" s="24">
        <f>+SUMIFS(tbl_WI[Work Time (seg…)],tbl_WI[ELEMENTO],"*"&amp;$J33&amp;"*",tbl_WI['# Operador],R$2)</f>
        <v>0</v>
      </c>
      <c r="S33" s="24">
        <f>+SUMIFS(tbl_WI[Work Time (seg…)],tbl_WI[ELEMENTO],"*"&amp;$J33&amp;"*",tbl_WI['# Operador],S$2)</f>
        <v>0</v>
      </c>
      <c r="T33" s="24">
        <f>+SUMIFS(tbl_WI[Work Time (seg…)],tbl_WI[ELEMENTO],"*"&amp;$J33&amp;"*",tbl_WI['# Operador],T$2)</f>
        <v>0</v>
      </c>
      <c r="U33" s="24">
        <f>+SUMIFS(tbl_WI[Work Time (seg…)],tbl_WI[ELEMENTO],"*"&amp;$J33&amp;"*",tbl_WI['# Operador],U$2)</f>
        <v>0</v>
      </c>
      <c r="V33" s="24">
        <f>+SUMIFS(tbl_WI[Work Time (seg…)],tbl_WI[ELEMENTO],"*"&amp;$J33&amp;"*",tbl_WI['# Operador],V$2)</f>
        <v>0</v>
      </c>
    </row>
    <row r="34" spans="1:23" ht="22.5" customHeight="1" thickBot="1" x14ac:dyDescent="0.3">
      <c r="G34" s="4"/>
      <c r="J34" s="54" t="s">
        <v>58</v>
      </c>
      <c r="K34" s="55">
        <f>+SUMIFS(tbl_WI[Work Time (seg…)],tbl_WI[ELEMENTO],"*"&amp;$J34&amp;"*",tbl_WI['# Operador],K$2)</f>
        <v>0</v>
      </c>
      <c r="L34" s="55">
        <f>+SUMIFS(tbl_WI[Work Time (seg…)],tbl_WI[ELEMENTO],"*"&amp;$J34&amp;"*",tbl_WI['# Operador],L$2)</f>
        <v>0</v>
      </c>
      <c r="M34" s="55">
        <f>+SUMIFS(tbl_WI[Work Time (seg…)],tbl_WI[ELEMENTO],"*"&amp;$J34&amp;"*",tbl_WI['# Operador],M$2)</f>
        <v>52</v>
      </c>
      <c r="N34" s="55">
        <f>+SUMIFS(tbl_WI[Work Time (seg…)],tbl_WI[ELEMENTO],"*"&amp;$J34&amp;"*",tbl_WI['# Operador],N$2)</f>
        <v>0</v>
      </c>
      <c r="O34" s="55">
        <f>+SUMIFS(tbl_WI[Work Time (seg…)],tbl_WI[ELEMENTO],"*"&amp;$J34&amp;"*",tbl_WI['# Operador],O$2)</f>
        <v>8</v>
      </c>
      <c r="P34" s="55">
        <f>+SUMIFS(tbl_WI[Work Time (seg…)],tbl_WI[ELEMENTO],"*"&amp;$J34&amp;"*",tbl_WI['# Operador],P$2)</f>
        <v>702</v>
      </c>
      <c r="Q34" s="55">
        <f>+SUMIFS(tbl_WI[Work Time (seg…)],tbl_WI[ELEMENTO],"*"&amp;$J34&amp;"*",tbl_WI['# Operador],Q$2)</f>
        <v>1278</v>
      </c>
      <c r="R34" s="55">
        <f>+SUMIFS(tbl_WI[Work Time (seg…)],tbl_WI[ELEMENTO],"*"&amp;$J34&amp;"*",tbl_WI['# Operador],R$2)</f>
        <v>0</v>
      </c>
      <c r="S34" s="55">
        <f>+SUMIFS(tbl_WI[Work Time (seg…)],tbl_WI[ELEMENTO],"*"&amp;$J34&amp;"*",tbl_WI['# Operador],S$2)</f>
        <v>0</v>
      </c>
      <c r="T34" s="55">
        <f>+SUMIFS(tbl_WI[Work Time (seg…)],tbl_WI[ELEMENTO],"*"&amp;$J34&amp;"*",tbl_WI['# Operador],T$2)</f>
        <v>0</v>
      </c>
      <c r="U34" s="55">
        <f>+SUMIFS(tbl_WI[Work Time (seg…)],tbl_WI[ELEMENTO],"*"&amp;$J34&amp;"*",tbl_WI['# Operador],U$2)</f>
        <v>0</v>
      </c>
      <c r="V34" s="55">
        <f>+SUMIFS(tbl_WI[Work Time (seg…)],tbl_WI[ELEMENTO],"*"&amp;$J34&amp;"*",tbl_WI['# Operador],V$2)</f>
        <v>0</v>
      </c>
    </row>
    <row r="35" spans="1:23" ht="78.75" customHeight="1" thickBot="1" x14ac:dyDescent="0.3">
      <c r="A35" s="20" t="s">
        <v>59</v>
      </c>
      <c r="B35" s="21" t="s">
        <v>60</v>
      </c>
      <c r="C35" s="19" t="s">
        <v>61</v>
      </c>
      <c r="D35" s="91" t="s">
        <v>62</v>
      </c>
      <c r="E35" s="40" t="s">
        <v>63</v>
      </c>
      <c r="F35" s="18" t="s">
        <v>64</v>
      </c>
      <c r="G35" s="18" t="s">
        <v>65</v>
      </c>
      <c r="J35" s="42" t="s">
        <v>37</v>
      </c>
      <c r="K35" s="43">
        <f>(SUM(K14:K34)/('Master Sheet'!$F$5))</f>
        <v>4.0063636363636364E-2</v>
      </c>
      <c r="L35" s="43">
        <f>(SUM(L14:L34)/('Master Sheet'!$F$5))</f>
        <v>3.6518181818181818E-2</v>
      </c>
      <c r="M35" s="43">
        <f>(SUM(M14:M34)/('Master Sheet'!$F$5))</f>
        <v>0.13472727272727272</v>
      </c>
      <c r="N35" s="43">
        <f>(SUM(N14:N34)/('Master Sheet'!$F$5))</f>
        <v>0</v>
      </c>
      <c r="O35" s="43">
        <f>(SUM(O14:O34)/('Master Sheet'!$F$5))</f>
        <v>2.0563636363636364E-2</v>
      </c>
      <c r="P35" s="43">
        <f>(SUM(P14:P34)/('Master Sheet'!$F$5))</f>
        <v>0.35596363636363637</v>
      </c>
      <c r="Q35" s="43">
        <f>(SUM(Q14:Q34)/('Master Sheet'!$F$5))</f>
        <v>0.60769090909090917</v>
      </c>
      <c r="R35" s="43">
        <f>(SUM(R14:R34)/('Master Sheet'!$F$5))</f>
        <v>0</v>
      </c>
      <c r="S35" s="43">
        <f>(SUM(S14:S34)/('Master Sheet'!$F$5))</f>
        <v>0</v>
      </c>
      <c r="T35" s="43">
        <f>(SUM(T14:T34)/('Master Sheet'!$F$5))</f>
        <v>0</v>
      </c>
      <c r="U35" s="43">
        <f>(SUM(U14:U34)/('Master Sheet'!$F$5))</f>
        <v>0</v>
      </c>
      <c r="V35" s="43">
        <f>(SUM(V14:V34)/('Master Sheet'!$F$5))</f>
        <v>0</v>
      </c>
    </row>
    <row r="36" spans="1:23" ht="20.25" customHeight="1" x14ac:dyDescent="0.25">
      <c r="A36" s="122"/>
      <c r="B36" s="123" t="s">
        <v>66</v>
      </c>
      <c r="C36" s="124">
        <v>1</v>
      </c>
      <c r="D36" s="124"/>
      <c r="E36" s="124"/>
      <c r="F36" s="124"/>
      <c r="G36" s="124"/>
      <c r="J36" s="56" t="s">
        <v>67</v>
      </c>
      <c r="K36" s="57">
        <f>+SUMIFS(tbl_WI[Tiempo de Caminatas (seg..)],tbl_WI[ELEMENTO],"*"&amp;$J36&amp;"*",tbl_WI['# Operador],K$2)</f>
        <v>0</v>
      </c>
      <c r="L36" s="57">
        <f>+SUMIFS(tbl_WI[Tiempo de Caminatas (seg..)],tbl_WI[ELEMENTO],"*"&amp;$J36&amp;"*",tbl_WI['# Operador],L$2)</f>
        <v>0</v>
      </c>
      <c r="M36" s="57">
        <f>+SUMIFS(tbl_WI[Tiempo de Caminatas (seg..)],tbl_WI[ELEMENTO],"*"&amp;$J36&amp;"*",tbl_WI['# Operador],M$2)</f>
        <v>0</v>
      </c>
      <c r="N36" s="57">
        <f>+SUMIFS(tbl_WI[Tiempo de Caminatas (seg..)],tbl_WI[ELEMENTO],"*"&amp;$J36&amp;"*",tbl_WI['# Operador],N$2)</f>
        <v>188</v>
      </c>
      <c r="O36" s="57">
        <f>+SUMIFS(tbl_WI[Tiempo de Caminatas (seg..)],tbl_WI[ELEMENTO],"*"&amp;$J36&amp;"*",tbl_WI['# Operador],O$2)</f>
        <v>0</v>
      </c>
      <c r="P36" s="57">
        <f>+SUMIFS(tbl_WI[Tiempo de Caminatas (seg..)],tbl_WI[ELEMENTO],"*"&amp;$J36&amp;"*",tbl_WI['# Operador],P$2)</f>
        <v>0</v>
      </c>
      <c r="Q36" s="57">
        <f>+SUMIFS(tbl_WI[Tiempo de Caminatas (seg..)],tbl_WI[ELEMENTO],"*"&amp;$J36&amp;"*",tbl_WI['# Operador],Q$2)</f>
        <v>482</v>
      </c>
      <c r="R36" s="57">
        <f>+SUMIFS(tbl_WI[Tiempo de Caminatas (seg..)],tbl_WI[ELEMENTO],"*"&amp;$J36&amp;"*",tbl_WI['# Operador],R$2)</f>
        <v>0</v>
      </c>
      <c r="S36" s="57">
        <f>+SUMIFS(tbl_WI[Tiempo de Caminatas (seg..)],tbl_WI[ELEMENTO],"*"&amp;$J36&amp;"*",tbl_WI['# Operador],S$2)</f>
        <v>0</v>
      </c>
      <c r="T36" s="57">
        <f>+SUMIFS(tbl_WI[Tiempo de Caminatas (seg..)],tbl_WI[ELEMENTO],"*"&amp;$J36&amp;"*",tbl_WI['# Operador],T$2)</f>
        <v>0</v>
      </c>
      <c r="U36" s="57">
        <f>+SUMIFS(tbl_WI[Tiempo de Caminatas (seg..)],tbl_WI[ELEMENTO],"*"&amp;$J36&amp;"*",tbl_WI['# Operador],U$2)</f>
        <v>0</v>
      </c>
      <c r="V36" s="57">
        <f>+SUMIFS(tbl_WI[Tiempo de Caminatas (seg..)],tbl_WI[ELEMENTO],"*"&amp;$J36&amp;"*",tbl_WI['# Operador],V$2)</f>
        <v>0</v>
      </c>
    </row>
    <row r="37" spans="1:23" ht="21" customHeight="1" thickBot="1" x14ac:dyDescent="0.3">
      <c r="A37" s="88"/>
      <c r="B37" s="129" t="s">
        <v>192</v>
      </c>
      <c r="C37" s="88">
        <v>1</v>
      </c>
      <c r="D37" s="88"/>
      <c r="E37" s="88"/>
      <c r="F37" s="88"/>
      <c r="G37" s="88"/>
      <c r="J37" s="58" t="s">
        <v>68</v>
      </c>
      <c r="K37" s="59">
        <f>+SUMIFS(tbl_WI[Tiempo de Caminatas (seg..)],tbl_WI[ELEMENTO],"*"&amp;$J37&amp;"*",tbl_WI['# Operador],K$2)</f>
        <v>0</v>
      </c>
      <c r="L37" s="59">
        <f>+SUMIFS(tbl_WI[Tiempo de Caminatas (seg..)],tbl_WI[ELEMENTO],"*"&amp;$J37&amp;"*",tbl_WI['# Operador],L$2)</f>
        <v>0</v>
      </c>
      <c r="M37" s="59">
        <f>+SUMIFS(tbl_WI[Tiempo de Caminatas (seg..)],tbl_WI[ELEMENTO],"*"&amp;$J37&amp;"*",tbl_WI['# Operador],M$2)</f>
        <v>148</v>
      </c>
      <c r="N37" s="59">
        <f>+SUMIFS(tbl_WI[Tiempo de Caminatas (seg..)],tbl_WI[ELEMENTO],"*"&amp;$J37&amp;"*",tbl_WI['# Operador],N$2)</f>
        <v>859</v>
      </c>
      <c r="O37" s="59">
        <f>+SUMIFS(tbl_WI[Tiempo de Caminatas (seg..)],tbl_WI[ELEMENTO],"*"&amp;$J37&amp;"*",tbl_WI['# Operador],O$2)</f>
        <v>0</v>
      </c>
      <c r="P37" s="59">
        <f>+SUMIFS(tbl_WI[Tiempo de Caminatas (seg..)],tbl_WI[ELEMENTO],"*"&amp;$J37&amp;"*",tbl_WI['# Operador],P$2)</f>
        <v>408</v>
      </c>
      <c r="Q37" s="59">
        <f>+SUMIFS(tbl_WI[Tiempo de Caminatas (seg..)],tbl_WI[ELEMENTO],"*"&amp;$J37&amp;"*",tbl_WI['# Operador],Q$2)</f>
        <v>390</v>
      </c>
      <c r="R37" s="59">
        <f>+SUMIFS(tbl_WI[Tiempo de Caminatas (seg..)],tbl_WI[ELEMENTO],"*"&amp;$J37&amp;"*",tbl_WI['# Operador],R$2)</f>
        <v>0</v>
      </c>
      <c r="S37" s="59">
        <f>+SUMIFS(tbl_WI[Tiempo de Caminatas (seg..)],tbl_WI[ELEMENTO],"*"&amp;$J37&amp;"*",tbl_WI['# Operador],S$2)</f>
        <v>0</v>
      </c>
      <c r="T37" s="59">
        <f>+SUMIFS(tbl_WI[Tiempo de Caminatas (seg..)],tbl_WI[ELEMENTO],"*"&amp;$J37&amp;"*",tbl_WI['# Operador],T$2)</f>
        <v>0</v>
      </c>
      <c r="U37" s="59">
        <f>+SUMIFS(tbl_WI[Tiempo de Caminatas (seg..)],tbl_WI[ELEMENTO],"*"&amp;$J37&amp;"*",tbl_WI['# Operador],U$2)</f>
        <v>0</v>
      </c>
      <c r="V37" s="59">
        <f>+SUMIFS(tbl_WI[Tiempo de Caminatas (seg..)],tbl_WI[ELEMENTO],"*"&amp;$J37&amp;"*",tbl_WI['# Operador],V$2)</f>
        <v>0</v>
      </c>
    </row>
    <row r="38" spans="1:23" ht="21" customHeight="1" thickBot="1" x14ac:dyDescent="0.35">
      <c r="A38" s="88">
        <v>1</v>
      </c>
      <c r="B38" s="45" t="s">
        <v>69</v>
      </c>
      <c r="C38" s="88">
        <v>1</v>
      </c>
      <c r="D38" s="94"/>
      <c r="E38" s="103">
        <v>113</v>
      </c>
      <c r="F38" s="25"/>
      <c r="G38" s="71"/>
      <c r="J38" s="42" t="s">
        <v>37</v>
      </c>
      <c r="K38" s="43">
        <f>(SUM(K36:K37)/('Master Sheet'!$F$5))</f>
        <v>0</v>
      </c>
      <c r="L38" s="43">
        <f>(SUM(L36:L37)/('Master Sheet'!$F$5))</f>
        <v>0</v>
      </c>
      <c r="M38" s="43">
        <f>(SUM(M36:M37)/('Master Sheet'!$F$5))</f>
        <v>5.2472727272727275E-2</v>
      </c>
      <c r="N38" s="43">
        <f>(SUM(N36:N37)/('Master Sheet'!$F$5))</f>
        <v>0.37120909090909093</v>
      </c>
      <c r="O38" s="43">
        <f>(SUM(O36:O37)/('Master Sheet'!$F$5))</f>
        <v>0</v>
      </c>
      <c r="P38" s="43">
        <f>(SUM(P36:P37)/('Master Sheet'!$F$5))</f>
        <v>0.14465454545454545</v>
      </c>
      <c r="Q38" s="43">
        <f>(SUM(Q36:Q37)/('Master Sheet'!$F$5))</f>
        <v>0.30916363636363636</v>
      </c>
      <c r="R38" s="43">
        <f>(SUM(R36:R37)/('Master Sheet'!$F$5))</f>
        <v>0</v>
      </c>
      <c r="S38" s="43">
        <f>(SUM(S36:S37)/('Master Sheet'!$F$5))</f>
        <v>0</v>
      </c>
      <c r="T38" s="43">
        <f>(SUM(T36:T37)/('Master Sheet'!$F$5))</f>
        <v>0</v>
      </c>
      <c r="U38" s="43">
        <f>(SUM(U36:U37)/('Master Sheet'!$F$5))</f>
        <v>0</v>
      </c>
      <c r="V38" s="43">
        <f>(SUM(V36:V37)/('Master Sheet'!$F$5))</f>
        <v>0</v>
      </c>
    </row>
    <row r="39" spans="1:23" ht="21" customHeight="1" thickBot="1" x14ac:dyDescent="0.35">
      <c r="A39" s="88">
        <f>+A38+1</f>
        <v>2</v>
      </c>
      <c r="B39" s="45" t="s">
        <v>156</v>
      </c>
      <c r="C39" s="88">
        <v>1</v>
      </c>
      <c r="D39" s="94">
        <f>300+46</f>
        <v>346</v>
      </c>
      <c r="E39" s="103"/>
      <c r="F39" s="25"/>
      <c r="G39" s="71"/>
      <c r="J39" s="100" t="s">
        <v>70</v>
      </c>
      <c r="K39" s="101">
        <f>+SUMIFS(tbl_WI[Tiempo de Espera (seg..)],tbl_WI[ELEMENTO],"*"&amp;$J39&amp;"*",tbl_WI['# Operador],K$2)</f>
        <v>0</v>
      </c>
      <c r="L39" s="101">
        <f>+SUMIFS(tbl_WI[Tiempo de Espera (seg..)],tbl_WI[ELEMENTO],"*"&amp;$J39&amp;"*",tbl_WI['# Operador],L$2)</f>
        <v>0</v>
      </c>
      <c r="M39" s="101">
        <f>+SUMIFS(tbl_WI[Tiempo de Espera (seg..)],tbl_WI[ELEMENTO],"*"&amp;$J39&amp;"*",tbl_WI['# Operador],M$2)</f>
        <v>0</v>
      </c>
      <c r="N39" s="101">
        <f>+SUMIFS(tbl_WI[Tiempo de Espera (seg..)],tbl_WI[ELEMENTO],"*"&amp;$J39&amp;"*",tbl_WI['# Operador],N$2)</f>
        <v>0</v>
      </c>
      <c r="O39" s="101">
        <f>+SUMIFS(tbl_WI[Tiempo de Espera (seg..)],tbl_WI[ELEMENTO],"*"&amp;$J39&amp;"*",tbl_WI['# Operador],O$2)</f>
        <v>0</v>
      </c>
      <c r="P39" s="101">
        <f>+SUMIFS(tbl_WI[Tiempo de Espera (seg..)],tbl_WI[ELEMENTO],"*"&amp;$J39&amp;"*",tbl_WI['# Operador],P$2)</f>
        <v>633</v>
      </c>
      <c r="Q39" s="101">
        <f>+SUMIFS(tbl_WI[Tiempo de Espera (seg..)],tbl_WI[ELEMENTO],"*"&amp;$J39&amp;"*",tbl_WI['# Operador],Q$2)</f>
        <v>234</v>
      </c>
      <c r="R39" s="101">
        <f>+SUMIFS(tbl_WI[Tiempo de Espera (seg..)],tbl_WI[ELEMENTO],"*"&amp;$J39&amp;"*",tbl_WI['# Operador],R$2)</f>
        <v>0</v>
      </c>
      <c r="S39" s="101">
        <f>+SUMIFS(tbl_WI[Tiempo de Espera (seg..)],tbl_WI[ELEMENTO],"*"&amp;$J39&amp;"*",tbl_WI['# Operador],S$2)</f>
        <v>0</v>
      </c>
      <c r="T39" s="101">
        <f>+SUMIFS(tbl_WI[Tiempo de Espera (seg..)],tbl_WI[ELEMENTO],"*"&amp;$J39&amp;"*",tbl_WI['# Operador],T$2)</f>
        <v>0</v>
      </c>
      <c r="U39" s="101">
        <f>+SUMIFS(tbl_WI[Tiempo de Espera (seg..)],tbl_WI[ELEMENTO],"*"&amp;$J39&amp;"*",tbl_WI['# Operador],U$2)</f>
        <v>0</v>
      </c>
      <c r="V39" s="101">
        <f>+SUMIFS(tbl_WI[Tiempo de Espera (seg..)],tbl_WI[ELEMENTO],"*"&amp;$J39&amp;"*",tbl_WI['# Operador],V$2)</f>
        <v>0</v>
      </c>
      <c r="W39" s="138"/>
    </row>
    <row r="40" spans="1:23" ht="21" customHeight="1" thickBot="1" x14ac:dyDescent="0.35">
      <c r="A40" s="88">
        <f t="shared" ref="A40:A48" si="0">+A39+1</f>
        <v>3</v>
      </c>
      <c r="B40" s="45" t="s">
        <v>157</v>
      </c>
      <c r="C40" s="88">
        <v>1</v>
      </c>
      <c r="D40" s="94">
        <f>300+38</f>
        <v>338</v>
      </c>
      <c r="E40" s="103"/>
      <c r="F40" s="25"/>
      <c r="G40" s="71"/>
      <c r="J40" s="42" t="s">
        <v>37</v>
      </c>
      <c r="K40" s="43">
        <f>(SUM(K39)/('Master Sheet'!$F$5))</f>
        <v>0</v>
      </c>
      <c r="L40" s="43">
        <f>(SUM(L39)/('Master Sheet'!$F$5))</f>
        <v>0</v>
      </c>
      <c r="M40" s="43">
        <f>(SUM(M39)/('Master Sheet'!$F$5))</f>
        <v>0</v>
      </c>
      <c r="N40" s="43">
        <f>(SUM(N39)/('Master Sheet'!$F$5))</f>
        <v>0</v>
      </c>
      <c r="O40" s="43">
        <f>(SUM(O39)/('Master Sheet'!$F$5))</f>
        <v>0</v>
      </c>
      <c r="P40" s="43">
        <f>(SUM(P39)/('Master Sheet'!$F$5))</f>
        <v>0.22442727272727275</v>
      </c>
      <c r="Q40" s="43">
        <f>(SUM(Q39)/('Master Sheet'!$F$5))</f>
        <v>8.2963636363636364E-2</v>
      </c>
      <c r="R40" s="43">
        <f>(SUM(R39)/('Master Sheet'!$F$5))</f>
        <v>0</v>
      </c>
      <c r="S40" s="43">
        <f>(SUM(S39)/('Master Sheet'!$F$5))</f>
        <v>0</v>
      </c>
      <c r="T40" s="43">
        <f>(SUM(T39)/('Master Sheet'!$F$5))</f>
        <v>0</v>
      </c>
      <c r="U40" s="43">
        <f>(SUM(U39)/('Master Sheet'!$F$5))</f>
        <v>0</v>
      </c>
      <c r="V40" s="43">
        <f>(SUM(V39)/('Master Sheet'!$F$5))</f>
        <v>0</v>
      </c>
    </row>
    <row r="41" spans="1:23" ht="21" customHeight="1" x14ac:dyDescent="0.3">
      <c r="A41" s="88">
        <f t="shared" si="0"/>
        <v>4</v>
      </c>
      <c r="B41" s="45" t="s">
        <v>158</v>
      </c>
      <c r="C41" s="88">
        <v>1</v>
      </c>
      <c r="D41" s="94">
        <v>350</v>
      </c>
      <c r="E41" s="103"/>
      <c r="F41" s="25"/>
      <c r="G41" s="71"/>
      <c r="J41" s="136"/>
      <c r="K41" s="137"/>
      <c r="L41" s="137"/>
      <c r="M41" s="137"/>
      <c r="N41" s="137"/>
      <c r="O41" s="137"/>
      <c r="P41" s="137"/>
      <c r="Q41" s="137"/>
      <c r="R41" s="137"/>
      <c r="S41" s="137"/>
      <c r="T41" s="137"/>
      <c r="U41" s="137"/>
      <c r="V41" s="137"/>
    </row>
    <row r="42" spans="1:23" ht="21" customHeight="1" x14ac:dyDescent="0.3">
      <c r="A42" s="88">
        <f t="shared" si="0"/>
        <v>5</v>
      </c>
      <c r="B42" s="45" t="s">
        <v>159</v>
      </c>
      <c r="C42" s="88">
        <v>1</v>
      </c>
      <c r="D42" s="94">
        <v>375</v>
      </c>
      <c r="E42" s="103"/>
      <c r="F42" s="25"/>
      <c r="G42" s="71"/>
      <c r="J42" s="136"/>
      <c r="K42" s="137"/>
      <c r="L42" s="137"/>
      <c r="M42" s="137"/>
      <c r="N42" s="137"/>
      <c r="O42" s="137"/>
      <c r="P42" s="137"/>
      <c r="Q42" s="137"/>
      <c r="R42" s="137"/>
      <c r="S42" s="137"/>
      <c r="T42" s="137"/>
      <c r="U42" s="137"/>
      <c r="V42" s="137"/>
    </row>
    <row r="43" spans="1:23" ht="20.25" customHeight="1" x14ac:dyDescent="0.3">
      <c r="A43" s="88">
        <f t="shared" si="0"/>
        <v>6</v>
      </c>
      <c r="B43" s="45" t="s">
        <v>71</v>
      </c>
      <c r="C43" s="88">
        <v>1</v>
      </c>
      <c r="D43" s="94">
        <f>60+36</f>
        <v>96</v>
      </c>
      <c r="E43" s="103"/>
      <c r="F43" s="25"/>
      <c r="G43" s="71"/>
    </row>
    <row r="44" spans="1:23" ht="20.25" customHeight="1" x14ac:dyDescent="0.3">
      <c r="A44" s="88">
        <f t="shared" si="0"/>
        <v>7</v>
      </c>
      <c r="B44" s="45" t="s">
        <v>72</v>
      </c>
      <c r="C44" s="88">
        <v>1</v>
      </c>
      <c r="D44" s="94">
        <f>60+55</f>
        <v>115</v>
      </c>
      <c r="E44" s="103"/>
      <c r="F44" s="25"/>
      <c r="G44" s="71"/>
    </row>
    <row r="45" spans="1:23" ht="19.95" customHeight="1" x14ac:dyDescent="0.3">
      <c r="A45" s="88">
        <f t="shared" si="0"/>
        <v>8</v>
      </c>
      <c r="B45" s="45" t="s">
        <v>73</v>
      </c>
      <c r="C45" s="88">
        <v>1</v>
      </c>
      <c r="D45" s="94">
        <f>60+58</f>
        <v>118</v>
      </c>
      <c r="E45" s="103"/>
      <c r="F45" s="25"/>
      <c r="G45" s="71"/>
    </row>
    <row r="46" spans="1:23" ht="20.25" customHeight="1" x14ac:dyDescent="0.3">
      <c r="A46" s="88">
        <f t="shared" si="0"/>
        <v>9</v>
      </c>
      <c r="B46" s="45" t="s">
        <v>74</v>
      </c>
      <c r="C46" s="88">
        <v>1</v>
      </c>
      <c r="D46" s="88">
        <f>60+49</f>
        <v>109</v>
      </c>
      <c r="E46" s="102"/>
      <c r="F46" s="104"/>
      <c r="G46" s="105"/>
    </row>
    <row r="47" spans="1:23" ht="20.25" customHeight="1" x14ac:dyDescent="0.3">
      <c r="A47" s="88">
        <f t="shared" si="0"/>
        <v>10</v>
      </c>
      <c r="B47" s="45" t="s">
        <v>75</v>
      </c>
      <c r="C47" s="88">
        <v>1</v>
      </c>
      <c r="D47" s="94">
        <f>60+37</f>
        <v>97</v>
      </c>
      <c r="E47" s="103"/>
      <c r="F47" s="25"/>
      <c r="G47" s="71"/>
    </row>
    <row r="48" spans="1:23" ht="20.25" customHeight="1" x14ac:dyDescent="0.3">
      <c r="A48" s="88">
        <f t="shared" si="0"/>
        <v>11</v>
      </c>
      <c r="B48" s="45" t="s">
        <v>76</v>
      </c>
      <c r="C48" s="88">
        <v>1</v>
      </c>
      <c r="D48" s="94">
        <v>121</v>
      </c>
      <c r="E48" s="103"/>
      <c r="F48" s="25"/>
      <c r="G48" s="71"/>
    </row>
    <row r="49" spans="1:7" ht="20.25" customHeight="1" x14ac:dyDescent="0.25">
      <c r="A49" s="88"/>
      <c r="B49" s="129" t="s">
        <v>77</v>
      </c>
      <c r="C49" s="88">
        <v>2</v>
      </c>
      <c r="D49" s="88"/>
      <c r="E49" s="88"/>
      <c r="F49" s="88"/>
      <c r="G49" s="88"/>
    </row>
    <row r="50" spans="1:7" ht="20.25" customHeight="1" x14ac:dyDescent="0.3">
      <c r="A50" s="88">
        <v>1</v>
      </c>
      <c r="B50" s="45" t="s">
        <v>78</v>
      </c>
      <c r="C50" s="88">
        <v>2</v>
      </c>
      <c r="D50" s="94">
        <v>200</v>
      </c>
      <c r="E50" s="103"/>
      <c r="F50" s="25"/>
      <c r="G50" s="71"/>
    </row>
    <row r="51" spans="1:7" ht="20.25" customHeight="1" x14ac:dyDescent="0.3">
      <c r="A51" s="88">
        <v>2</v>
      </c>
      <c r="B51" s="45" t="s">
        <v>79</v>
      </c>
      <c r="C51" s="88">
        <v>2</v>
      </c>
      <c r="D51" s="94">
        <f>60+48</f>
        <v>108</v>
      </c>
      <c r="E51" s="103"/>
      <c r="F51" s="25"/>
      <c r="G51" s="71"/>
    </row>
    <row r="52" spans="1:7" ht="20.25" customHeight="1" x14ac:dyDescent="0.3">
      <c r="A52" s="88">
        <v>3</v>
      </c>
      <c r="B52" s="45" t="s">
        <v>80</v>
      </c>
      <c r="C52" s="88">
        <v>2</v>
      </c>
      <c r="D52" s="94"/>
      <c r="E52" s="103">
        <f>60+24</f>
        <v>84</v>
      </c>
      <c r="F52" s="25"/>
      <c r="G52" s="71"/>
    </row>
    <row r="53" spans="1:7" ht="20.25" customHeight="1" x14ac:dyDescent="0.3">
      <c r="A53" s="88">
        <v>4</v>
      </c>
      <c r="B53" s="45" t="s">
        <v>81</v>
      </c>
      <c r="C53" s="88">
        <v>2</v>
      </c>
      <c r="D53" s="94">
        <f>120+31</f>
        <v>151</v>
      </c>
      <c r="E53" s="103"/>
      <c r="F53" s="25"/>
      <c r="G53" s="71"/>
    </row>
    <row r="54" spans="1:7" ht="20.25" customHeight="1" x14ac:dyDescent="0.3">
      <c r="A54" s="88">
        <v>5</v>
      </c>
      <c r="B54" s="45" t="s">
        <v>82</v>
      </c>
      <c r="C54" s="88">
        <v>2</v>
      </c>
      <c r="D54" s="94"/>
      <c r="E54" s="103">
        <v>19</v>
      </c>
      <c r="F54" s="25"/>
      <c r="G54" s="71"/>
    </row>
    <row r="55" spans="1:7" ht="20.25" customHeight="1" x14ac:dyDescent="0.3">
      <c r="A55" s="88">
        <v>6</v>
      </c>
      <c r="B55" s="45" t="s">
        <v>83</v>
      </c>
      <c r="C55" s="88">
        <v>2</v>
      </c>
      <c r="D55" s="106">
        <f>1080+43</f>
        <v>1123</v>
      </c>
      <c r="E55" s="107"/>
      <c r="F55" s="108"/>
      <c r="G55" s="109"/>
    </row>
    <row r="56" spans="1:7" ht="20.25" customHeight="1" x14ac:dyDescent="0.25">
      <c r="A56" s="88"/>
      <c r="B56" s="129" t="s">
        <v>84</v>
      </c>
      <c r="C56" s="88">
        <v>3</v>
      </c>
      <c r="D56" s="88"/>
      <c r="E56" s="88"/>
      <c r="F56" s="88"/>
      <c r="G56" s="88"/>
    </row>
    <row r="57" spans="1:7" ht="20.25" customHeight="1" x14ac:dyDescent="0.3">
      <c r="A57" s="88">
        <v>1</v>
      </c>
      <c r="B57" s="45" t="s">
        <v>85</v>
      </c>
      <c r="C57" s="88">
        <v>3</v>
      </c>
      <c r="D57" s="87"/>
      <c r="E57" s="102">
        <f>60+15</f>
        <v>75</v>
      </c>
      <c r="F57" s="104"/>
      <c r="G57" s="105"/>
    </row>
    <row r="58" spans="1:7" ht="20.25" customHeight="1" x14ac:dyDescent="0.3">
      <c r="A58" s="88">
        <v>2</v>
      </c>
      <c r="B58" s="45" t="s">
        <v>86</v>
      </c>
      <c r="C58" s="88">
        <v>3</v>
      </c>
      <c r="D58" s="94"/>
      <c r="E58" s="103">
        <f>120+5</f>
        <v>125</v>
      </c>
      <c r="F58" s="25"/>
      <c r="G58" s="71"/>
    </row>
    <row r="59" spans="1:7" ht="20.25" customHeight="1" x14ac:dyDescent="0.3">
      <c r="A59" s="88">
        <v>3</v>
      </c>
      <c r="B59" s="45" t="s">
        <v>87</v>
      </c>
      <c r="C59" s="88">
        <v>3</v>
      </c>
      <c r="D59" s="94">
        <f>60+46</f>
        <v>106</v>
      </c>
      <c r="E59" s="103"/>
      <c r="F59" s="25"/>
      <c r="G59" s="71"/>
    </row>
    <row r="60" spans="1:7" ht="20.25" customHeight="1" x14ac:dyDescent="0.3">
      <c r="A60" s="88">
        <v>4</v>
      </c>
      <c r="B60" s="45" t="s">
        <v>88</v>
      </c>
      <c r="C60" s="88">
        <v>3</v>
      </c>
      <c r="D60" s="94">
        <f>780+55</f>
        <v>835</v>
      </c>
      <c r="E60" s="103"/>
      <c r="F60" s="25"/>
      <c r="G60" s="71"/>
    </row>
    <row r="61" spans="1:7" ht="20.25" customHeight="1" x14ac:dyDescent="0.3">
      <c r="A61" s="88">
        <v>5</v>
      </c>
      <c r="B61" s="45" t="s">
        <v>89</v>
      </c>
      <c r="C61" s="88">
        <v>3</v>
      </c>
      <c r="D61" s="94">
        <f>120+360+5+120+22</f>
        <v>627</v>
      </c>
      <c r="E61" s="103"/>
      <c r="F61" s="25"/>
      <c r="G61" s="71"/>
    </row>
    <row r="62" spans="1:7" ht="20.25" customHeight="1" x14ac:dyDescent="0.3">
      <c r="A62" s="88">
        <v>6</v>
      </c>
      <c r="B62" s="45" t="s">
        <v>90</v>
      </c>
      <c r="C62" s="88">
        <v>3</v>
      </c>
      <c r="D62" s="94"/>
      <c r="E62" s="103"/>
      <c r="F62" s="25"/>
      <c r="G62" s="71">
        <v>148</v>
      </c>
    </row>
    <row r="63" spans="1:7" ht="20.25" customHeight="1" x14ac:dyDescent="0.3">
      <c r="A63" s="88">
        <v>7</v>
      </c>
      <c r="B63" s="45" t="s">
        <v>91</v>
      </c>
      <c r="C63" s="17">
        <v>3</v>
      </c>
      <c r="D63" s="103">
        <f>60+12</f>
        <v>72</v>
      </c>
      <c r="E63" s="103"/>
      <c r="F63" s="25"/>
      <c r="G63" s="71"/>
    </row>
    <row r="64" spans="1:7" ht="20.25" customHeight="1" x14ac:dyDescent="0.3">
      <c r="A64" s="88">
        <v>8</v>
      </c>
      <c r="B64" s="45" t="s">
        <v>92</v>
      </c>
      <c r="C64" s="17">
        <v>3</v>
      </c>
      <c r="D64" s="103">
        <f>60*5</f>
        <v>300</v>
      </c>
      <c r="E64" s="103"/>
      <c r="F64" s="25"/>
      <c r="G64" s="71"/>
    </row>
    <row r="65" spans="1:7" ht="20.25" customHeight="1" x14ac:dyDescent="0.3">
      <c r="A65" s="88">
        <v>9</v>
      </c>
      <c r="B65" s="45" t="s">
        <v>93</v>
      </c>
      <c r="C65" s="17">
        <v>3</v>
      </c>
      <c r="D65" s="103">
        <f>120+60+12+15</f>
        <v>207</v>
      </c>
      <c r="E65" s="103"/>
      <c r="F65" s="25"/>
      <c r="G65" s="71"/>
    </row>
    <row r="66" spans="1:7" ht="20.25" customHeight="1" x14ac:dyDescent="0.3">
      <c r="A66" s="88">
        <v>10</v>
      </c>
      <c r="B66" s="45" t="s">
        <v>94</v>
      </c>
      <c r="C66" s="17">
        <v>3</v>
      </c>
      <c r="D66" s="94"/>
      <c r="E66" s="103">
        <v>52</v>
      </c>
      <c r="F66" s="25"/>
      <c r="G66" s="71"/>
    </row>
    <row r="67" spans="1:7" ht="20.25" customHeight="1" x14ac:dyDescent="0.3">
      <c r="A67" s="88">
        <v>11</v>
      </c>
      <c r="B67" s="45" t="s">
        <v>95</v>
      </c>
      <c r="C67" s="17">
        <v>3</v>
      </c>
      <c r="D67" s="94">
        <f>120+15</f>
        <v>135</v>
      </c>
      <c r="E67" s="103"/>
      <c r="F67" s="25"/>
      <c r="G67" s="71"/>
    </row>
    <row r="68" spans="1:7" ht="20.25" customHeight="1" x14ac:dyDescent="0.3">
      <c r="A68" s="88">
        <v>12</v>
      </c>
      <c r="B68" s="45" t="s">
        <v>96</v>
      </c>
      <c r="C68" s="17">
        <v>3</v>
      </c>
      <c r="D68" s="94">
        <f>120+39</f>
        <v>159</v>
      </c>
      <c r="E68" s="103"/>
      <c r="F68" s="25"/>
      <c r="G68" s="71"/>
    </row>
    <row r="69" spans="1:7" ht="20.25" customHeight="1" x14ac:dyDescent="0.3">
      <c r="A69" s="88">
        <v>13</v>
      </c>
      <c r="B69" s="45" t="s">
        <v>97</v>
      </c>
      <c r="C69" s="17">
        <v>3</v>
      </c>
      <c r="D69" s="94">
        <v>123</v>
      </c>
      <c r="E69" s="103"/>
      <c r="F69" s="25"/>
      <c r="G69" s="71"/>
    </row>
    <row r="70" spans="1:7" ht="20.25" customHeight="1" x14ac:dyDescent="0.3">
      <c r="A70" s="88">
        <v>14</v>
      </c>
      <c r="B70" s="45" t="s">
        <v>98</v>
      </c>
      <c r="C70" s="17">
        <v>3</v>
      </c>
      <c r="D70" s="94">
        <f>300+19</f>
        <v>319</v>
      </c>
      <c r="E70" s="103"/>
      <c r="F70" s="25"/>
      <c r="G70" s="71"/>
    </row>
    <row r="71" spans="1:7" ht="20.25" customHeight="1" x14ac:dyDescent="0.3">
      <c r="A71" s="88">
        <v>15</v>
      </c>
      <c r="B71" s="45" t="s">
        <v>97</v>
      </c>
      <c r="C71" s="17">
        <v>3</v>
      </c>
      <c r="D71" s="94">
        <f>120+56</f>
        <v>176</v>
      </c>
      <c r="E71" s="103"/>
      <c r="F71" s="25"/>
      <c r="G71" s="71"/>
    </row>
    <row r="72" spans="1:7" ht="20.25" customHeight="1" x14ac:dyDescent="0.3">
      <c r="A72" s="88">
        <v>16</v>
      </c>
      <c r="B72" s="45" t="s">
        <v>99</v>
      </c>
      <c r="C72" s="17">
        <v>3</v>
      </c>
      <c r="D72" s="94">
        <f>180+37</f>
        <v>217</v>
      </c>
      <c r="E72" s="103"/>
      <c r="F72" s="25"/>
      <c r="G72" s="71"/>
    </row>
    <row r="73" spans="1:7" ht="20.25" customHeight="1" x14ac:dyDescent="0.3">
      <c r="A73" s="88">
        <v>17</v>
      </c>
      <c r="B73" s="45" t="s">
        <v>100</v>
      </c>
      <c r="C73" s="17">
        <v>3</v>
      </c>
      <c r="D73" s="94"/>
      <c r="E73" s="103">
        <v>128</v>
      </c>
      <c r="F73" s="25"/>
      <c r="G73" s="71"/>
    </row>
    <row r="74" spans="1:7" ht="20.25" customHeight="1" x14ac:dyDescent="0.25">
      <c r="A74" s="122"/>
      <c r="B74" s="123" t="s">
        <v>101</v>
      </c>
      <c r="C74" s="124">
        <v>1</v>
      </c>
      <c r="D74" s="124"/>
      <c r="E74" s="124"/>
      <c r="F74" s="124"/>
      <c r="G74" s="124"/>
    </row>
    <row r="75" spans="1:7" ht="20.25" customHeight="1" x14ac:dyDescent="0.25">
      <c r="A75" s="86"/>
      <c r="B75" s="129" t="s">
        <v>102</v>
      </c>
      <c r="C75" s="102">
        <v>4</v>
      </c>
      <c r="D75" s="87"/>
      <c r="E75" s="102"/>
      <c r="F75" s="104"/>
      <c r="G75" s="105"/>
    </row>
    <row r="76" spans="1:7" ht="20.25" customHeight="1" x14ac:dyDescent="0.3">
      <c r="A76" s="88">
        <v>1</v>
      </c>
      <c r="B76" s="45" t="s">
        <v>103</v>
      </c>
      <c r="C76" s="17">
        <f>+C75</f>
        <v>4</v>
      </c>
      <c r="D76" s="94">
        <f>60+28+60+55</f>
        <v>203</v>
      </c>
      <c r="E76" s="103"/>
      <c r="F76" s="25"/>
      <c r="G76" s="71"/>
    </row>
    <row r="77" spans="1:7" ht="20.25" customHeight="1" x14ac:dyDescent="0.3">
      <c r="A77" s="131">
        <f>+A76+1</f>
        <v>2</v>
      </c>
      <c r="B77" s="45" t="s">
        <v>104</v>
      </c>
      <c r="C77" s="17">
        <f t="shared" ref="C77:C88" si="1">+C76</f>
        <v>4</v>
      </c>
      <c r="D77" s="94"/>
      <c r="E77" s="103"/>
      <c r="F77" s="25"/>
      <c r="G77" s="71">
        <f>360+56</f>
        <v>416</v>
      </c>
    </row>
    <row r="78" spans="1:7" ht="39" customHeight="1" x14ac:dyDescent="0.3">
      <c r="A78" s="131">
        <f t="shared" ref="A78:A88" si="2">+A77+1</f>
        <v>3</v>
      </c>
      <c r="B78" s="135" t="s">
        <v>105</v>
      </c>
      <c r="C78" s="17">
        <f t="shared" si="1"/>
        <v>4</v>
      </c>
      <c r="D78" s="94"/>
      <c r="E78" s="103"/>
      <c r="F78" s="25"/>
      <c r="G78" s="71">
        <f>360+20+60+3</f>
        <v>443</v>
      </c>
    </row>
    <row r="79" spans="1:7" ht="20.25" customHeight="1" x14ac:dyDescent="0.3">
      <c r="A79" s="131">
        <f t="shared" si="2"/>
        <v>4</v>
      </c>
      <c r="B79" s="45" t="s">
        <v>106</v>
      </c>
      <c r="C79" s="17">
        <f t="shared" si="1"/>
        <v>4</v>
      </c>
      <c r="D79" s="94">
        <f>180+7</f>
        <v>187</v>
      </c>
      <c r="E79" s="103"/>
      <c r="F79" s="25"/>
      <c r="G79" s="71"/>
    </row>
    <row r="80" spans="1:7" ht="20.25" customHeight="1" x14ac:dyDescent="0.3">
      <c r="A80" s="131">
        <f t="shared" si="2"/>
        <v>5</v>
      </c>
      <c r="B80" s="45" t="s">
        <v>107</v>
      </c>
      <c r="C80" s="17">
        <f t="shared" si="1"/>
        <v>4</v>
      </c>
      <c r="D80" s="94">
        <f>60+58</f>
        <v>118</v>
      </c>
      <c r="E80" s="103"/>
      <c r="F80" s="25"/>
      <c r="G80" s="71"/>
    </row>
    <row r="81" spans="1:7" ht="20.25" customHeight="1" x14ac:dyDescent="0.3">
      <c r="A81" s="131">
        <f t="shared" si="2"/>
        <v>6</v>
      </c>
      <c r="B81" s="45" t="s">
        <v>108</v>
      </c>
      <c r="C81" s="17">
        <f t="shared" si="1"/>
        <v>4</v>
      </c>
      <c r="D81" s="94">
        <v>50</v>
      </c>
      <c r="E81" s="103"/>
      <c r="F81" s="25"/>
      <c r="G81" s="71"/>
    </row>
    <row r="82" spans="1:7" ht="20.25" customHeight="1" x14ac:dyDescent="0.3">
      <c r="A82" s="131">
        <f t="shared" si="2"/>
        <v>7</v>
      </c>
      <c r="B82" s="45" t="s">
        <v>109</v>
      </c>
      <c r="C82" s="17">
        <f t="shared" si="1"/>
        <v>4</v>
      </c>
      <c r="D82" s="94">
        <f>180+20</f>
        <v>200</v>
      </c>
      <c r="E82" s="103"/>
      <c r="F82" s="25"/>
      <c r="G82" s="71"/>
    </row>
    <row r="83" spans="1:7" ht="20.25" customHeight="1" x14ac:dyDescent="0.3">
      <c r="A83" s="131">
        <f t="shared" si="2"/>
        <v>8</v>
      </c>
      <c r="B83" s="45" t="s">
        <v>110</v>
      </c>
      <c r="C83" s="17">
        <f t="shared" si="1"/>
        <v>4</v>
      </c>
      <c r="D83" s="94">
        <f>60+16</f>
        <v>76</v>
      </c>
      <c r="E83" s="103"/>
      <c r="F83" s="25"/>
      <c r="G83" s="71"/>
    </row>
    <row r="84" spans="1:7" ht="20.25" customHeight="1" x14ac:dyDescent="0.3">
      <c r="A84" s="131">
        <f t="shared" si="2"/>
        <v>9</v>
      </c>
      <c r="B84" s="45" t="s">
        <v>111</v>
      </c>
      <c r="C84" s="17">
        <f t="shared" si="1"/>
        <v>4</v>
      </c>
      <c r="D84" s="94">
        <f>60+13</f>
        <v>73</v>
      </c>
      <c r="E84" s="103"/>
      <c r="F84" s="25"/>
      <c r="G84" s="71"/>
    </row>
    <row r="85" spans="1:7" ht="20.25" customHeight="1" x14ac:dyDescent="0.3">
      <c r="A85" s="131">
        <f t="shared" si="2"/>
        <v>10</v>
      </c>
      <c r="B85" s="45" t="s">
        <v>112</v>
      </c>
      <c r="C85" s="17">
        <f t="shared" si="1"/>
        <v>4</v>
      </c>
      <c r="D85" s="94"/>
      <c r="E85" s="103"/>
      <c r="F85" s="25"/>
      <c r="G85" s="71">
        <f>180+8</f>
        <v>188</v>
      </c>
    </row>
    <row r="86" spans="1:7" ht="20.25" customHeight="1" x14ac:dyDescent="0.3">
      <c r="A86" s="131">
        <f t="shared" si="2"/>
        <v>11</v>
      </c>
      <c r="B86" s="45" t="s">
        <v>113</v>
      </c>
      <c r="C86" s="17">
        <f t="shared" si="1"/>
        <v>4</v>
      </c>
      <c r="D86" s="94">
        <f>120+30</f>
        <v>150</v>
      </c>
      <c r="E86" s="103"/>
      <c r="F86" s="25"/>
      <c r="G86" s="71"/>
    </row>
    <row r="87" spans="1:7" ht="20.25" customHeight="1" x14ac:dyDescent="0.3">
      <c r="A87" s="131">
        <f t="shared" si="2"/>
        <v>12</v>
      </c>
      <c r="B87" s="45" t="s">
        <v>114</v>
      </c>
      <c r="C87" s="17">
        <f t="shared" si="1"/>
        <v>4</v>
      </c>
      <c r="D87" s="94">
        <f>60+47</f>
        <v>107</v>
      </c>
      <c r="E87" s="103"/>
      <c r="F87" s="25"/>
      <c r="G87" s="71"/>
    </row>
    <row r="88" spans="1:7" ht="20.25" customHeight="1" x14ac:dyDescent="0.3">
      <c r="A88" s="131">
        <f t="shared" si="2"/>
        <v>13</v>
      </c>
      <c r="B88" s="45" t="s">
        <v>115</v>
      </c>
      <c r="C88" s="17">
        <f t="shared" si="1"/>
        <v>4</v>
      </c>
      <c r="D88" s="94">
        <v>24</v>
      </c>
      <c r="E88" s="103"/>
      <c r="F88" s="25"/>
      <c r="G88" s="71"/>
    </row>
    <row r="89" spans="1:7" ht="20.25" customHeight="1" x14ac:dyDescent="0.25">
      <c r="A89" s="86"/>
      <c r="B89" s="129" t="s">
        <v>193</v>
      </c>
      <c r="C89" s="102">
        <f>+C75+1</f>
        <v>5</v>
      </c>
      <c r="D89" s="87"/>
      <c r="E89" s="102"/>
      <c r="F89" s="104"/>
      <c r="G89" s="105"/>
    </row>
    <row r="90" spans="1:7" ht="20.25" customHeight="1" x14ac:dyDescent="0.25">
      <c r="A90" s="86"/>
      <c r="B90" s="129" t="s">
        <v>116</v>
      </c>
      <c r="C90" s="102">
        <f>+C89</f>
        <v>5</v>
      </c>
      <c r="D90" s="87"/>
      <c r="E90" s="102"/>
      <c r="F90" s="104"/>
      <c r="G90" s="105"/>
    </row>
    <row r="91" spans="1:7" ht="20.25" customHeight="1" x14ac:dyDescent="0.3">
      <c r="A91" s="88">
        <v>1</v>
      </c>
      <c r="B91" s="45" t="s">
        <v>117</v>
      </c>
      <c r="C91" s="17">
        <f>+C89</f>
        <v>5</v>
      </c>
      <c r="D91" s="94">
        <f>120+31</f>
        <v>151</v>
      </c>
      <c r="E91" s="103"/>
      <c r="F91" s="25"/>
      <c r="G91" s="71"/>
    </row>
    <row r="92" spans="1:7" ht="20.25" customHeight="1" x14ac:dyDescent="0.3">
      <c r="A92" s="131">
        <f t="shared" ref="A92:A96" si="3">1+A91</f>
        <v>2</v>
      </c>
      <c r="B92" s="45" t="s">
        <v>118</v>
      </c>
      <c r="C92" s="17">
        <f t="shared" ref="C92:C96" si="4">+C90</f>
        <v>5</v>
      </c>
      <c r="D92" s="94">
        <f>180+12+120+14</f>
        <v>326</v>
      </c>
      <c r="E92" s="103"/>
      <c r="F92" s="25"/>
      <c r="G92" s="71"/>
    </row>
    <row r="93" spans="1:7" ht="20.25" customHeight="1" x14ac:dyDescent="0.3">
      <c r="A93" s="131">
        <f t="shared" si="3"/>
        <v>3</v>
      </c>
      <c r="B93" s="45" t="s">
        <v>119</v>
      </c>
      <c r="C93" s="17">
        <f t="shared" si="4"/>
        <v>5</v>
      </c>
      <c r="D93" s="94">
        <v>26</v>
      </c>
      <c r="E93" s="103"/>
      <c r="F93" s="25"/>
      <c r="G93" s="71"/>
    </row>
    <row r="94" spans="1:7" ht="20.25" customHeight="1" x14ac:dyDescent="0.3">
      <c r="A94" s="131">
        <f t="shared" si="3"/>
        <v>4</v>
      </c>
      <c r="B94" s="45" t="s">
        <v>120</v>
      </c>
      <c r="C94" s="17">
        <f t="shared" si="4"/>
        <v>5</v>
      </c>
      <c r="D94" s="94">
        <f>120+14</f>
        <v>134</v>
      </c>
      <c r="E94" s="103"/>
      <c r="F94" s="25"/>
      <c r="G94" s="71"/>
    </row>
    <row r="95" spans="1:7" ht="20.25" customHeight="1" x14ac:dyDescent="0.3">
      <c r="A95" s="131">
        <f t="shared" si="3"/>
        <v>5</v>
      </c>
      <c r="B95" s="45" t="s">
        <v>121</v>
      </c>
      <c r="C95" s="17">
        <f t="shared" si="4"/>
        <v>5</v>
      </c>
      <c r="D95" s="94">
        <v>23</v>
      </c>
      <c r="E95" s="103"/>
      <c r="F95" s="25"/>
      <c r="G95" s="71"/>
    </row>
    <row r="96" spans="1:7" ht="20.25" customHeight="1" x14ac:dyDescent="0.3">
      <c r="A96" s="131">
        <f t="shared" si="3"/>
        <v>6</v>
      </c>
      <c r="B96" s="45" t="s">
        <v>58</v>
      </c>
      <c r="C96" s="17">
        <f t="shared" si="4"/>
        <v>5</v>
      </c>
      <c r="D96" s="94"/>
      <c r="E96" s="103">
        <v>8</v>
      </c>
      <c r="F96" s="25"/>
      <c r="G96" s="71"/>
    </row>
    <row r="97" spans="1:7" ht="20.25" customHeight="1" x14ac:dyDescent="0.25">
      <c r="A97" s="86"/>
      <c r="B97" s="129" t="s">
        <v>122</v>
      </c>
      <c r="C97" s="102">
        <f>+C96</f>
        <v>5</v>
      </c>
      <c r="D97" s="87"/>
      <c r="E97" s="102"/>
      <c r="F97" s="104"/>
      <c r="G97" s="105"/>
    </row>
    <row r="98" spans="1:7" ht="20.25" customHeight="1" x14ac:dyDescent="0.3">
      <c r="A98" s="22">
        <v>1</v>
      </c>
      <c r="B98" s="45" t="s">
        <v>69</v>
      </c>
      <c r="C98" s="17">
        <f>+C97</f>
        <v>5</v>
      </c>
      <c r="D98" s="94"/>
      <c r="E98" s="103">
        <v>50</v>
      </c>
      <c r="F98" s="25"/>
      <c r="G98" s="71"/>
    </row>
    <row r="99" spans="1:7" ht="20.25" customHeight="1" x14ac:dyDescent="0.3">
      <c r="A99" s="22">
        <f>+A98+1</f>
        <v>2</v>
      </c>
      <c r="B99" s="45" t="s">
        <v>123</v>
      </c>
      <c r="C99" s="17">
        <f>+C98</f>
        <v>5</v>
      </c>
      <c r="D99" s="94">
        <f>120+38</f>
        <v>158</v>
      </c>
      <c r="E99" s="103"/>
      <c r="F99" s="25"/>
      <c r="G99" s="71"/>
    </row>
    <row r="100" spans="1:7" ht="20.25" customHeight="1" x14ac:dyDescent="0.25">
      <c r="A100" s="122"/>
      <c r="B100" s="123" t="s">
        <v>150</v>
      </c>
      <c r="C100" s="124">
        <v>1</v>
      </c>
      <c r="D100" s="124"/>
      <c r="E100" s="124"/>
      <c r="F100" s="124"/>
      <c r="G100" s="124"/>
    </row>
    <row r="101" spans="1:7" ht="20.25" customHeight="1" x14ac:dyDescent="0.25">
      <c r="A101" s="86"/>
      <c r="B101" s="129" t="s">
        <v>188</v>
      </c>
      <c r="C101" s="104">
        <f>+C99+1</f>
        <v>6</v>
      </c>
      <c r="D101" s="102"/>
      <c r="E101" s="102"/>
      <c r="F101" s="104"/>
      <c r="G101" s="105"/>
    </row>
    <row r="102" spans="1:7" ht="20.25" customHeight="1" x14ac:dyDescent="0.3">
      <c r="A102" s="22">
        <v>1</v>
      </c>
      <c r="B102" s="45" t="s">
        <v>161</v>
      </c>
      <c r="C102" s="17">
        <f>+C101</f>
        <v>6</v>
      </c>
      <c r="D102" s="94"/>
      <c r="E102" s="103">
        <v>56</v>
      </c>
      <c r="F102" s="25"/>
      <c r="G102" s="71"/>
    </row>
    <row r="103" spans="1:7" ht="20.25" customHeight="1" x14ac:dyDescent="0.3">
      <c r="A103" s="22">
        <f t="shared" ref="A103:A133" si="5">1+A102</f>
        <v>2</v>
      </c>
      <c r="B103" s="45" t="s">
        <v>160</v>
      </c>
      <c r="C103" s="17">
        <f t="shared" ref="C103:C133" si="6">+C102</f>
        <v>6</v>
      </c>
      <c r="D103" s="94"/>
      <c r="E103" s="103">
        <f>180+50+60+48</f>
        <v>338</v>
      </c>
      <c r="F103" s="25"/>
      <c r="G103" s="71"/>
    </row>
    <row r="104" spans="1:7" ht="20.25" customHeight="1" x14ac:dyDescent="0.3">
      <c r="A104" s="22">
        <f t="shared" si="5"/>
        <v>3</v>
      </c>
      <c r="B104" s="45" t="s">
        <v>162</v>
      </c>
      <c r="C104" s="17">
        <f t="shared" si="6"/>
        <v>6</v>
      </c>
      <c r="D104" s="94"/>
      <c r="E104" s="103">
        <v>45</v>
      </c>
      <c r="F104" s="25"/>
      <c r="G104" s="71"/>
    </row>
    <row r="105" spans="1:7" ht="20.25" customHeight="1" x14ac:dyDescent="0.3">
      <c r="A105" s="22">
        <f t="shared" si="5"/>
        <v>4</v>
      </c>
      <c r="B105" s="45" t="s">
        <v>160</v>
      </c>
      <c r="C105" s="17">
        <f t="shared" si="6"/>
        <v>6</v>
      </c>
      <c r="D105" s="94"/>
      <c r="E105" s="103">
        <v>120</v>
      </c>
      <c r="F105" s="25"/>
      <c r="G105" s="71"/>
    </row>
    <row r="106" spans="1:7" ht="20.25" customHeight="1" x14ac:dyDescent="0.3">
      <c r="A106" s="22">
        <f t="shared" si="5"/>
        <v>5</v>
      </c>
      <c r="B106" s="45" t="s">
        <v>163</v>
      </c>
      <c r="C106" s="17">
        <f t="shared" si="6"/>
        <v>6</v>
      </c>
      <c r="D106" s="94">
        <f>60+21</f>
        <v>81</v>
      </c>
      <c r="E106" s="103"/>
      <c r="F106" s="25"/>
      <c r="G106" s="71"/>
    </row>
    <row r="107" spans="1:7" ht="20.25" customHeight="1" x14ac:dyDescent="0.3">
      <c r="A107" s="22">
        <f t="shared" si="5"/>
        <v>6</v>
      </c>
      <c r="B107" s="45" t="s">
        <v>164</v>
      </c>
      <c r="C107" s="17">
        <f t="shared" si="6"/>
        <v>6</v>
      </c>
      <c r="D107" s="94">
        <f>300+7+60+9+20</f>
        <v>396</v>
      </c>
      <c r="E107" s="103"/>
      <c r="F107" s="25"/>
      <c r="G107" s="71"/>
    </row>
    <row r="108" spans="1:7" ht="20.25" customHeight="1" x14ac:dyDescent="0.3">
      <c r="A108" s="22">
        <f t="shared" si="5"/>
        <v>7</v>
      </c>
      <c r="B108" s="45" t="s">
        <v>165</v>
      </c>
      <c r="C108" s="17">
        <f t="shared" si="6"/>
        <v>6</v>
      </c>
      <c r="D108" s="94">
        <v>128</v>
      </c>
      <c r="E108" s="103"/>
      <c r="F108" s="25"/>
      <c r="G108" s="71"/>
    </row>
    <row r="109" spans="1:7" ht="20.25" customHeight="1" x14ac:dyDescent="0.3">
      <c r="A109" s="22">
        <f t="shared" si="5"/>
        <v>8</v>
      </c>
      <c r="B109" s="45" t="s">
        <v>166</v>
      </c>
      <c r="C109" s="17">
        <f t="shared" si="6"/>
        <v>6</v>
      </c>
      <c r="D109" s="94"/>
      <c r="E109" s="103">
        <v>17</v>
      </c>
      <c r="F109" s="25"/>
      <c r="G109" s="71"/>
    </row>
    <row r="110" spans="1:7" ht="20.25" customHeight="1" x14ac:dyDescent="0.3">
      <c r="A110" s="22">
        <f t="shared" si="5"/>
        <v>9</v>
      </c>
      <c r="B110" s="45" t="s">
        <v>69</v>
      </c>
      <c r="C110" s="17">
        <f t="shared" si="6"/>
        <v>6</v>
      </c>
      <c r="D110" s="94"/>
      <c r="E110" s="103">
        <v>38</v>
      </c>
      <c r="F110" s="25"/>
      <c r="G110" s="71"/>
    </row>
    <row r="111" spans="1:7" ht="20.25" customHeight="1" x14ac:dyDescent="0.3">
      <c r="A111" s="22">
        <f t="shared" si="5"/>
        <v>10</v>
      </c>
      <c r="B111" s="45" t="s">
        <v>167</v>
      </c>
      <c r="C111" s="17">
        <f t="shared" si="6"/>
        <v>6</v>
      </c>
      <c r="D111" s="94">
        <v>116</v>
      </c>
      <c r="E111" s="103"/>
      <c r="F111" s="25"/>
      <c r="G111" s="71"/>
    </row>
    <row r="112" spans="1:7" ht="20.25" customHeight="1" x14ac:dyDescent="0.3">
      <c r="A112" s="22">
        <f t="shared" si="5"/>
        <v>11</v>
      </c>
      <c r="B112" s="45" t="s">
        <v>168</v>
      </c>
      <c r="C112" s="17">
        <f t="shared" si="6"/>
        <v>6</v>
      </c>
      <c r="D112" s="94">
        <f>240+12</f>
        <v>252</v>
      </c>
      <c r="E112" s="103"/>
      <c r="F112" s="25"/>
      <c r="G112" s="71"/>
    </row>
    <row r="113" spans="1:7" ht="20.25" customHeight="1" x14ac:dyDescent="0.3">
      <c r="A113" s="22">
        <f t="shared" si="5"/>
        <v>12</v>
      </c>
      <c r="B113" s="45" t="s">
        <v>169</v>
      </c>
      <c r="C113" s="17">
        <f t="shared" si="6"/>
        <v>6</v>
      </c>
      <c r="D113" s="94">
        <v>121</v>
      </c>
      <c r="E113" s="103"/>
      <c r="F113" s="25"/>
      <c r="G113" s="71"/>
    </row>
    <row r="114" spans="1:7" ht="20.25" customHeight="1" x14ac:dyDescent="0.3">
      <c r="A114" s="22">
        <f t="shared" si="5"/>
        <v>13</v>
      </c>
      <c r="B114" s="45" t="s">
        <v>170</v>
      </c>
      <c r="C114" s="17">
        <f t="shared" si="6"/>
        <v>6</v>
      </c>
      <c r="D114" s="94">
        <f>60+240+33</f>
        <v>333</v>
      </c>
      <c r="E114" s="103"/>
      <c r="F114" s="25"/>
      <c r="G114" s="71"/>
    </row>
    <row r="115" spans="1:7" ht="20.25" customHeight="1" x14ac:dyDescent="0.3">
      <c r="A115" s="22">
        <f t="shared" si="5"/>
        <v>14</v>
      </c>
      <c r="B115" s="45" t="s">
        <v>166</v>
      </c>
      <c r="C115" s="17">
        <f t="shared" si="6"/>
        <v>6</v>
      </c>
      <c r="D115" s="94"/>
      <c r="E115" s="103">
        <v>17</v>
      </c>
      <c r="F115" s="25"/>
      <c r="G115" s="71"/>
    </row>
    <row r="116" spans="1:7" ht="20.25" customHeight="1" x14ac:dyDescent="0.3">
      <c r="A116" s="22">
        <f t="shared" si="5"/>
        <v>15</v>
      </c>
      <c r="B116" s="45" t="s">
        <v>160</v>
      </c>
      <c r="C116" s="17">
        <f t="shared" si="6"/>
        <v>6</v>
      </c>
      <c r="D116" s="94"/>
      <c r="E116" s="103">
        <f>60+44</f>
        <v>104</v>
      </c>
      <c r="F116" s="25"/>
      <c r="G116" s="71"/>
    </row>
    <row r="117" spans="1:7" ht="19.95" customHeight="1" x14ac:dyDescent="0.3">
      <c r="A117" s="22">
        <f t="shared" si="5"/>
        <v>16</v>
      </c>
      <c r="B117" s="45" t="s">
        <v>171</v>
      </c>
      <c r="C117" s="17">
        <f t="shared" si="6"/>
        <v>6</v>
      </c>
      <c r="D117" s="94">
        <v>304</v>
      </c>
      <c r="E117" s="103"/>
      <c r="F117" s="25"/>
      <c r="G117" s="71"/>
    </row>
    <row r="118" spans="1:7" ht="20.25" customHeight="1" x14ac:dyDescent="0.3">
      <c r="A118" s="22">
        <f t="shared" si="5"/>
        <v>17</v>
      </c>
      <c r="B118" s="45" t="s">
        <v>172</v>
      </c>
      <c r="C118" s="17">
        <f t="shared" si="6"/>
        <v>6</v>
      </c>
      <c r="D118" s="94"/>
      <c r="E118" s="103">
        <v>36</v>
      </c>
      <c r="F118" s="25"/>
      <c r="G118" s="71"/>
    </row>
    <row r="119" spans="1:7" ht="20.25" customHeight="1" x14ac:dyDescent="0.3">
      <c r="A119" s="22">
        <f t="shared" si="5"/>
        <v>18</v>
      </c>
      <c r="B119" s="45" t="s">
        <v>173</v>
      </c>
      <c r="C119" s="17">
        <f t="shared" si="6"/>
        <v>6</v>
      </c>
      <c r="D119" s="94">
        <f>54+50+120</f>
        <v>224</v>
      </c>
      <c r="E119" s="139"/>
      <c r="F119" s="25"/>
      <c r="G119" s="71"/>
    </row>
    <row r="120" spans="1:7" ht="20.25" customHeight="1" x14ac:dyDescent="0.3">
      <c r="A120" s="22">
        <f t="shared" si="5"/>
        <v>19</v>
      </c>
      <c r="B120" s="45" t="s">
        <v>174</v>
      </c>
      <c r="C120" s="17">
        <f t="shared" si="6"/>
        <v>6</v>
      </c>
      <c r="D120" s="94">
        <f>120+59</f>
        <v>179</v>
      </c>
      <c r="E120" s="139"/>
      <c r="F120" s="25"/>
      <c r="G120" s="71"/>
    </row>
    <row r="121" spans="1:7" ht="20.25" customHeight="1" x14ac:dyDescent="0.3">
      <c r="A121" s="22">
        <f t="shared" si="5"/>
        <v>20</v>
      </c>
      <c r="B121" s="45" t="s">
        <v>175</v>
      </c>
      <c r="C121" s="17">
        <f t="shared" si="6"/>
        <v>6</v>
      </c>
      <c r="D121" s="94"/>
      <c r="E121" s="139">
        <v>53</v>
      </c>
      <c r="F121" s="25"/>
      <c r="G121" s="71"/>
    </row>
    <row r="122" spans="1:7" ht="20.25" customHeight="1" x14ac:dyDescent="0.3">
      <c r="A122" s="22">
        <f t="shared" si="5"/>
        <v>21</v>
      </c>
      <c r="B122" s="45" t="s">
        <v>176</v>
      </c>
      <c r="C122" s="17">
        <f t="shared" si="6"/>
        <v>6</v>
      </c>
      <c r="D122" s="94">
        <v>49</v>
      </c>
      <c r="E122" s="139"/>
      <c r="F122" s="25"/>
      <c r="G122" s="71"/>
    </row>
    <row r="123" spans="1:7" ht="20.25" customHeight="1" x14ac:dyDescent="0.3">
      <c r="A123" s="22">
        <f t="shared" si="5"/>
        <v>22</v>
      </c>
      <c r="B123" s="45" t="s">
        <v>177</v>
      </c>
      <c r="C123" s="17">
        <f t="shared" si="6"/>
        <v>6</v>
      </c>
      <c r="D123" s="94">
        <f>360+45</f>
        <v>405</v>
      </c>
      <c r="E123" s="139"/>
      <c r="F123" s="25"/>
      <c r="G123" s="71"/>
    </row>
    <row r="124" spans="1:7" ht="20.25" customHeight="1" x14ac:dyDescent="0.3">
      <c r="A124" s="22">
        <f t="shared" si="5"/>
        <v>23</v>
      </c>
      <c r="B124" s="45" t="s">
        <v>178</v>
      </c>
      <c r="C124" s="17">
        <f t="shared" si="6"/>
        <v>6</v>
      </c>
      <c r="D124" s="94">
        <f>240+36</f>
        <v>276</v>
      </c>
      <c r="E124" s="139"/>
      <c r="F124" s="25"/>
      <c r="G124" s="71"/>
    </row>
    <row r="125" spans="1:7" ht="20.25" customHeight="1" x14ac:dyDescent="0.3">
      <c r="A125" s="22">
        <f t="shared" si="5"/>
        <v>24</v>
      </c>
      <c r="B125" s="45" t="s">
        <v>185</v>
      </c>
      <c r="C125" s="17">
        <f t="shared" si="6"/>
        <v>6</v>
      </c>
      <c r="D125" s="94">
        <f>1080+35</f>
        <v>1115</v>
      </c>
      <c r="E125" s="139"/>
      <c r="F125" s="25"/>
      <c r="G125" s="71"/>
    </row>
    <row r="126" spans="1:7" ht="20.25" customHeight="1" x14ac:dyDescent="0.3">
      <c r="A126" s="22">
        <f t="shared" si="5"/>
        <v>25</v>
      </c>
      <c r="B126" s="45" t="s">
        <v>179</v>
      </c>
      <c r="C126" s="17">
        <f t="shared" si="6"/>
        <v>6</v>
      </c>
      <c r="D126" s="94">
        <v>128</v>
      </c>
      <c r="E126" s="139"/>
      <c r="F126" s="25"/>
      <c r="G126" s="71"/>
    </row>
    <row r="127" spans="1:7" ht="20.25" customHeight="1" x14ac:dyDescent="0.3">
      <c r="A127" s="22">
        <f t="shared" si="5"/>
        <v>26</v>
      </c>
      <c r="B127" s="45" t="s">
        <v>180</v>
      </c>
      <c r="C127" s="17">
        <f t="shared" si="6"/>
        <v>6</v>
      </c>
      <c r="D127" s="94">
        <v>115</v>
      </c>
      <c r="E127" s="139"/>
      <c r="F127" s="25"/>
      <c r="G127" s="71"/>
    </row>
    <row r="128" spans="1:7" ht="20.25" customHeight="1" x14ac:dyDescent="0.3">
      <c r="A128" s="22">
        <f t="shared" si="5"/>
        <v>27</v>
      </c>
      <c r="B128" s="45" t="s">
        <v>181</v>
      </c>
      <c r="C128" s="17">
        <f t="shared" si="6"/>
        <v>6</v>
      </c>
      <c r="D128" s="94">
        <f>120+29</f>
        <v>149</v>
      </c>
      <c r="E128" s="139"/>
      <c r="F128" s="25"/>
      <c r="G128" s="71"/>
    </row>
    <row r="129" spans="1:12" ht="20.25" customHeight="1" x14ac:dyDescent="0.3">
      <c r="A129" s="22">
        <f t="shared" si="5"/>
        <v>28</v>
      </c>
      <c r="B129" s="45" t="s">
        <v>182</v>
      </c>
      <c r="C129" s="17">
        <f t="shared" si="6"/>
        <v>6</v>
      </c>
      <c r="D129" s="94"/>
      <c r="E129" s="139">
        <v>40</v>
      </c>
      <c r="F129" s="25"/>
      <c r="G129" s="71"/>
    </row>
    <row r="130" spans="1:12" ht="20.25" customHeight="1" x14ac:dyDescent="0.3">
      <c r="A130" s="22">
        <f t="shared" si="5"/>
        <v>29</v>
      </c>
      <c r="B130" s="45" t="s">
        <v>160</v>
      </c>
      <c r="C130" s="17">
        <f t="shared" si="6"/>
        <v>6</v>
      </c>
      <c r="D130" s="94"/>
      <c r="E130" s="139">
        <f>120+20</f>
        <v>140</v>
      </c>
      <c r="F130" s="25"/>
      <c r="G130" s="71"/>
    </row>
    <row r="131" spans="1:12" ht="20.25" customHeight="1" x14ac:dyDescent="0.3">
      <c r="A131" s="22">
        <f t="shared" si="5"/>
        <v>30</v>
      </c>
      <c r="B131" s="45" t="s">
        <v>183</v>
      </c>
      <c r="C131" s="17">
        <f t="shared" si="6"/>
        <v>6</v>
      </c>
      <c r="D131" s="94"/>
      <c r="E131" s="139"/>
      <c r="F131" s="25"/>
      <c r="G131" s="71">
        <f>360+48</f>
        <v>408</v>
      </c>
    </row>
    <row r="132" spans="1:12" ht="20.25" customHeight="1" x14ac:dyDescent="0.3">
      <c r="A132" s="22">
        <f t="shared" si="5"/>
        <v>31</v>
      </c>
      <c r="B132" s="45" t="s">
        <v>184</v>
      </c>
      <c r="C132" s="17">
        <f t="shared" si="6"/>
        <v>6</v>
      </c>
      <c r="D132" s="94"/>
      <c r="E132" s="139"/>
      <c r="F132" s="25">
        <f>600+33</f>
        <v>633</v>
      </c>
      <c r="G132" s="71"/>
    </row>
    <row r="133" spans="1:12" ht="20.25" customHeight="1" x14ac:dyDescent="0.3">
      <c r="A133" s="22">
        <f t="shared" si="5"/>
        <v>32</v>
      </c>
      <c r="B133" s="45" t="s">
        <v>186</v>
      </c>
      <c r="C133" s="17">
        <f t="shared" si="6"/>
        <v>6</v>
      </c>
      <c r="D133" s="94"/>
      <c r="E133" s="139">
        <v>181</v>
      </c>
      <c r="F133" s="25"/>
      <c r="G133" s="71"/>
    </row>
    <row r="134" spans="1:12" ht="20.25" customHeight="1" x14ac:dyDescent="0.3">
      <c r="A134" s="86"/>
      <c r="B134" s="129" t="s">
        <v>187</v>
      </c>
      <c r="C134" s="104">
        <f>+C101+1</f>
        <v>7</v>
      </c>
      <c r="D134" s="88"/>
      <c r="E134" s="95"/>
      <c r="F134" s="96"/>
      <c r="G134" s="97"/>
      <c r="J134" s="140" t="s">
        <v>196</v>
      </c>
      <c r="K134" s="140" t="s">
        <v>197</v>
      </c>
      <c r="L134" s="140" t="s">
        <v>198</v>
      </c>
    </row>
    <row r="135" spans="1:12" ht="20.25" customHeight="1" x14ac:dyDescent="0.3">
      <c r="A135" s="22">
        <v>1</v>
      </c>
      <c r="B135" s="45" t="s">
        <v>194</v>
      </c>
      <c r="C135" s="17">
        <v>7</v>
      </c>
      <c r="D135" s="94"/>
      <c r="E135" s="103">
        <v>96</v>
      </c>
      <c r="F135" s="25"/>
      <c r="G135" s="71"/>
      <c r="J135" s="141">
        <v>0</v>
      </c>
      <c r="K135" s="141">
        <v>1.1111111111111111E-3</v>
      </c>
      <c r="L135" s="142">
        <f t="shared" ref="L135:L140" si="7">(K135-J135)*86400</f>
        <v>96</v>
      </c>
    </row>
    <row r="136" spans="1:12" ht="20.25" customHeight="1" x14ac:dyDescent="0.3">
      <c r="A136" s="22">
        <f t="shared" ref="A136:A190" si="8">+A135+1</f>
        <v>2</v>
      </c>
      <c r="B136" s="45" t="s">
        <v>195</v>
      </c>
      <c r="C136" s="17">
        <v>7</v>
      </c>
      <c r="D136" s="94"/>
      <c r="E136" s="103">
        <v>124</v>
      </c>
      <c r="F136" s="25"/>
      <c r="G136" s="71"/>
      <c r="J136" s="141">
        <f t="shared" ref="J136:J146" si="9">K135</f>
        <v>1.1111111111111111E-3</v>
      </c>
      <c r="K136" s="141">
        <v>2.5462962962962965E-3</v>
      </c>
      <c r="L136" s="142">
        <f t="shared" si="7"/>
        <v>124.00000000000001</v>
      </c>
    </row>
    <row r="137" spans="1:12" ht="20.25" customHeight="1" x14ac:dyDescent="0.3">
      <c r="A137" s="22">
        <f t="shared" si="8"/>
        <v>3</v>
      </c>
      <c r="B137" s="45" t="s">
        <v>199</v>
      </c>
      <c r="C137" s="17">
        <v>7</v>
      </c>
      <c r="D137" s="94"/>
      <c r="E137" s="103"/>
      <c r="F137" s="25"/>
      <c r="G137" s="71">
        <v>29</v>
      </c>
      <c r="J137" s="141">
        <f t="shared" si="9"/>
        <v>2.5462962962962965E-3</v>
      </c>
      <c r="K137" s="141">
        <v>2.8819444444444444E-3</v>
      </c>
      <c r="L137" s="142">
        <f t="shared" si="7"/>
        <v>28.999999999999975</v>
      </c>
    </row>
    <row r="138" spans="1:12" ht="20.25" customHeight="1" x14ac:dyDescent="0.3">
      <c r="A138" s="22">
        <f t="shared" si="8"/>
        <v>4</v>
      </c>
      <c r="B138" s="45" t="s">
        <v>200</v>
      </c>
      <c r="C138" s="17">
        <v>7</v>
      </c>
      <c r="D138" s="94">
        <v>63</v>
      </c>
      <c r="E138" s="103"/>
      <c r="F138" s="25"/>
      <c r="G138" s="71"/>
      <c r="J138" s="141">
        <f t="shared" si="9"/>
        <v>2.8819444444444444E-3</v>
      </c>
      <c r="K138" s="141">
        <v>3.6111111111111109E-3</v>
      </c>
      <c r="L138" s="142">
        <f t="shared" si="7"/>
        <v>62.999999999999993</v>
      </c>
    </row>
    <row r="139" spans="1:12" ht="20.25" customHeight="1" x14ac:dyDescent="0.3">
      <c r="A139" s="22">
        <f t="shared" si="8"/>
        <v>5</v>
      </c>
      <c r="B139" s="45" t="s">
        <v>201</v>
      </c>
      <c r="C139" s="17">
        <v>7</v>
      </c>
      <c r="D139" s="94">
        <v>36</v>
      </c>
      <c r="E139" s="103"/>
      <c r="F139" s="25"/>
      <c r="G139" s="71"/>
      <c r="J139" s="141">
        <f t="shared" si="9"/>
        <v>3.6111111111111109E-3</v>
      </c>
      <c r="K139" s="141">
        <v>4.0277777777777777E-3</v>
      </c>
      <c r="L139" s="142">
        <f t="shared" si="7"/>
        <v>36.000000000000007</v>
      </c>
    </row>
    <row r="140" spans="1:12" ht="20.25" customHeight="1" x14ac:dyDescent="0.3">
      <c r="A140" s="22">
        <f t="shared" si="8"/>
        <v>6</v>
      </c>
      <c r="B140" s="45" t="s">
        <v>202</v>
      </c>
      <c r="C140" s="17">
        <v>7</v>
      </c>
      <c r="D140" s="94">
        <v>39</v>
      </c>
      <c r="E140" s="103"/>
      <c r="F140" s="25"/>
      <c r="G140" s="71"/>
      <c r="J140" s="141">
        <f t="shared" si="9"/>
        <v>4.0277777777777777E-3</v>
      </c>
      <c r="K140" s="141">
        <v>4.4791666666666669E-3</v>
      </c>
      <c r="L140" s="142">
        <f t="shared" si="7"/>
        <v>39.000000000000028</v>
      </c>
    </row>
    <row r="141" spans="1:12" ht="20.25" customHeight="1" x14ac:dyDescent="0.3">
      <c r="A141" s="22">
        <f t="shared" si="8"/>
        <v>7</v>
      </c>
      <c r="B141" s="45" t="s">
        <v>203</v>
      </c>
      <c r="C141" s="17">
        <v>7</v>
      </c>
      <c r="D141" s="94"/>
      <c r="E141" s="103"/>
      <c r="F141" s="25"/>
      <c r="G141" s="71">
        <v>40</v>
      </c>
      <c r="J141" s="141">
        <f t="shared" si="9"/>
        <v>4.4791666666666669E-3</v>
      </c>
      <c r="K141" s="141">
        <v>4.9421296296296297E-3</v>
      </c>
      <c r="L141" s="142">
        <f t="shared" ref="L141:L168" si="10">(K141-J141)*86400</f>
        <v>39.999999999999986</v>
      </c>
    </row>
    <row r="142" spans="1:12" ht="20.25" customHeight="1" x14ac:dyDescent="0.3">
      <c r="A142" s="22">
        <f t="shared" si="8"/>
        <v>8</v>
      </c>
      <c r="B142" s="45" t="s">
        <v>205</v>
      </c>
      <c r="C142" s="17">
        <v>7</v>
      </c>
      <c r="D142" s="94">
        <v>61</v>
      </c>
      <c r="E142" s="103"/>
      <c r="F142" s="25"/>
      <c r="G142" s="71"/>
      <c r="J142" s="141">
        <f t="shared" si="9"/>
        <v>4.9421296296296297E-3</v>
      </c>
      <c r="K142" s="141">
        <v>5.6481481481481478E-3</v>
      </c>
      <c r="L142" s="142">
        <f t="shared" si="10"/>
        <v>60.999999999999972</v>
      </c>
    </row>
    <row r="143" spans="1:12" ht="20.25" customHeight="1" x14ac:dyDescent="0.3">
      <c r="A143" s="22">
        <f t="shared" si="8"/>
        <v>9</v>
      </c>
      <c r="B143" s="45" t="s">
        <v>206</v>
      </c>
      <c r="C143" s="17">
        <v>7</v>
      </c>
      <c r="D143" s="94"/>
      <c r="E143" s="103">
        <v>54</v>
      </c>
      <c r="F143" s="25"/>
      <c r="G143" s="71"/>
      <c r="J143" s="141">
        <f t="shared" si="9"/>
        <v>5.6481481481481478E-3</v>
      </c>
      <c r="K143" s="141">
        <v>6.2731481481481484E-3</v>
      </c>
      <c r="L143" s="142">
        <f t="shared" si="10"/>
        <v>54.00000000000005</v>
      </c>
    </row>
    <row r="144" spans="1:12" ht="20.25" customHeight="1" x14ac:dyDescent="0.3">
      <c r="A144" s="22">
        <f t="shared" si="8"/>
        <v>10</v>
      </c>
      <c r="B144" s="45" t="s">
        <v>203</v>
      </c>
      <c r="C144" s="17">
        <v>7</v>
      </c>
      <c r="D144" s="94"/>
      <c r="E144" s="103"/>
      <c r="F144" s="25"/>
      <c r="G144" s="71">
        <v>19</v>
      </c>
      <c r="J144" s="141">
        <f t="shared" si="9"/>
        <v>6.2731481481481484E-3</v>
      </c>
      <c r="K144" s="141">
        <v>6.4930555555555557E-3</v>
      </c>
      <c r="L144" s="142">
        <f t="shared" si="10"/>
        <v>18.999999999999996</v>
      </c>
    </row>
    <row r="145" spans="1:12" ht="20.25" customHeight="1" x14ac:dyDescent="0.3">
      <c r="A145" s="22">
        <f t="shared" si="8"/>
        <v>11</v>
      </c>
      <c r="B145" s="45" t="s">
        <v>207</v>
      </c>
      <c r="C145" s="17">
        <v>7</v>
      </c>
      <c r="D145" s="94">
        <v>132</v>
      </c>
      <c r="E145" s="103"/>
      <c r="F145" s="25"/>
      <c r="G145" s="71"/>
      <c r="J145" s="141">
        <f t="shared" si="9"/>
        <v>6.4930555555555557E-3</v>
      </c>
      <c r="K145" s="141">
        <v>8.0208333333333329E-3</v>
      </c>
      <c r="L145" s="142">
        <f t="shared" si="10"/>
        <v>131.99999999999994</v>
      </c>
    </row>
    <row r="146" spans="1:12" ht="20.25" customHeight="1" x14ac:dyDescent="0.3">
      <c r="A146" s="22">
        <f t="shared" si="8"/>
        <v>12</v>
      </c>
      <c r="B146" s="45" t="s">
        <v>208</v>
      </c>
      <c r="C146" s="17">
        <v>7</v>
      </c>
      <c r="D146" s="94"/>
      <c r="E146" s="103"/>
      <c r="F146" s="25"/>
      <c r="G146" s="71">
        <v>20</v>
      </c>
      <c r="J146" s="141">
        <f t="shared" si="9"/>
        <v>8.0208333333333329E-3</v>
      </c>
      <c r="K146" s="141">
        <v>8.2523148148148148E-3</v>
      </c>
      <c r="L146" s="142">
        <f t="shared" si="10"/>
        <v>20.000000000000028</v>
      </c>
    </row>
    <row r="147" spans="1:12" ht="20.25" customHeight="1" x14ac:dyDescent="0.3">
      <c r="A147" s="22">
        <f t="shared" si="8"/>
        <v>13</v>
      </c>
      <c r="B147" s="45" t="s">
        <v>207</v>
      </c>
      <c r="C147" s="17">
        <v>7</v>
      </c>
      <c r="D147" s="94">
        <v>64</v>
      </c>
      <c r="E147" s="103"/>
      <c r="F147" s="25"/>
      <c r="G147" s="71"/>
      <c r="J147" s="141">
        <v>6.9444444444444444E-5</v>
      </c>
      <c r="K147" s="141">
        <v>8.1018518518518516E-4</v>
      </c>
      <c r="L147" s="142">
        <f t="shared" si="10"/>
        <v>64</v>
      </c>
    </row>
    <row r="148" spans="1:12" ht="20.25" customHeight="1" x14ac:dyDescent="0.3">
      <c r="A148" s="22">
        <f t="shared" si="8"/>
        <v>14</v>
      </c>
      <c r="B148" s="45" t="s">
        <v>209</v>
      </c>
      <c r="C148" s="17">
        <v>7</v>
      </c>
      <c r="D148" s="94"/>
      <c r="E148" s="103"/>
      <c r="F148" s="25">
        <v>8</v>
      </c>
      <c r="G148" s="71"/>
      <c r="J148" s="141">
        <f>K147</f>
        <v>8.1018518518518516E-4</v>
      </c>
      <c r="K148" s="141">
        <v>9.0277777777777774E-4</v>
      </c>
      <c r="L148" s="142">
        <f t="shared" si="10"/>
        <v>7.9999999999999982</v>
      </c>
    </row>
    <row r="149" spans="1:12" ht="20.25" customHeight="1" x14ac:dyDescent="0.3">
      <c r="A149" s="22">
        <f t="shared" si="8"/>
        <v>15</v>
      </c>
      <c r="B149" s="45" t="s">
        <v>219</v>
      </c>
      <c r="C149" s="17">
        <v>7</v>
      </c>
      <c r="D149" s="94">
        <v>16</v>
      </c>
      <c r="E149" s="103"/>
      <c r="F149" s="25"/>
      <c r="G149" s="71"/>
      <c r="J149" s="141">
        <f>K148</f>
        <v>9.0277777777777774E-4</v>
      </c>
      <c r="K149" s="141">
        <v>1.0879629629629629E-3</v>
      </c>
      <c r="L149" s="142">
        <f t="shared" si="10"/>
        <v>15.999999999999996</v>
      </c>
    </row>
    <row r="150" spans="1:12" ht="20.25" customHeight="1" x14ac:dyDescent="0.3">
      <c r="A150" s="22">
        <f t="shared" si="8"/>
        <v>16</v>
      </c>
      <c r="B150" s="45" t="s">
        <v>209</v>
      </c>
      <c r="C150" s="17">
        <v>7</v>
      </c>
      <c r="D150" s="94"/>
      <c r="E150" s="103"/>
      <c r="F150" s="25">
        <v>9</v>
      </c>
      <c r="G150" s="71"/>
      <c r="J150" s="141">
        <f t="shared" ref="J150:J190" si="11">K149</f>
        <v>1.0879629629629629E-3</v>
      </c>
      <c r="K150" s="141">
        <v>1.1921296296296296E-3</v>
      </c>
      <c r="L150" s="142">
        <f t="shared" si="10"/>
        <v>9.0000000000000018</v>
      </c>
    </row>
    <row r="151" spans="1:12" ht="20.25" customHeight="1" x14ac:dyDescent="0.3">
      <c r="A151" s="22">
        <f t="shared" si="8"/>
        <v>17</v>
      </c>
      <c r="B151" s="45" t="s">
        <v>210</v>
      </c>
      <c r="C151" s="17">
        <v>7</v>
      </c>
      <c r="D151" s="94"/>
      <c r="E151" s="103"/>
      <c r="F151" s="25">
        <v>12</v>
      </c>
      <c r="G151" s="71"/>
      <c r="J151" s="141">
        <f t="shared" si="11"/>
        <v>1.1921296296296296E-3</v>
      </c>
      <c r="K151" s="141">
        <v>1.3310185185185185E-3</v>
      </c>
      <c r="L151" s="142">
        <f t="shared" si="10"/>
        <v>12.000000000000002</v>
      </c>
    </row>
    <row r="152" spans="1:12" ht="20.25" customHeight="1" x14ac:dyDescent="0.3">
      <c r="A152" s="22">
        <f t="shared" si="8"/>
        <v>18</v>
      </c>
      <c r="B152" s="45" t="s">
        <v>211</v>
      </c>
      <c r="C152" s="17">
        <v>7</v>
      </c>
      <c r="D152" s="94"/>
      <c r="E152" s="103"/>
      <c r="F152" s="25">
        <v>46</v>
      </c>
      <c r="G152" s="71"/>
      <c r="J152" s="141">
        <f t="shared" si="11"/>
        <v>1.3310185185185185E-3</v>
      </c>
      <c r="K152" s="141">
        <v>1.8634259259259259E-3</v>
      </c>
      <c r="L152" s="142">
        <f t="shared" si="10"/>
        <v>46</v>
      </c>
    </row>
    <row r="153" spans="1:12" ht="20.25" customHeight="1" x14ac:dyDescent="0.3">
      <c r="A153" s="22">
        <f t="shared" si="8"/>
        <v>19</v>
      </c>
      <c r="B153" s="45" t="s">
        <v>212</v>
      </c>
      <c r="C153" s="17">
        <v>7</v>
      </c>
      <c r="D153" s="94"/>
      <c r="E153" s="103"/>
      <c r="F153" s="25"/>
      <c r="G153" s="71">
        <v>8</v>
      </c>
      <c r="J153" s="141">
        <f t="shared" si="11"/>
        <v>1.8634259259259259E-3</v>
      </c>
      <c r="K153" s="141">
        <v>1.9560185185185184E-3</v>
      </c>
      <c r="L153" s="142">
        <f t="shared" si="10"/>
        <v>7.9999999999999893</v>
      </c>
    </row>
    <row r="154" spans="1:12" ht="20.25" customHeight="1" x14ac:dyDescent="0.3">
      <c r="A154" s="22">
        <f t="shared" si="8"/>
        <v>20</v>
      </c>
      <c r="B154" s="45" t="s">
        <v>213</v>
      </c>
      <c r="C154" s="17">
        <v>7</v>
      </c>
      <c r="D154" s="94">
        <v>24</v>
      </c>
      <c r="E154" s="103"/>
      <c r="F154" s="25"/>
      <c r="G154" s="71"/>
      <c r="J154" s="141">
        <f t="shared" si="11"/>
        <v>1.9560185185185184E-3</v>
      </c>
      <c r="K154" s="141">
        <v>2.2337962962962962E-3</v>
      </c>
      <c r="L154" s="142">
        <f t="shared" si="10"/>
        <v>24.000000000000004</v>
      </c>
    </row>
    <row r="155" spans="1:12" ht="20.25" customHeight="1" x14ac:dyDescent="0.3">
      <c r="A155" s="22">
        <f t="shared" si="8"/>
        <v>21</v>
      </c>
      <c r="B155" s="45" t="s">
        <v>214</v>
      </c>
      <c r="C155" s="17">
        <v>7</v>
      </c>
      <c r="D155" s="94"/>
      <c r="E155" s="103"/>
      <c r="F155" s="25"/>
      <c r="G155" s="71">
        <v>11</v>
      </c>
      <c r="J155" s="141">
        <f t="shared" si="11"/>
        <v>2.2337962962962962E-3</v>
      </c>
      <c r="K155" s="141">
        <v>2.3611111111111111E-3</v>
      </c>
      <c r="L155" s="142">
        <f t="shared" si="10"/>
        <v>11.000000000000009</v>
      </c>
    </row>
    <row r="156" spans="1:12" ht="20.25" customHeight="1" x14ac:dyDescent="0.3">
      <c r="A156" s="22">
        <f t="shared" si="8"/>
        <v>22</v>
      </c>
      <c r="B156" s="45" t="s">
        <v>215</v>
      </c>
      <c r="C156" s="17">
        <v>7</v>
      </c>
      <c r="D156" s="94">
        <v>38</v>
      </c>
      <c r="E156" s="103"/>
      <c r="F156" s="25"/>
      <c r="G156" s="71"/>
      <c r="J156" s="141">
        <f t="shared" si="11"/>
        <v>2.3611111111111111E-3</v>
      </c>
      <c r="K156" s="141">
        <v>2.8009259259259259E-3</v>
      </c>
      <c r="L156" s="142">
        <f t="shared" si="10"/>
        <v>37.999999999999993</v>
      </c>
    </row>
    <row r="157" spans="1:12" ht="20.25" customHeight="1" x14ac:dyDescent="0.3">
      <c r="A157" s="22">
        <f t="shared" si="8"/>
        <v>23</v>
      </c>
      <c r="B157" s="45" t="s">
        <v>216</v>
      </c>
      <c r="C157" s="17">
        <v>7</v>
      </c>
      <c r="D157" s="94"/>
      <c r="E157" s="103"/>
      <c r="F157" s="25"/>
      <c r="G157" s="71">
        <v>37</v>
      </c>
      <c r="J157" s="141">
        <f t="shared" si="11"/>
        <v>2.8009259259259259E-3</v>
      </c>
      <c r="K157" s="141">
        <v>3.2291666666666666E-3</v>
      </c>
      <c r="L157" s="142">
        <f t="shared" si="10"/>
        <v>37</v>
      </c>
    </row>
    <row r="158" spans="1:12" ht="20.25" customHeight="1" x14ac:dyDescent="0.3">
      <c r="A158" s="22">
        <f t="shared" si="8"/>
        <v>24</v>
      </c>
      <c r="B158" s="45" t="s">
        <v>217</v>
      </c>
      <c r="C158" s="17">
        <v>7</v>
      </c>
      <c r="D158" s="94">
        <v>169</v>
      </c>
      <c r="E158" s="103"/>
      <c r="F158" s="25"/>
      <c r="G158" s="71"/>
      <c r="J158" s="141">
        <f t="shared" si="11"/>
        <v>3.2291666666666666E-3</v>
      </c>
      <c r="K158" s="141">
        <v>5.185185185185185E-3</v>
      </c>
      <c r="L158" s="142">
        <f t="shared" si="10"/>
        <v>169</v>
      </c>
    </row>
    <row r="159" spans="1:12" ht="20.25" customHeight="1" x14ac:dyDescent="0.3">
      <c r="A159" s="22">
        <f t="shared" si="8"/>
        <v>25</v>
      </c>
      <c r="B159" s="45" t="s">
        <v>206</v>
      </c>
      <c r="C159" s="17">
        <v>7</v>
      </c>
      <c r="D159" s="94"/>
      <c r="E159" s="103">
        <v>112</v>
      </c>
      <c r="F159" s="25"/>
      <c r="G159" s="71"/>
      <c r="J159" s="141">
        <f t="shared" si="11"/>
        <v>5.185185185185185E-3</v>
      </c>
      <c r="K159" s="141">
        <v>6.4814814814814813E-3</v>
      </c>
      <c r="L159" s="142">
        <f t="shared" si="10"/>
        <v>112</v>
      </c>
    </row>
    <row r="160" spans="1:12" ht="20.25" customHeight="1" x14ac:dyDescent="0.3">
      <c r="A160" s="22">
        <f t="shared" si="8"/>
        <v>26</v>
      </c>
      <c r="B160" s="45" t="s">
        <v>218</v>
      </c>
      <c r="C160" s="17">
        <v>7</v>
      </c>
      <c r="D160" s="94"/>
      <c r="E160" s="103">
        <v>110</v>
      </c>
      <c r="F160" s="25"/>
      <c r="G160" s="71"/>
      <c r="J160" s="141">
        <f t="shared" si="11"/>
        <v>6.4814814814814813E-3</v>
      </c>
      <c r="K160" s="141">
        <v>7.7546296296296295E-3</v>
      </c>
      <c r="L160" s="142">
        <f t="shared" si="10"/>
        <v>110.00000000000001</v>
      </c>
    </row>
    <row r="161" spans="1:12" ht="20.25" customHeight="1" x14ac:dyDescent="0.3">
      <c r="A161" s="22">
        <f t="shared" si="8"/>
        <v>27</v>
      </c>
      <c r="B161" s="45" t="s">
        <v>208</v>
      </c>
      <c r="C161" s="17">
        <v>7</v>
      </c>
      <c r="D161" s="94"/>
      <c r="E161" s="103"/>
      <c r="F161" s="25"/>
      <c r="G161" s="71">
        <v>43</v>
      </c>
      <c r="J161" s="141">
        <f t="shared" si="11"/>
        <v>7.7546296296296295E-3</v>
      </c>
      <c r="K161" s="141">
        <v>8.2523148148148148E-3</v>
      </c>
      <c r="L161" s="142">
        <f t="shared" si="10"/>
        <v>43</v>
      </c>
    </row>
    <row r="162" spans="1:12" ht="20.25" customHeight="1" x14ac:dyDescent="0.3">
      <c r="A162" s="22">
        <f t="shared" si="8"/>
        <v>28</v>
      </c>
      <c r="B162" s="45" t="s">
        <v>210</v>
      </c>
      <c r="C162" s="17">
        <v>7</v>
      </c>
      <c r="D162" s="94"/>
      <c r="E162" s="103"/>
      <c r="F162" s="25">
        <v>142</v>
      </c>
      <c r="G162" s="71"/>
      <c r="J162" s="141">
        <v>6.9444444444444444E-5</v>
      </c>
      <c r="K162" s="141">
        <v>1.712962962962963E-3</v>
      </c>
      <c r="L162" s="142">
        <f t="shared" si="10"/>
        <v>142</v>
      </c>
    </row>
    <row r="163" spans="1:12" ht="20.25" customHeight="1" x14ac:dyDescent="0.3">
      <c r="A163" s="22">
        <f t="shared" si="8"/>
        <v>29</v>
      </c>
      <c r="B163" s="45" t="s">
        <v>211</v>
      </c>
      <c r="C163" s="17">
        <v>7</v>
      </c>
      <c r="D163" s="94"/>
      <c r="E163" s="103">
        <v>81</v>
      </c>
      <c r="F163" s="25"/>
      <c r="G163" s="71"/>
      <c r="J163" s="141">
        <f t="shared" si="11"/>
        <v>1.712962962962963E-3</v>
      </c>
      <c r="K163" s="141">
        <v>2.650462962962963E-3</v>
      </c>
      <c r="L163" s="142">
        <f t="shared" si="10"/>
        <v>81</v>
      </c>
    </row>
    <row r="164" spans="1:12" ht="20.25" customHeight="1" x14ac:dyDescent="0.3">
      <c r="A164" s="22">
        <f t="shared" si="8"/>
        <v>30</v>
      </c>
      <c r="B164" s="45" t="s">
        <v>220</v>
      </c>
      <c r="C164" s="17">
        <v>7</v>
      </c>
      <c r="D164" s="94"/>
      <c r="E164" s="103"/>
      <c r="F164" s="25"/>
      <c r="G164" s="71">
        <v>32</v>
      </c>
      <c r="J164" s="141">
        <f t="shared" si="11"/>
        <v>2.650462962962963E-3</v>
      </c>
      <c r="K164" s="141">
        <v>3.0208333333333333E-3</v>
      </c>
      <c r="L164" s="142">
        <f t="shared" si="10"/>
        <v>31.999999999999993</v>
      </c>
    </row>
    <row r="165" spans="1:12" ht="20.25" customHeight="1" x14ac:dyDescent="0.3">
      <c r="A165" s="22">
        <f t="shared" si="8"/>
        <v>31</v>
      </c>
      <c r="B165" s="45" t="s">
        <v>221</v>
      </c>
      <c r="C165" s="17">
        <v>7</v>
      </c>
      <c r="D165" s="94"/>
      <c r="E165" s="103"/>
      <c r="F165" s="25"/>
      <c r="G165" s="71"/>
      <c r="J165" s="141">
        <f t="shared" si="11"/>
        <v>3.0208333333333333E-3</v>
      </c>
      <c r="K165" s="141">
        <v>3.1712962962962962E-3</v>
      </c>
      <c r="L165" s="142">
        <f t="shared" si="10"/>
        <v>12.999999999999996</v>
      </c>
    </row>
    <row r="166" spans="1:12" ht="20.25" customHeight="1" x14ac:dyDescent="0.3">
      <c r="A166" s="22">
        <f t="shared" si="8"/>
        <v>32</v>
      </c>
      <c r="B166" s="45" t="s">
        <v>222</v>
      </c>
      <c r="C166" s="17">
        <v>7</v>
      </c>
      <c r="D166" s="94">
        <v>253</v>
      </c>
      <c r="E166" s="103"/>
      <c r="F166" s="25"/>
      <c r="G166" s="71"/>
      <c r="J166" s="141">
        <f t="shared" si="11"/>
        <v>3.1712962962962962E-3</v>
      </c>
      <c r="K166" s="141">
        <v>6.099537037037037E-3</v>
      </c>
      <c r="L166" s="142">
        <f t="shared" si="10"/>
        <v>253</v>
      </c>
    </row>
    <row r="167" spans="1:12" ht="20.25" customHeight="1" x14ac:dyDescent="0.3">
      <c r="A167" s="22">
        <f t="shared" si="8"/>
        <v>33</v>
      </c>
      <c r="B167" s="45" t="s">
        <v>223</v>
      </c>
      <c r="C167" s="17">
        <v>7</v>
      </c>
      <c r="D167" s="94"/>
      <c r="E167" s="103"/>
      <c r="F167" s="25"/>
      <c r="G167" s="71">
        <v>18</v>
      </c>
      <c r="J167" s="141">
        <f t="shared" si="11"/>
        <v>6.099537037037037E-3</v>
      </c>
      <c r="K167" s="141">
        <v>6.3078703703703708E-3</v>
      </c>
      <c r="L167" s="142">
        <f t="shared" si="10"/>
        <v>18.000000000000043</v>
      </c>
    </row>
    <row r="168" spans="1:12" ht="20.25" customHeight="1" x14ac:dyDescent="0.3">
      <c r="A168" s="22">
        <f t="shared" si="8"/>
        <v>34</v>
      </c>
      <c r="B168" s="45" t="s">
        <v>224</v>
      </c>
      <c r="C168" s="17">
        <v>7</v>
      </c>
      <c r="D168" s="94"/>
      <c r="E168" s="103">
        <v>71</v>
      </c>
      <c r="F168" s="25"/>
      <c r="G168" s="71"/>
      <c r="J168" s="141">
        <f t="shared" si="11"/>
        <v>6.3078703703703708E-3</v>
      </c>
      <c r="K168" s="141">
        <v>7.1296296296296299E-3</v>
      </c>
      <c r="L168" s="142">
        <f t="shared" si="10"/>
        <v>70.999999999999986</v>
      </c>
    </row>
    <row r="169" spans="1:12" ht="20.25" customHeight="1" x14ac:dyDescent="0.3">
      <c r="A169" s="22">
        <f t="shared" si="8"/>
        <v>35</v>
      </c>
      <c r="B169" s="45" t="s">
        <v>225</v>
      </c>
      <c r="C169" s="17">
        <v>7</v>
      </c>
      <c r="D169" s="94"/>
      <c r="E169" s="103"/>
      <c r="F169" s="25"/>
      <c r="G169" s="71">
        <v>43</v>
      </c>
      <c r="J169" s="141">
        <f t="shared" si="11"/>
        <v>7.1296296296296299E-3</v>
      </c>
      <c r="K169" s="141">
        <v>7.6273148148148151E-3</v>
      </c>
      <c r="L169" s="142">
        <f t="shared" ref="L169:L190" si="12">(K169-J169)*86400</f>
        <v>43</v>
      </c>
    </row>
    <row r="170" spans="1:12" ht="20.25" customHeight="1" x14ac:dyDescent="0.3">
      <c r="A170" s="22">
        <f t="shared" si="8"/>
        <v>36</v>
      </c>
      <c r="B170" s="45" t="s">
        <v>226</v>
      </c>
      <c r="C170" s="17">
        <v>7</v>
      </c>
      <c r="D170" s="94">
        <v>64</v>
      </c>
      <c r="E170" s="103"/>
      <c r="F170" s="25"/>
      <c r="G170" s="71"/>
      <c r="J170" s="141">
        <f t="shared" si="11"/>
        <v>7.6273148148148151E-3</v>
      </c>
      <c r="K170" s="141">
        <v>8.3680555555555557E-3</v>
      </c>
      <c r="L170" s="142">
        <f t="shared" si="12"/>
        <v>63.999999999999986</v>
      </c>
    </row>
    <row r="171" spans="1:12" ht="20.25" customHeight="1" x14ac:dyDescent="0.3">
      <c r="A171" s="22">
        <f t="shared" si="8"/>
        <v>37</v>
      </c>
      <c r="B171" s="135" t="s">
        <v>227</v>
      </c>
      <c r="C171" s="17">
        <v>7</v>
      </c>
      <c r="D171" s="94"/>
      <c r="E171" s="103">
        <v>39</v>
      </c>
      <c r="F171" s="25"/>
      <c r="G171" s="71"/>
      <c r="J171" s="141">
        <v>1.8518518518518518E-4</v>
      </c>
      <c r="K171" s="141">
        <v>9.9537037037037042E-4</v>
      </c>
      <c r="L171" s="142">
        <f t="shared" si="12"/>
        <v>70.000000000000014</v>
      </c>
    </row>
    <row r="172" spans="1:12" ht="20.25" customHeight="1" x14ac:dyDescent="0.3">
      <c r="A172" s="22">
        <f t="shared" si="8"/>
        <v>38</v>
      </c>
      <c r="B172" s="45" t="s">
        <v>228</v>
      </c>
      <c r="C172" s="17">
        <v>7</v>
      </c>
      <c r="D172" s="94">
        <v>204</v>
      </c>
      <c r="E172" s="103"/>
      <c r="F172" s="25"/>
      <c r="G172" s="71"/>
      <c r="J172" s="141">
        <f t="shared" si="11"/>
        <v>9.9537037037037042E-4</v>
      </c>
      <c r="K172" s="141">
        <v>3.3564814814814816E-3</v>
      </c>
      <c r="L172" s="142">
        <f t="shared" si="12"/>
        <v>204</v>
      </c>
    </row>
    <row r="173" spans="1:12" ht="20.25" customHeight="1" x14ac:dyDescent="0.3">
      <c r="A173" s="22">
        <f t="shared" si="8"/>
        <v>39</v>
      </c>
      <c r="B173" s="45" t="s">
        <v>229</v>
      </c>
      <c r="C173" s="17">
        <v>7</v>
      </c>
      <c r="D173" s="94"/>
      <c r="E173" s="103">
        <v>27</v>
      </c>
      <c r="F173" s="25"/>
      <c r="G173" s="71"/>
      <c r="J173" s="141">
        <f t="shared" si="11"/>
        <v>3.3564814814814816E-3</v>
      </c>
      <c r="K173" s="141">
        <v>3.6689814814814814E-3</v>
      </c>
      <c r="L173" s="142">
        <f t="shared" si="12"/>
        <v>26.999999999999986</v>
      </c>
    </row>
    <row r="174" spans="1:12" ht="20.25" customHeight="1" x14ac:dyDescent="0.3">
      <c r="A174" s="22">
        <f t="shared" si="8"/>
        <v>40</v>
      </c>
      <c r="B174" s="45" t="s">
        <v>230</v>
      </c>
      <c r="C174" s="17">
        <v>7</v>
      </c>
      <c r="D174" s="94"/>
      <c r="E174" s="103">
        <v>29</v>
      </c>
      <c r="F174" s="25"/>
      <c r="G174" s="71"/>
      <c r="J174" s="141">
        <f t="shared" si="11"/>
        <v>3.6689814814814814E-3</v>
      </c>
      <c r="K174" s="141">
        <v>4.0046296296296297E-3</v>
      </c>
      <c r="L174" s="142">
        <f t="shared" si="12"/>
        <v>29.000000000000011</v>
      </c>
    </row>
    <row r="175" spans="1:12" ht="20.25" customHeight="1" x14ac:dyDescent="0.3">
      <c r="A175" s="22">
        <f t="shared" si="8"/>
        <v>41</v>
      </c>
      <c r="B175" s="45" t="s">
        <v>231</v>
      </c>
      <c r="C175" s="17">
        <v>7</v>
      </c>
      <c r="D175" s="94">
        <v>306</v>
      </c>
      <c r="E175" s="103"/>
      <c r="F175" s="25"/>
      <c r="G175" s="71"/>
      <c r="J175" s="141">
        <f t="shared" si="11"/>
        <v>4.0046296296296297E-3</v>
      </c>
      <c r="K175" s="141">
        <v>7.5462962962962966E-3</v>
      </c>
      <c r="L175" s="142">
        <f t="shared" si="12"/>
        <v>306</v>
      </c>
    </row>
    <row r="176" spans="1:12" ht="20.25" customHeight="1" x14ac:dyDescent="0.3">
      <c r="A176" s="22">
        <f t="shared" si="8"/>
        <v>42</v>
      </c>
      <c r="B176" s="45" t="s">
        <v>232</v>
      </c>
      <c r="C176" s="17">
        <v>7</v>
      </c>
      <c r="D176" s="94"/>
      <c r="E176" s="103"/>
      <c r="F176" s="25"/>
      <c r="G176" s="71">
        <v>22</v>
      </c>
      <c r="J176" s="141">
        <f t="shared" si="11"/>
        <v>7.5462962962962966E-3</v>
      </c>
      <c r="K176" s="141">
        <v>7.8009259259259256E-3</v>
      </c>
      <c r="L176" s="142">
        <f t="shared" si="12"/>
        <v>21.999999999999943</v>
      </c>
    </row>
    <row r="177" spans="1:12" ht="20.25" customHeight="1" x14ac:dyDescent="0.3">
      <c r="A177" s="22">
        <f t="shared" si="8"/>
        <v>43</v>
      </c>
      <c r="B177" s="45" t="s">
        <v>230</v>
      </c>
      <c r="C177" s="17">
        <v>7</v>
      </c>
      <c r="D177" s="94"/>
      <c r="E177" s="103">
        <v>19</v>
      </c>
      <c r="F177" s="25"/>
      <c r="G177" s="71"/>
      <c r="J177" s="141">
        <f t="shared" si="11"/>
        <v>7.8009259259259256E-3</v>
      </c>
      <c r="K177" s="141">
        <v>8.0208333333333329E-3</v>
      </c>
      <c r="L177" s="142">
        <f t="shared" si="12"/>
        <v>18.999999999999996</v>
      </c>
    </row>
    <row r="178" spans="1:12" ht="20.25" customHeight="1" x14ac:dyDescent="0.3">
      <c r="A178" s="22">
        <f t="shared" si="8"/>
        <v>44</v>
      </c>
      <c r="B178" s="45" t="s">
        <v>233</v>
      </c>
      <c r="C178" s="17">
        <v>7</v>
      </c>
      <c r="D178" s="94">
        <v>162</v>
      </c>
      <c r="E178" s="103"/>
      <c r="F178" s="25"/>
      <c r="G178" s="71"/>
      <c r="J178" s="141">
        <f t="shared" si="11"/>
        <v>8.0208333333333329E-3</v>
      </c>
      <c r="K178" s="141">
        <v>9.8958333333333329E-3</v>
      </c>
      <c r="L178" s="142">
        <f t="shared" si="12"/>
        <v>162</v>
      </c>
    </row>
    <row r="179" spans="1:12" ht="20.25" customHeight="1" x14ac:dyDescent="0.3">
      <c r="A179" s="22">
        <f t="shared" si="8"/>
        <v>45</v>
      </c>
      <c r="B179" s="45" t="s">
        <v>234</v>
      </c>
      <c r="C179" s="17">
        <v>7</v>
      </c>
      <c r="D179" s="94"/>
      <c r="E179" s="103"/>
      <c r="F179" s="25"/>
      <c r="G179" s="71">
        <v>26</v>
      </c>
      <c r="J179" s="141">
        <v>1.712962962962963E-3</v>
      </c>
      <c r="K179" s="141">
        <v>2.0138888888888888E-3</v>
      </c>
      <c r="L179" s="142">
        <f t="shared" si="12"/>
        <v>25.999999999999993</v>
      </c>
    </row>
    <row r="180" spans="1:12" ht="20.25" customHeight="1" x14ac:dyDescent="0.3">
      <c r="A180" s="22">
        <f t="shared" si="8"/>
        <v>46</v>
      </c>
      <c r="B180" s="45" t="s">
        <v>235</v>
      </c>
      <c r="C180" s="17">
        <v>7</v>
      </c>
      <c r="D180" s="94"/>
      <c r="E180" s="103"/>
      <c r="F180" s="25"/>
      <c r="G180" s="71">
        <v>28</v>
      </c>
      <c r="J180" s="141">
        <f t="shared" si="11"/>
        <v>2.0138888888888888E-3</v>
      </c>
      <c r="K180" s="141">
        <v>2.3379629629629631E-3</v>
      </c>
      <c r="L180" s="142">
        <f t="shared" si="12"/>
        <v>28.000000000000018</v>
      </c>
    </row>
    <row r="181" spans="1:12" ht="20.25" customHeight="1" x14ac:dyDescent="0.3">
      <c r="A181" s="22">
        <f t="shared" si="8"/>
        <v>47</v>
      </c>
      <c r="B181" s="45" t="s">
        <v>236</v>
      </c>
      <c r="C181" s="17">
        <v>7</v>
      </c>
      <c r="D181" s="94"/>
      <c r="E181" s="103"/>
      <c r="F181" s="25"/>
      <c r="G181" s="71">
        <v>293</v>
      </c>
      <c r="J181" s="141">
        <f t="shared" si="11"/>
        <v>2.3379629629629631E-3</v>
      </c>
      <c r="K181" s="141">
        <v>5.7291666666666663E-3</v>
      </c>
      <c r="L181" s="142">
        <f t="shared" si="12"/>
        <v>292.99999999999994</v>
      </c>
    </row>
    <row r="182" spans="1:12" ht="20.25" customHeight="1" x14ac:dyDescent="0.3">
      <c r="A182" s="22">
        <f t="shared" si="8"/>
        <v>48</v>
      </c>
      <c r="B182" s="45" t="s">
        <v>237</v>
      </c>
      <c r="C182" s="17">
        <v>7</v>
      </c>
      <c r="D182" s="94"/>
      <c r="E182" s="103">
        <v>102</v>
      </c>
      <c r="F182" s="25"/>
      <c r="G182" s="71"/>
      <c r="J182" s="141">
        <f t="shared" si="11"/>
        <v>5.7291666666666663E-3</v>
      </c>
      <c r="K182" s="141">
        <v>6.9097222222222225E-3</v>
      </c>
      <c r="L182" s="142">
        <f t="shared" si="12"/>
        <v>102.00000000000006</v>
      </c>
    </row>
    <row r="183" spans="1:12" ht="20.25" customHeight="1" x14ac:dyDescent="0.3">
      <c r="A183" s="22">
        <f t="shared" si="8"/>
        <v>49</v>
      </c>
      <c r="B183" s="45" t="s">
        <v>238</v>
      </c>
      <c r="C183" s="17">
        <v>7</v>
      </c>
      <c r="D183" s="94"/>
      <c r="E183" s="103"/>
      <c r="F183" s="25">
        <v>80</v>
      </c>
      <c r="G183" s="71"/>
      <c r="J183" s="141">
        <f t="shared" si="11"/>
        <v>6.9097222222222225E-3</v>
      </c>
      <c r="K183" s="141">
        <v>7.8356481481481489E-3</v>
      </c>
      <c r="L183" s="142">
        <f t="shared" si="12"/>
        <v>80.000000000000043</v>
      </c>
    </row>
    <row r="184" spans="1:12" ht="20.25" customHeight="1" x14ac:dyDescent="0.3">
      <c r="A184" s="22">
        <f t="shared" si="8"/>
        <v>50</v>
      </c>
      <c r="B184" s="45" t="s">
        <v>237</v>
      </c>
      <c r="C184" s="17">
        <v>7</v>
      </c>
      <c r="D184" s="94"/>
      <c r="E184" s="103">
        <v>80</v>
      </c>
      <c r="F184" s="25"/>
      <c r="G184" s="71"/>
      <c r="J184" s="141">
        <f t="shared" si="11"/>
        <v>7.8356481481481489E-3</v>
      </c>
      <c r="K184" s="141">
        <v>8.7615740740740744E-3</v>
      </c>
      <c r="L184" s="142">
        <f t="shared" si="12"/>
        <v>79.999999999999972</v>
      </c>
    </row>
    <row r="185" spans="1:12" ht="20.25" customHeight="1" x14ac:dyDescent="0.3">
      <c r="A185" s="22">
        <f t="shared" si="8"/>
        <v>51</v>
      </c>
      <c r="B185" s="45" t="s">
        <v>239</v>
      </c>
      <c r="C185" s="17">
        <v>7</v>
      </c>
      <c r="D185" s="94"/>
      <c r="E185" s="103"/>
      <c r="F185" s="25"/>
      <c r="G185" s="71">
        <v>66</v>
      </c>
      <c r="J185" s="141">
        <v>5.7870370370370367E-4</v>
      </c>
      <c r="K185" s="141">
        <v>1.3425925925925925E-3</v>
      </c>
      <c r="L185" s="142">
        <f t="shared" si="12"/>
        <v>66</v>
      </c>
    </row>
    <row r="186" spans="1:12" ht="20.25" customHeight="1" x14ac:dyDescent="0.3">
      <c r="A186" s="22">
        <f t="shared" si="8"/>
        <v>52</v>
      </c>
      <c r="B186" s="45" t="s">
        <v>218</v>
      </c>
      <c r="C186" s="17">
        <v>7</v>
      </c>
      <c r="D186" s="94"/>
      <c r="E186" s="103">
        <v>389</v>
      </c>
      <c r="F186" s="25"/>
      <c r="G186" s="71"/>
      <c r="J186" s="141">
        <f t="shared" si="11"/>
        <v>1.3425925925925925E-3</v>
      </c>
      <c r="K186" s="141">
        <v>5.8449074074074072E-3</v>
      </c>
      <c r="L186" s="142">
        <f t="shared" si="12"/>
        <v>389</v>
      </c>
    </row>
    <row r="187" spans="1:12" ht="20.25" customHeight="1" x14ac:dyDescent="0.3">
      <c r="A187" s="22">
        <f t="shared" si="8"/>
        <v>53</v>
      </c>
      <c r="B187" s="45" t="s">
        <v>240</v>
      </c>
      <c r="C187" s="17">
        <v>7</v>
      </c>
      <c r="D187" s="94"/>
      <c r="E187" s="103">
        <v>365</v>
      </c>
      <c r="F187" s="25"/>
      <c r="G187" s="71"/>
      <c r="J187" s="141">
        <f t="shared" si="11"/>
        <v>5.8449074074074072E-3</v>
      </c>
      <c r="K187" s="141">
        <v>1.0069444444444445E-2</v>
      </c>
      <c r="L187" s="142">
        <f t="shared" si="12"/>
        <v>365.00000000000006</v>
      </c>
    </row>
    <row r="188" spans="1:12" ht="20.25" customHeight="1" x14ac:dyDescent="0.3">
      <c r="A188" s="22">
        <f t="shared" si="8"/>
        <v>54</v>
      </c>
      <c r="B188" s="45" t="s">
        <v>241</v>
      </c>
      <c r="C188" s="17">
        <v>7</v>
      </c>
      <c r="D188" s="94"/>
      <c r="E188" s="103">
        <v>16</v>
      </c>
      <c r="F188" s="25"/>
      <c r="G188" s="71"/>
      <c r="J188" s="141">
        <v>1.8865740740740742E-3</v>
      </c>
      <c r="K188" s="141">
        <v>2.0717592592592593E-3</v>
      </c>
      <c r="L188" s="142">
        <f t="shared" si="12"/>
        <v>15.999999999999996</v>
      </c>
    </row>
    <row r="189" spans="1:12" ht="20.25" customHeight="1" x14ac:dyDescent="0.3">
      <c r="A189" s="22">
        <f t="shared" si="8"/>
        <v>55</v>
      </c>
      <c r="B189" s="45" t="s">
        <v>242</v>
      </c>
      <c r="C189" s="17">
        <v>7</v>
      </c>
      <c r="D189" s="94"/>
      <c r="E189" s="103"/>
      <c r="F189" s="25"/>
      <c r="G189" s="71">
        <v>40</v>
      </c>
      <c r="J189" s="141">
        <f t="shared" si="11"/>
        <v>2.0717592592592593E-3</v>
      </c>
      <c r="K189" s="141">
        <v>2.5347222222222221E-3</v>
      </c>
      <c r="L189" s="142">
        <f t="shared" si="12"/>
        <v>39.999999999999986</v>
      </c>
    </row>
    <row r="190" spans="1:12" ht="20.25" customHeight="1" x14ac:dyDescent="0.3">
      <c r="A190" s="22">
        <f t="shared" si="8"/>
        <v>56</v>
      </c>
      <c r="B190" s="45" t="s">
        <v>243</v>
      </c>
      <c r="C190" s="17">
        <v>7</v>
      </c>
      <c r="D190" s="94"/>
      <c r="E190" s="103"/>
      <c r="F190" s="25"/>
      <c r="G190" s="71">
        <v>97</v>
      </c>
      <c r="J190" s="141">
        <f t="shared" si="11"/>
        <v>2.5347222222222221E-3</v>
      </c>
      <c r="K190" s="141">
        <v>3.6574074074074074E-3</v>
      </c>
      <c r="L190" s="142">
        <f t="shared" si="12"/>
        <v>97.000000000000014</v>
      </c>
    </row>
    <row r="191" spans="1:12" ht="20.25" customHeight="1" x14ac:dyDescent="0.25">
      <c r="A191" s="86"/>
      <c r="B191" s="129" t="s">
        <v>189</v>
      </c>
      <c r="C191" s="104">
        <f>+C134+1</f>
        <v>8</v>
      </c>
      <c r="D191" s="88"/>
      <c r="E191" s="95"/>
      <c r="F191" s="96"/>
      <c r="G191" s="97"/>
    </row>
    <row r="192" spans="1:12" ht="20.25" customHeight="1" x14ac:dyDescent="0.3">
      <c r="A192" s="22">
        <v>1</v>
      </c>
      <c r="B192" s="45"/>
      <c r="C192" s="17"/>
      <c r="D192" s="94"/>
      <c r="E192" s="103"/>
      <c r="F192" s="25"/>
      <c r="G192" s="71"/>
    </row>
    <row r="193" spans="1:7" ht="20.25" customHeight="1" x14ac:dyDescent="0.3">
      <c r="A193" s="22">
        <f t="shared" ref="A193:A197" si="13">+A192+1</f>
        <v>2</v>
      </c>
      <c r="B193" s="45"/>
      <c r="C193" s="17"/>
      <c r="D193" s="94"/>
      <c r="E193" s="103"/>
      <c r="F193" s="25"/>
      <c r="G193" s="71"/>
    </row>
    <row r="194" spans="1:7" ht="20.25" customHeight="1" x14ac:dyDescent="0.3">
      <c r="A194" s="22">
        <f t="shared" si="13"/>
        <v>3</v>
      </c>
      <c r="B194" s="45"/>
      <c r="C194" s="17"/>
      <c r="D194" s="94"/>
      <c r="E194" s="103"/>
      <c r="F194" s="25"/>
      <c r="G194" s="71"/>
    </row>
    <row r="195" spans="1:7" ht="20.25" customHeight="1" x14ac:dyDescent="0.3">
      <c r="A195" s="22">
        <f t="shared" si="13"/>
        <v>4</v>
      </c>
      <c r="B195" s="45"/>
      <c r="C195" s="17"/>
      <c r="D195" s="94"/>
      <c r="E195" s="103"/>
      <c r="F195" s="25"/>
      <c r="G195" s="71"/>
    </row>
    <row r="196" spans="1:7" ht="20.25" customHeight="1" x14ac:dyDescent="0.3">
      <c r="A196" s="22">
        <f t="shared" si="13"/>
        <v>5</v>
      </c>
      <c r="B196" s="45"/>
      <c r="C196" s="17"/>
      <c r="D196" s="94"/>
      <c r="E196" s="103"/>
      <c r="F196" s="25"/>
      <c r="G196" s="71"/>
    </row>
    <row r="197" spans="1:7" ht="20.25" customHeight="1" x14ac:dyDescent="0.3">
      <c r="A197" s="22">
        <f t="shared" si="13"/>
        <v>6</v>
      </c>
      <c r="B197" s="45"/>
      <c r="C197" s="17"/>
      <c r="D197" s="94"/>
      <c r="E197" s="103"/>
      <c r="F197" s="25"/>
      <c r="G197" s="71"/>
    </row>
    <row r="198" spans="1:7" ht="20.25" customHeight="1" x14ac:dyDescent="0.25">
      <c r="A198" s="86">
        <v>8.06</v>
      </c>
      <c r="B198" s="129" t="s">
        <v>190</v>
      </c>
      <c r="C198" s="104">
        <f>+C191+1</f>
        <v>9</v>
      </c>
      <c r="D198" s="88"/>
      <c r="E198" s="95"/>
      <c r="F198" s="96"/>
      <c r="G198" s="97"/>
    </row>
    <row r="199" spans="1:7" ht="20.25" customHeight="1" x14ac:dyDescent="0.3">
      <c r="A199" s="22">
        <v>1</v>
      </c>
      <c r="B199" s="45"/>
      <c r="C199" s="17"/>
      <c r="D199" s="94"/>
      <c r="E199" s="103"/>
      <c r="F199" s="25"/>
      <c r="G199" s="71"/>
    </row>
    <row r="200" spans="1:7" ht="20.25" customHeight="1" x14ac:dyDescent="0.3">
      <c r="A200" s="22">
        <f t="shared" ref="A200:A220" si="14">+A199+1</f>
        <v>2</v>
      </c>
      <c r="B200" s="45"/>
      <c r="C200" s="17"/>
      <c r="D200" s="94"/>
      <c r="E200" s="103"/>
      <c r="F200" s="25"/>
      <c r="G200" s="71"/>
    </row>
    <row r="201" spans="1:7" ht="20.25" customHeight="1" x14ac:dyDescent="0.3">
      <c r="A201" s="22">
        <f t="shared" si="14"/>
        <v>3</v>
      </c>
      <c r="B201" s="45"/>
      <c r="C201" s="17"/>
      <c r="D201" s="94"/>
      <c r="E201" s="103"/>
      <c r="F201" s="25"/>
      <c r="G201" s="71"/>
    </row>
    <row r="202" spans="1:7" ht="20.25" customHeight="1" x14ac:dyDescent="0.3">
      <c r="A202" s="22">
        <f t="shared" si="14"/>
        <v>4</v>
      </c>
      <c r="B202" s="45"/>
      <c r="C202" s="17"/>
      <c r="D202" s="94"/>
      <c r="E202" s="103"/>
      <c r="F202" s="25"/>
      <c r="G202" s="71"/>
    </row>
    <row r="203" spans="1:7" ht="20.25" customHeight="1" x14ac:dyDescent="0.3">
      <c r="A203" s="22">
        <f t="shared" si="14"/>
        <v>5</v>
      </c>
      <c r="B203" s="45"/>
      <c r="C203" s="17"/>
      <c r="D203" s="94"/>
      <c r="E203" s="103"/>
      <c r="F203" s="25"/>
      <c r="G203" s="116"/>
    </row>
    <row r="204" spans="1:7" ht="20.25" customHeight="1" x14ac:dyDescent="0.3">
      <c r="A204" s="22">
        <f t="shared" si="14"/>
        <v>6</v>
      </c>
      <c r="B204" s="45"/>
      <c r="C204" s="17"/>
      <c r="D204" s="94"/>
      <c r="E204" s="103"/>
      <c r="F204" s="25"/>
      <c r="G204" s="71"/>
    </row>
    <row r="205" spans="1:7" ht="20.25" customHeight="1" x14ac:dyDescent="0.3">
      <c r="A205" s="22">
        <f t="shared" si="14"/>
        <v>7</v>
      </c>
      <c r="B205" s="45"/>
      <c r="C205" s="17"/>
      <c r="D205" s="94"/>
      <c r="E205" s="103"/>
      <c r="F205" s="25"/>
      <c r="G205" s="71"/>
    </row>
    <row r="206" spans="1:7" ht="20.25" customHeight="1" x14ac:dyDescent="0.3">
      <c r="A206" s="22">
        <f t="shared" si="14"/>
        <v>8</v>
      </c>
      <c r="B206" s="45"/>
      <c r="C206" s="17"/>
      <c r="D206" s="94"/>
      <c r="E206" s="103"/>
      <c r="F206" s="25"/>
      <c r="G206" s="71"/>
    </row>
    <row r="207" spans="1:7" ht="20.25" customHeight="1" x14ac:dyDescent="0.3">
      <c r="A207" s="22">
        <f t="shared" si="14"/>
        <v>9</v>
      </c>
      <c r="B207" s="45"/>
      <c r="C207" s="17"/>
      <c r="D207" s="94"/>
      <c r="E207" s="103"/>
      <c r="F207" s="25"/>
      <c r="G207" s="71"/>
    </row>
    <row r="208" spans="1:7" ht="20.25" customHeight="1" x14ac:dyDescent="0.3">
      <c r="A208" s="22">
        <f t="shared" si="14"/>
        <v>10</v>
      </c>
      <c r="B208" s="45"/>
      <c r="C208" s="17"/>
      <c r="D208" s="94"/>
      <c r="E208" s="103"/>
      <c r="F208" s="25"/>
      <c r="G208" s="71"/>
    </row>
    <row r="209" spans="1:7" ht="20.25" customHeight="1" x14ac:dyDescent="0.3">
      <c r="A209" s="22">
        <f t="shared" si="14"/>
        <v>11</v>
      </c>
      <c r="B209" s="45"/>
      <c r="C209" s="17"/>
      <c r="D209" s="94"/>
      <c r="E209" s="103"/>
      <c r="F209" s="25"/>
      <c r="G209" s="71"/>
    </row>
    <row r="210" spans="1:7" ht="20.25" customHeight="1" x14ac:dyDescent="0.3">
      <c r="A210" s="22">
        <f t="shared" si="14"/>
        <v>12</v>
      </c>
      <c r="B210" s="45"/>
      <c r="C210" s="17"/>
      <c r="D210" s="94"/>
      <c r="E210" s="103"/>
      <c r="F210" s="25"/>
      <c r="G210" s="71"/>
    </row>
    <row r="211" spans="1:7" ht="20.25" customHeight="1" x14ac:dyDescent="0.3">
      <c r="A211" s="22">
        <f t="shared" si="14"/>
        <v>13</v>
      </c>
      <c r="B211" s="45"/>
      <c r="C211" s="17"/>
      <c r="D211" s="94"/>
      <c r="E211" s="103"/>
      <c r="F211" s="25"/>
      <c r="G211" s="71"/>
    </row>
    <row r="212" spans="1:7" ht="20.25" customHeight="1" x14ac:dyDescent="0.3">
      <c r="A212" s="22">
        <f t="shared" si="14"/>
        <v>14</v>
      </c>
      <c r="B212" s="45"/>
      <c r="C212" s="17"/>
      <c r="D212" s="94"/>
      <c r="E212" s="103"/>
      <c r="F212" s="25"/>
      <c r="G212" s="71"/>
    </row>
    <row r="213" spans="1:7" ht="20.25" customHeight="1" x14ac:dyDescent="0.3">
      <c r="A213" s="22">
        <f t="shared" si="14"/>
        <v>15</v>
      </c>
      <c r="B213" s="45"/>
      <c r="C213" s="17"/>
      <c r="D213" s="94"/>
      <c r="E213" s="103"/>
      <c r="F213" s="25"/>
      <c r="G213" s="71"/>
    </row>
    <row r="214" spans="1:7" ht="20.25" customHeight="1" x14ac:dyDescent="0.3">
      <c r="A214" s="22">
        <f t="shared" si="14"/>
        <v>16</v>
      </c>
      <c r="B214" s="45"/>
      <c r="C214" s="17"/>
      <c r="D214" s="94"/>
      <c r="E214" s="103"/>
      <c r="F214" s="25"/>
      <c r="G214" s="71"/>
    </row>
    <row r="215" spans="1:7" ht="42.6" customHeight="1" x14ac:dyDescent="0.3">
      <c r="A215" s="22">
        <f t="shared" si="14"/>
        <v>17</v>
      </c>
      <c r="B215" s="45"/>
      <c r="C215" s="17"/>
      <c r="D215" s="94"/>
      <c r="E215" s="103"/>
      <c r="F215" s="25"/>
      <c r="G215" s="71"/>
    </row>
    <row r="216" spans="1:7" ht="49.2" customHeight="1" x14ac:dyDescent="0.3">
      <c r="A216" s="22">
        <f t="shared" si="14"/>
        <v>18</v>
      </c>
      <c r="B216" s="45"/>
      <c r="C216" s="17"/>
      <c r="D216" s="94"/>
      <c r="E216" s="103"/>
      <c r="F216" s="25"/>
      <c r="G216" s="71"/>
    </row>
    <row r="217" spans="1:7" ht="20.25" customHeight="1" x14ac:dyDescent="0.3">
      <c r="A217" s="22">
        <f t="shared" si="14"/>
        <v>19</v>
      </c>
      <c r="B217" s="45"/>
      <c r="C217" s="17"/>
      <c r="D217" s="94"/>
      <c r="E217" s="103"/>
      <c r="F217" s="25"/>
      <c r="G217" s="71"/>
    </row>
    <row r="218" spans="1:7" ht="20.25" customHeight="1" x14ac:dyDescent="0.3">
      <c r="A218" s="22">
        <f t="shared" si="14"/>
        <v>20</v>
      </c>
      <c r="B218" s="45"/>
      <c r="C218" s="17"/>
      <c r="D218" s="94"/>
      <c r="E218" s="103"/>
      <c r="F218" s="25"/>
      <c r="G218" s="71"/>
    </row>
    <row r="219" spans="1:7" ht="20.25" customHeight="1" x14ac:dyDescent="0.3">
      <c r="A219" s="22">
        <f t="shared" si="14"/>
        <v>21</v>
      </c>
      <c r="B219" s="45"/>
      <c r="C219" s="17"/>
      <c r="D219" s="94"/>
      <c r="E219" s="103"/>
      <c r="F219" s="25"/>
      <c r="G219" s="71"/>
    </row>
    <row r="220" spans="1:7" ht="20.25" customHeight="1" thickBot="1" x14ac:dyDescent="0.35">
      <c r="A220" s="22">
        <f t="shared" si="14"/>
        <v>22</v>
      </c>
      <c r="B220" s="45"/>
      <c r="C220" s="17"/>
      <c r="D220" s="94"/>
      <c r="E220" s="103"/>
      <c r="F220" s="25"/>
      <c r="G220" s="71"/>
    </row>
    <row r="221" spans="1:7" ht="20.25" customHeight="1" thickTop="1" thickBot="1" x14ac:dyDescent="0.4">
      <c r="A221" s="125" t="s">
        <v>124</v>
      </c>
      <c r="B221" s="125"/>
      <c r="C221" s="125"/>
      <c r="D221" s="92">
        <f>SUBTOTAL(109,tbl_WI[BEC Time  (seg..)])</f>
        <v>14931</v>
      </c>
      <c r="E221" s="126">
        <f>SUBTOTAL(109,tbl_WI[Work Time (seg…)])</f>
        <v>3553</v>
      </c>
      <c r="F221" s="127">
        <f>SUBTOTAL(109,tbl_WI[Tiempo de Espera (seg..)])</f>
        <v>930</v>
      </c>
      <c r="G221" s="128">
        <f>SUBTOTAL(109,tbl_WI[Tiempo de Caminatas (seg..)])</f>
        <v>2475</v>
      </c>
    </row>
    <row r="222" spans="1:7" ht="20.25" customHeight="1" x14ac:dyDescent="0.25">
      <c r="A222" s="159"/>
      <c r="B222" s="160"/>
      <c r="C222" s="161"/>
      <c r="D222" s="161"/>
      <c r="E222" s="161"/>
      <c r="F222" s="161"/>
      <c r="G222" s="162"/>
    </row>
    <row r="223" spans="1:7" ht="20.25" customHeight="1" thickBot="1" x14ac:dyDescent="0.45">
      <c r="A223" s="67" t="s">
        <v>125</v>
      </c>
      <c r="B223" s="11"/>
      <c r="C223" s="161"/>
      <c r="D223" s="161"/>
      <c r="E223" s="161"/>
      <c r="F223" s="161"/>
      <c r="G223" s="162"/>
    </row>
    <row r="224" spans="1:7" ht="20.25" customHeight="1" thickBot="1" x14ac:dyDescent="0.35">
      <c r="A224" s="64"/>
      <c r="B224" s="63"/>
      <c r="F224" s="5" t="s">
        <v>126</v>
      </c>
      <c r="G224" s="16">
        <f>'Master Sheet'!G5</f>
        <v>47.008547008547005</v>
      </c>
    </row>
    <row r="225" spans="1:7" ht="20.25" customHeight="1" x14ac:dyDescent="0.3">
      <c r="A225" s="64"/>
      <c r="B225" s="63"/>
      <c r="C225" s="61" t="s">
        <v>127</v>
      </c>
      <c r="D225" s="173">
        <f>(tbl_WI[[#Totals],[BEC Time  (seg..)]]+tbl_WI[[#Totals],[Work Time (seg…)]]+tbl_WI[[#Totals],[Tiempo de Espera (seg..)]]+tbl_WI[[#Totals],[Tiempo de Caminatas (seg..)]])/60</f>
        <v>364.81666666666666</v>
      </c>
      <c r="E225" s="174"/>
      <c r="F225" s="6" t="s">
        <v>128</v>
      </c>
      <c r="G225" s="7">
        <f>+D225/G224</f>
        <v>7.7606454545454548</v>
      </c>
    </row>
    <row r="226" spans="1:7" ht="20.25" customHeight="1" thickBot="1" x14ac:dyDescent="0.35">
      <c r="A226" s="64"/>
      <c r="B226" s="63"/>
      <c r="C226" s="62" t="s">
        <v>129</v>
      </c>
      <c r="D226" s="171">
        <f>+D225*1.08</f>
        <v>394.00200000000001</v>
      </c>
      <c r="E226" s="172"/>
      <c r="F226" s="8" t="s">
        <v>130</v>
      </c>
      <c r="G226" s="9">
        <f>ROUNDUP(D226/G224,0)</f>
        <v>9</v>
      </c>
    </row>
    <row r="227" spans="1:7" ht="20.25" customHeight="1" thickBot="1" x14ac:dyDescent="0.3">
      <c r="A227" s="65"/>
      <c r="B227" s="66"/>
      <c r="C227" s="157"/>
      <c r="D227" s="157"/>
      <c r="E227" s="157"/>
      <c r="F227" s="157"/>
      <c r="G227" s="158"/>
    </row>
    <row r="241" spans="3:5" ht="15" x14ac:dyDescent="0.25">
      <c r="C241" s="27"/>
      <c r="D241" s="93"/>
      <c r="E241" s="27"/>
    </row>
    <row r="245" spans="3:5" ht="15.75" customHeight="1" x14ac:dyDescent="0.25"/>
  </sheetData>
  <sortState xmlns:xlrd2="http://schemas.microsoft.com/office/spreadsheetml/2017/richdata2" ref="J13:J33">
    <sortCondition ref="J13"/>
  </sortState>
  <mergeCells count="16">
    <mergeCell ref="C3:D3"/>
    <mergeCell ref="C2:D2"/>
    <mergeCell ref="A3:B3"/>
    <mergeCell ref="E3:F3"/>
    <mergeCell ref="A1:G1"/>
    <mergeCell ref="A2:B2"/>
    <mergeCell ref="E2:F2"/>
    <mergeCell ref="C227:G227"/>
    <mergeCell ref="A222:B222"/>
    <mergeCell ref="C222:G223"/>
    <mergeCell ref="A4:B4"/>
    <mergeCell ref="A5:B5"/>
    <mergeCell ref="C5:D5"/>
    <mergeCell ref="C4:D4"/>
    <mergeCell ref="D226:E226"/>
    <mergeCell ref="D225:E225"/>
  </mergeCells>
  <phoneticPr fontId="30" type="noConversion"/>
  <conditionalFormatting sqref="A134 D134:G134">
    <cfRule type="expression" dxfId="608" priority="736">
      <formula>FIND("Activar",$B134)</formula>
    </cfRule>
    <cfRule type="expression" dxfId="607" priority="719">
      <formula>FIND("Sacar",$B134)</formula>
    </cfRule>
    <cfRule type="expression" dxfId="606" priority="720">
      <formula>FIND("Quitar",$B134)</formula>
    </cfRule>
    <cfRule type="expression" dxfId="605" priority="721">
      <formula>FIND("Pulir",$B134)</formula>
    </cfRule>
    <cfRule type="expression" dxfId="604" priority="722">
      <formula>FIND("Preparar",$B134)</formula>
    </cfRule>
    <cfRule type="expression" dxfId="603" priority="723">
      <formula>FIND("Mover",$B134)</formula>
    </cfRule>
    <cfRule type="expression" dxfId="602" priority="724">
      <formula>FIND("Meter",$B134)</formula>
    </cfRule>
    <cfRule type="expression" dxfId="601" priority="734">
      <formula>FIND("Aflojar",$B134)</formula>
    </cfRule>
    <cfRule type="expression" dxfId="600" priority="732">
      <formula>FIND("Cerrar",$B134)</formula>
    </cfRule>
    <cfRule type="expression" dxfId="599" priority="733">
      <formula>FIND("Ajustar",$B134)</formula>
    </cfRule>
    <cfRule type="expression" dxfId="598" priority="725">
      <formula>FIND("Juntar",$B134)</formula>
    </cfRule>
    <cfRule type="expression" dxfId="597" priority="726">
      <formula>FIND("Guiar",$B134)</formula>
    </cfRule>
    <cfRule type="expression" dxfId="596" priority="727">
      <formula>FIND("Firmar",$B134)</formula>
    </cfRule>
    <cfRule type="expression" dxfId="595" priority="731">
      <formula>FIND("Colocar",$B134)</formula>
    </cfRule>
    <cfRule type="expression" dxfId="594" priority="728">
      <formula>FIND("Encender",$B134)</formula>
    </cfRule>
    <cfRule type="expression" dxfId="593" priority="729">
      <formula>FIND("Dejar",$B134)</formula>
    </cfRule>
    <cfRule type="expression" dxfId="592" priority="730">
      <formula>FIND("Cortar",$B134)</formula>
    </cfRule>
    <cfRule type="expression" dxfId="591" priority="716">
      <formula>FIND("Caminar",$B134)</formula>
    </cfRule>
    <cfRule type="expression" dxfId="590" priority="717">
      <formula>FIND("Verificar",$B134)</formula>
    </cfRule>
    <cfRule type="expression" dxfId="589" priority="715">
      <formula>FIND("Trasladar",$B134)</formula>
    </cfRule>
    <cfRule type="expression" dxfId="588" priority="718">
      <formula>FIND("Tomar",$B134)</formula>
    </cfRule>
    <cfRule type="expression" dxfId="587" priority="714">
      <formula>FIND("Esperar",$B134)</formula>
    </cfRule>
    <cfRule type="expression" dxfId="586" priority="747">
      <formula>FIND("Apretar",$B134)</formula>
    </cfRule>
    <cfRule type="expression" dxfId="585" priority="746">
      <formula>FIND("Conectar",$B134)</formula>
    </cfRule>
    <cfRule type="expression" dxfId="584" priority="745">
      <formula>FIND("Elaborar",$B134)</formula>
    </cfRule>
    <cfRule type="expression" dxfId="583" priority="744">
      <formula>FIND("Instalar",$B134)</formula>
    </cfRule>
    <cfRule type="expression" dxfId="582" priority="743">
      <formula>FIND("Perforar",$B134)</formula>
    </cfRule>
    <cfRule type="expression" dxfId="581" priority="742">
      <formula>FIND("Pintar",$B134)</formula>
    </cfRule>
    <cfRule type="expression" dxfId="580" priority="741">
      <formula>FIND("Programar",$B134)</formula>
    </cfRule>
    <cfRule type="expression" dxfId="579" priority="740">
      <formula>FIND("Puntear",$B134)</formula>
    </cfRule>
    <cfRule type="expression" dxfId="578" priority="739">
      <formula>FIND("Remachar",$B134)</formula>
    </cfRule>
    <cfRule type="expression" dxfId="577" priority="738">
      <formula>FIND("Rutear",$B134)</formula>
    </cfRule>
    <cfRule type="expression" dxfId="576" priority="737">
      <formula>FIND("Abrir",$B134)</formula>
    </cfRule>
  </conditionalFormatting>
  <conditionalFormatting sqref="A191 D191:G191">
    <cfRule type="expression" dxfId="575" priority="77">
      <formula>FIND("Preparar",$B191)</formula>
    </cfRule>
    <cfRule type="expression" dxfId="574" priority="84">
      <formula>FIND("Dejar",$B191)</formula>
    </cfRule>
    <cfRule type="expression" dxfId="573" priority="85">
      <formula>FIND("Cortar",$B191)</formula>
    </cfRule>
    <cfRule type="expression" dxfId="572" priority="86">
      <formula>FIND("Colocar",$B191)</formula>
    </cfRule>
    <cfRule type="expression" dxfId="571" priority="87">
      <formula>FIND("Cerrar",$B191)</formula>
    </cfRule>
    <cfRule type="expression" dxfId="570" priority="88">
      <formula>FIND("Ajustar",$B191)</formula>
    </cfRule>
    <cfRule type="expression" dxfId="569" priority="89">
      <formula>FIND("Aflojar",$B191)</formula>
    </cfRule>
    <cfRule type="expression" dxfId="568" priority="90">
      <formula>FIND("Activar",$B191)</formula>
    </cfRule>
    <cfRule type="expression" dxfId="567" priority="91">
      <formula>FIND("Abrir",$B191)</formula>
    </cfRule>
    <cfRule type="expression" dxfId="566" priority="92">
      <formula>FIND("Rutear",$B191)</formula>
    </cfRule>
    <cfRule type="expression" dxfId="565" priority="93">
      <formula>FIND("Remachar",$B191)</formula>
    </cfRule>
    <cfRule type="expression" dxfId="564" priority="94">
      <formula>FIND("Puntear",$B191)</formula>
    </cfRule>
    <cfRule type="expression" dxfId="563" priority="95">
      <formula>FIND("Programar",$B191)</formula>
    </cfRule>
    <cfRule type="expression" dxfId="562" priority="96">
      <formula>FIND("Pintar",$B191)</formula>
    </cfRule>
    <cfRule type="expression" dxfId="561" priority="97">
      <formula>FIND("Perforar",$B191)</formula>
    </cfRule>
    <cfRule type="expression" dxfId="560" priority="99">
      <formula>FIND("Elaborar",$B191)</formula>
    </cfRule>
    <cfRule type="expression" dxfId="559" priority="100">
      <formula>FIND("Conectar",$B191)</formula>
    </cfRule>
    <cfRule type="expression" dxfId="558" priority="101">
      <formula>FIND("Apretar",$B191)</formula>
    </cfRule>
    <cfRule type="expression" dxfId="557" priority="98">
      <formula>FIND("Instalar",$B191)</formula>
    </cfRule>
    <cfRule type="expression" dxfId="556" priority="75">
      <formula>FIND("Quitar",$B191)</formula>
    </cfRule>
    <cfRule type="expression" dxfId="555" priority="69">
      <formula>FIND("Esperar",$B191)</formula>
    </cfRule>
    <cfRule type="expression" dxfId="554" priority="70">
      <formula>FIND("Trasladar",$B191)</formula>
    </cfRule>
    <cfRule type="expression" dxfId="553" priority="71">
      <formula>FIND("Caminar",$B191)</formula>
    </cfRule>
    <cfRule type="expression" dxfId="552" priority="72">
      <formula>FIND("Verificar",$B191)</formula>
    </cfRule>
    <cfRule type="expression" dxfId="551" priority="73">
      <formula>FIND("Tomar",$B191)</formula>
    </cfRule>
    <cfRule type="expression" dxfId="550" priority="74">
      <formula>FIND("Sacar",$B191)</formula>
    </cfRule>
    <cfRule type="expression" dxfId="549" priority="76">
      <formula>FIND("Pulir",$B191)</formula>
    </cfRule>
    <cfRule type="expression" dxfId="548" priority="78">
      <formula>FIND("Mover",$B191)</formula>
    </cfRule>
    <cfRule type="expression" dxfId="547" priority="79">
      <formula>FIND("Meter",$B191)</formula>
    </cfRule>
    <cfRule type="expression" dxfId="546" priority="80">
      <formula>FIND("Juntar",$B191)</formula>
    </cfRule>
    <cfRule type="expression" dxfId="545" priority="81">
      <formula>FIND("Guiar",$B191)</formula>
    </cfRule>
    <cfRule type="expression" dxfId="544" priority="82">
      <formula>FIND("Firmar",$B191)</formula>
    </cfRule>
    <cfRule type="expression" dxfId="543" priority="83">
      <formula>FIND("Encender",$B191)</formula>
    </cfRule>
  </conditionalFormatting>
  <conditionalFormatting sqref="A198 D198:G198">
    <cfRule type="expression" dxfId="542" priority="679">
      <formula>FIND("Apretar",$B198)</formula>
    </cfRule>
    <cfRule type="expression" dxfId="541" priority="678">
      <formula>FIND("Conectar",$B198)</formula>
    </cfRule>
    <cfRule type="expression" dxfId="540" priority="677">
      <formula>FIND("Elaborar",$B198)</formula>
    </cfRule>
    <cfRule type="expression" dxfId="539" priority="676">
      <formula>FIND("Instalar",$B198)</formula>
    </cfRule>
    <cfRule type="expression" dxfId="538" priority="675">
      <formula>FIND("Perforar",$B198)</formula>
    </cfRule>
    <cfRule type="expression" dxfId="537" priority="674">
      <formula>FIND("Pintar",$B198)</formula>
    </cfRule>
    <cfRule type="expression" dxfId="536" priority="673">
      <formula>FIND("Programar",$B198)</formula>
    </cfRule>
    <cfRule type="expression" dxfId="535" priority="672">
      <formula>FIND("Puntear",$B198)</formula>
    </cfRule>
    <cfRule type="expression" dxfId="534" priority="671">
      <formula>FIND("Remachar",$B198)</formula>
    </cfRule>
    <cfRule type="expression" dxfId="533" priority="670">
      <formula>FIND("Rutear",$B198)</formula>
    </cfRule>
    <cfRule type="expression" dxfId="532" priority="669">
      <formula>FIND("Abrir",$B198)</formula>
    </cfRule>
    <cfRule type="expression" dxfId="531" priority="668">
      <formula>FIND("Activar",$B198)</formula>
    </cfRule>
    <cfRule type="expression" dxfId="530" priority="666">
      <formula>FIND("Aflojar",$B198)</formula>
    </cfRule>
    <cfRule type="expression" dxfId="529" priority="665">
      <formula>FIND("Ajustar",$B198)</formula>
    </cfRule>
    <cfRule type="expression" dxfId="528" priority="664">
      <formula>FIND("Cerrar",$B198)</formula>
    </cfRule>
    <cfRule type="expression" dxfId="527" priority="663">
      <formula>FIND("Colocar",$B198)</formula>
    </cfRule>
    <cfRule type="expression" dxfId="526" priority="662">
      <formula>FIND("Cortar",$B198)</formula>
    </cfRule>
    <cfRule type="expression" dxfId="525" priority="661">
      <formula>FIND("Dejar",$B198)</formula>
    </cfRule>
    <cfRule type="expression" dxfId="524" priority="657">
      <formula>FIND("Juntar",$B198)</formula>
    </cfRule>
    <cfRule type="expression" dxfId="523" priority="660">
      <formula>FIND("Encender",$B198)</formula>
    </cfRule>
    <cfRule type="expression" dxfId="522" priority="658">
      <formula>FIND("Guiar",$B198)</formula>
    </cfRule>
    <cfRule type="expression" dxfId="521" priority="649">
      <formula>FIND("Verificar",$B198)</formula>
    </cfRule>
    <cfRule type="expression" dxfId="520" priority="659">
      <formula>FIND("Firmar",$B198)</formula>
    </cfRule>
    <cfRule type="expression" dxfId="519" priority="646">
      <formula>FIND("Esperar",$B198)</formula>
    </cfRule>
    <cfRule type="expression" dxfId="518" priority="647">
      <formula>FIND("Trasladar",$B198)</formula>
    </cfRule>
    <cfRule type="expression" dxfId="517" priority="648">
      <formula>FIND("Caminar",$B198)</formula>
    </cfRule>
    <cfRule type="expression" dxfId="516" priority="650">
      <formula>FIND("Tomar",$B198)</formula>
    </cfRule>
    <cfRule type="expression" dxfId="515" priority="651">
      <formula>FIND("Sacar",$B198)</formula>
    </cfRule>
    <cfRule type="expression" dxfId="514" priority="652">
      <formula>FIND("Quitar",$B198)</formula>
    </cfRule>
    <cfRule type="expression" dxfId="513" priority="653">
      <formula>FIND("Pulir",$B198)</formula>
    </cfRule>
    <cfRule type="expression" dxfId="512" priority="654">
      <formula>FIND("Preparar",$B198)</formula>
    </cfRule>
    <cfRule type="expression" dxfId="511" priority="655">
      <formula>FIND("Mover",$B198)</formula>
    </cfRule>
    <cfRule type="expression" dxfId="510" priority="656">
      <formula>FIND("Meter",$B198)</formula>
    </cfRule>
  </conditionalFormatting>
  <conditionalFormatting sqref="A36:G39 B40:G45 A40:A48 B46:B48 C47:C56 A49:B56 A57:G75 B76:G76 A76:A89 B89:G89 A90:G90 B91:G91 A91:A96 C92:C96 A97:G97 A98:A99 A100:G100 A101 C101:G101 C77:C88">
    <cfRule type="expression" dxfId="509" priority="1229">
      <formula>FIND("Perforar",$B36)</formula>
    </cfRule>
    <cfRule type="expression" dxfId="508" priority="1228">
      <formula>FIND("Instalar",$B36)</formula>
    </cfRule>
    <cfRule type="expression" dxfId="507" priority="1227">
      <formula>FIND("Elaborar",$B36)</formula>
    </cfRule>
    <cfRule type="expression" dxfId="506" priority="1226">
      <formula>FIND("Conectar",$B36)</formula>
    </cfRule>
    <cfRule type="expression" dxfId="505" priority="1225">
      <formula>FIND("Apretar",$B36)</formula>
    </cfRule>
    <cfRule type="expression" dxfId="504" priority="1234">
      <formula>FIND("Rutear",$B36)</formula>
    </cfRule>
    <cfRule type="expression" dxfId="503" priority="1233">
      <formula>FIND("Remachar",$B36)</formula>
    </cfRule>
    <cfRule type="expression" dxfId="502" priority="1232">
      <formula>FIND("Puntear",$B36)</formula>
    </cfRule>
    <cfRule type="expression" dxfId="501" priority="1231">
      <formula>FIND("Programar",$B36)</formula>
    </cfRule>
    <cfRule type="expression" dxfId="500" priority="1230">
      <formula>FIND("Pintar",$B36)</formula>
    </cfRule>
  </conditionalFormatting>
  <conditionalFormatting sqref="A36:G39 B40:G45 A40:A48 B46:B48 C47:C56 A49:B56 A57:G75 B76:G76 A76:A89 C77:C88 B89:G89 A90:G90 B91:G91 A91:A96 C92:C96 A97:G97 A98:A99 A100:G100 A101 C101:G101">
    <cfRule type="expression" dxfId="499" priority="1249">
      <formula>FIND("Preparar",$B36)</formula>
    </cfRule>
    <cfRule type="expression" dxfId="498" priority="1250">
      <formula>FIND("Pulir",$B36)</formula>
    </cfRule>
    <cfRule type="expression" dxfId="497" priority="1257">
      <formula>FIND("Esperar",$B36)</formula>
    </cfRule>
    <cfRule type="expression" dxfId="496" priority="1251">
      <formula>FIND("Quitar",$B36)</formula>
    </cfRule>
    <cfRule type="expression" dxfId="495" priority="1252">
      <formula>FIND("Sacar",$B36)</formula>
    </cfRule>
    <cfRule type="expression" dxfId="494" priority="1253">
      <formula>FIND("Tomar",$B36)</formula>
    </cfRule>
    <cfRule type="expression" dxfId="493" priority="1254">
      <formula>FIND("Verificar",$B36)</formula>
    </cfRule>
    <cfRule type="expression" dxfId="492" priority="1243">
      <formula>FIND("Encender",$B36)</formula>
    </cfRule>
    <cfRule type="expression" dxfId="491" priority="1235">
      <formula>FIND("Abrir",$B36)</formula>
    </cfRule>
    <cfRule type="expression" dxfId="490" priority="1256">
      <formula>FIND("Trasladar",$B36)</formula>
    </cfRule>
    <cfRule type="expression" dxfId="489" priority="1255">
      <formula>FIND("Caminar",$B36)</formula>
    </cfRule>
    <cfRule type="expression" dxfId="488" priority="1236">
      <formula>FIND("Activar",$B36)</formula>
    </cfRule>
    <cfRule type="expression" dxfId="487" priority="1237">
      <formula>FIND("Aflojar",$B36)</formula>
    </cfRule>
    <cfRule type="expression" dxfId="486" priority="1238">
      <formula>FIND("Ajustar",$B36)</formula>
    </cfRule>
    <cfRule type="expression" dxfId="485" priority="1239">
      <formula>FIND("Cerrar",$B36)</formula>
    </cfRule>
    <cfRule type="expression" dxfId="484" priority="1240">
      <formula>FIND("Colocar",$B36)</formula>
    </cfRule>
    <cfRule type="expression" dxfId="483" priority="1241">
      <formula>FIND("Cortar",$B36)</formula>
    </cfRule>
    <cfRule type="expression" dxfId="482" priority="1242">
      <formula>FIND("Dejar",$B36)</formula>
    </cfRule>
    <cfRule type="expression" dxfId="481" priority="1244">
      <formula>FIND("Firmar",$B36)</formula>
    </cfRule>
    <cfRule type="expression" dxfId="480" priority="1245">
      <formula>FIND("Guiar",$B36)</formula>
    </cfRule>
    <cfRule type="expression" dxfId="479" priority="1246">
      <formula>FIND("Juntar",$B36)</formula>
    </cfRule>
    <cfRule type="expression" dxfId="478" priority="1247">
      <formula>FIND("Meter",$B36)</formula>
    </cfRule>
    <cfRule type="expression" dxfId="477" priority="1248">
      <formula>FIND("Mover",$B36)</formula>
    </cfRule>
  </conditionalFormatting>
  <conditionalFormatting sqref="A36:G39 B40:G45 A40:A48 B46:B48 C47:C56 A49:B56 A57:G75 B76:G76 A89:G90 B91:G91 A91:A96 C92:C96 A97:G97 A98:A99 A100:G100 A101 C101:G101">
    <cfRule type="expression" dxfId="476" priority="1224">
      <formula>FIND("Marcar",$B36)</formula>
    </cfRule>
  </conditionalFormatting>
  <conditionalFormatting sqref="A102:G133 A76:A89 C77:C88">
    <cfRule type="expression" dxfId="475" priority="1054">
      <formula>FIND("Marcar",$B76)</formula>
    </cfRule>
  </conditionalFormatting>
  <conditionalFormatting sqref="A102:G133">
    <cfRule type="expression" dxfId="474" priority="1044">
      <formula>FIND("Mover",$B102)</formula>
    </cfRule>
    <cfRule type="expression" dxfId="473" priority="1053">
      <formula>FIND("Esperar",$B102)</formula>
    </cfRule>
    <cfRule type="expression" dxfId="472" priority="1052">
      <formula>FIND("Trasladar",$B102)</formula>
    </cfRule>
    <cfRule type="expression" dxfId="471" priority="1051">
      <formula>FIND("Caminar",$B102)</formula>
    </cfRule>
    <cfRule type="expression" dxfId="470" priority="1041">
      <formula>FIND("Guiar",$B102)</formula>
    </cfRule>
    <cfRule type="expression" dxfId="469" priority="1042">
      <formula>FIND("Juntar",$B102)</formula>
    </cfRule>
    <cfRule type="expression" dxfId="468" priority="1043">
      <formula>FIND("Meter",$B102)</formula>
    </cfRule>
    <cfRule type="expression" dxfId="467" priority="1045">
      <formula>FIND("Preparar",$B102)</formula>
    </cfRule>
    <cfRule type="expression" dxfId="466" priority="1047">
      <formula>FIND("Quitar",$B102)</formula>
    </cfRule>
    <cfRule type="expression" dxfId="465" priority="1048">
      <formula>FIND("Sacar",$B102)</formula>
    </cfRule>
    <cfRule type="expression" dxfId="464" priority="1049">
      <formula>FIND("Tomar",$B102)</formula>
    </cfRule>
    <cfRule type="expression" dxfId="463" priority="1050">
      <formula>FIND("Verificar",$B102)</formula>
    </cfRule>
    <cfRule type="expression" dxfId="462" priority="1033">
      <formula>FIND("Aflojar",$B102)</formula>
    </cfRule>
    <cfRule type="expression" dxfId="461" priority="1032">
      <formula>FIND("Activar",$B102)</formula>
    </cfRule>
    <cfRule type="expression" dxfId="460" priority="1031">
      <formula>FIND("Abrir",$B102)</formula>
    </cfRule>
    <cfRule type="expression" dxfId="459" priority="1030">
      <formula>FIND("Rutear",$B102)</formula>
    </cfRule>
    <cfRule type="expression" dxfId="458" priority="1029">
      <formula>FIND("Remachar",$B102)</formula>
    </cfRule>
    <cfRule type="expression" dxfId="457" priority="1028">
      <formula>FIND("Puntear",$B102)</formula>
    </cfRule>
    <cfRule type="expression" dxfId="456" priority="1027">
      <formula>FIND("Programar",$B102)</formula>
    </cfRule>
    <cfRule type="expression" dxfId="455" priority="1035">
      <formula>FIND("Cerrar",$B102)</formula>
    </cfRule>
    <cfRule type="expression" dxfId="454" priority="1036">
      <formula>FIND("Colocar",$B102)</formula>
    </cfRule>
    <cfRule type="expression" dxfId="453" priority="1025">
      <formula>FIND("Perforar",$B102)</formula>
    </cfRule>
    <cfRule type="expression" dxfId="452" priority="1024">
      <formula>FIND("Instalar",$B102)</formula>
    </cfRule>
    <cfRule type="expression" dxfId="451" priority="1023">
      <formula>FIND("Elaborar",$B102)</formula>
    </cfRule>
    <cfRule type="expression" dxfId="450" priority="1022">
      <formula>FIND("Conectar",$B102)</formula>
    </cfRule>
    <cfRule type="expression" dxfId="449" priority="1021">
      <formula>FIND("Apretar",$B102)</formula>
    </cfRule>
    <cfRule type="expression" dxfId="448" priority="1034">
      <formula>FIND("Ajustar",$B102)</formula>
    </cfRule>
    <cfRule type="expression" dxfId="447" priority="1037">
      <formula>FIND("Cortar",$B102)</formula>
    </cfRule>
    <cfRule type="expression" dxfId="446" priority="1038">
      <formula>FIND("Dejar",$B102)</formula>
    </cfRule>
    <cfRule type="expression" dxfId="445" priority="1046">
      <formula>FIND("Pulir",$B102)</formula>
    </cfRule>
    <cfRule type="expression" dxfId="444" priority="1039">
      <formula>FIND("Encender",$B102)</formula>
    </cfRule>
    <cfRule type="expression" dxfId="443" priority="1040">
      <formula>FIND("Firmar",$B102)</formula>
    </cfRule>
    <cfRule type="expression" dxfId="442" priority="1026">
      <formula>FIND("Pintar",$B102)</formula>
    </cfRule>
  </conditionalFormatting>
  <conditionalFormatting sqref="A135:G190 A192:G197 A199:G220">
    <cfRule type="expression" dxfId="441" priority="782">
      <formula>FIND("Marcar",$B135)</formula>
    </cfRule>
    <cfRule type="expression" dxfId="440" priority="799">
      <formula>FIND("Cortar",$B135)</formula>
    </cfRule>
    <cfRule type="expression" dxfId="439" priority="815">
      <formula>FIND("Esperar",$B135)</formula>
    </cfRule>
    <cfRule type="expression" dxfId="438" priority="814">
      <formula>FIND("Trasladar",$B135)</formula>
    </cfRule>
    <cfRule type="expression" dxfId="437" priority="813">
      <formula>FIND("Caminar",$B135)</formula>
    </cfRule>
    <cfRule type="expression" dxfId="436" priority="812">
      <formula>FIND("Verificar",$B135)</formula>
    </cfRule>
    <cfRule type="expression" dxfId="435" priority="811">
      <formula>FIND("Tomar",$B135)</formula>
    </cfRule>
    <cfRule type="expression" dxfId="434" priority="810">
      <formula>FIND("Sacar",$B135)</formula>
    </cfRule>
    <cfRule type="expression" dxfId="433" priority="809">
      <formula>FIND("Quitar",$B135)</formula>
    </cfRule>
    <cfRule type="expression" dxfId="432" priority="808">
      <formula>FIND("Pulir",$B135)</formula>
    </cfRule>
    <cfRule type="expression" dxfId="431" priority="807">
      <formula>FIND("Preparar",$B135)</formula>
    </cfRule>
    <cfRule type="expression" dxfId="430" priority="806">
      <formula>FIND("Mover",$B135)</formula>
    </cfRule>
    <cfRule type="expression" dxfId="429" priority="805">
      <formula>FIND("Meter",$B135)</formula>
    </cfRule>
    <cfRule type="expression" dxfId="428" priority="804">
      <formula>FIND("Juntar",$B135)</formula>
    </cfRule>
    <cfRule type="expression" dxfId="427" priority="803">
      <formula>FIND("Guiar",$B135)</formula>
    </cfRule>
    <cfRule type="expression" dxfId="426" priority="802">
      <formula>FIND("Firmar",$B135)</formula>
    </cfRule>
    <cfRule type="expression" dxfId="425" priority="801">
      <formula>FIND("Encender",$B135)</formula>
    </cfRule>
    <cfRule type="expression" dxfId="424" priority="800">
      <formula>FIND("Dejar",$B135)</formula>
    </cfRule>
    <cfRule type="expression" dxfId="423" priority="798">
      <formula>FIND("Colocar",$B135)</formula>
    </cfRule>
    <cfRule type="expression" dxfId="422" priority="797">
      <formula>FIND("Cerrar",$B135)</formula>
    </cfRule>
    <cfRule type="expression" dxfId="421" priority="796">
      <formula>FIND("Ajustar",$B135)</formula>
    </cfRule>
    <cfRule type="expression" dxfId="420" priority="795">
      <formula>FIND("Aflojar",$B135)</formula>
    </cfRule>
    <cfRule type="expression" dxfId="419" priority="794">
      <formula>FIND("Activar",$B135)</formula>
    </cfRule>
    <cfRule type="expression" dxfId="418" priority="793">
      <formula>FIND("Abrir",$B135)</formula>
    </cfRule>
    <cfRule type="expression" dxfId="417" priority="792">
      <formula>FIND("Rutear",$B135)</formula>
    </cfRule>
    <cfRule type="expression" dxfId="416" priority="791">
      <formula>FIND("Remachar",$B135)</formula>
    </cfRule>
    <cfRule type="expression" dxfId="415" priority="790">
      <formula>FIND("Puntear",$B135)</formula>
    </cfRule>
    <cfRule type="expression" dxfId="414" priority="789">
      <formula>FIND("Programar",$B135)</formula>
    </cfRule>
    <cfRule type="expression" dxfId="413" priority="788">
      <formula>FIND("Pintar",$B135)</formula>
    </cfRule>
    <cfRule type="expression" dxfId="412" priority="787">
      <formula>FIND("Perforar",$B135)</formula>
    </cfRule>
    <cfRule type="expression" dxfId="411" priority="786">
      <formula>FIND("Instalar",$B135)</formula>
    </cfRule>
    <cfRule type="expression" dxfId="410" priority="785">
      <formula>FIND("Elaborar",$B135)</formula>
    </cfRule>
    <cfRule type="expression" dxfId="409" priority="784">
      <formula>FIND("Conectar",$B135)</formula>
    </cfRule>
    <cfRule type="expression" dxfId="408" priority="783">
      <formula>FIND("Apretar",$B135)</formula>
    </cfRule>
  </conditionalFormatting>
  <conditionalFormatting sqref="B77:B88 D77:G88">
    <cfRule type="expression" dxfId="407" priority="238">
      <formula>FIND("Esperar",$B77)</formula>
    </cfRule>
    <cfRule type="expression" dxfId="406" priority="237">
      <formula>FIND("Trasladar",$B77)</formula>
    </cfRule>
    <cfRule type="expression" dxfId="405" priority="234">
      <formula>FIND("Tomar",$B77)</formula>
    </cfRule>
    <cfRule type="expression" dxfId="404" priority="235">
      <formula>FIND("Verificar",$B77)</formula>
    </cfRule>
    <cfRule type="expression" dxfId="403" priority="236">
      <formula>FIND("Caminar",$B77)</formula>
    </cfRule>
    <cfRule type="expression" dxfId="402" priority="205">
      <formula>FIND("Marcar",$B77)</formula>
    </cfRule>
    <cfRule type="expression" dxfId="401" priority="206">
      <formula>FIND("Apretar",$B77)</formula>
    </cfRule>
    <cfRule type="expression" dxfId="400" priority="207">
      <formula>FIND("Conectar",$B77)</formula>
    </cfRule>
    <cfRule type="expression" dxfId="399" priority="208">
      <formula>FIND("Elaborar",$B77)</formula>
    </cfRule>
    <cfRule type="expression" dxfId="398" priority="209">
      <formula>FIND("Instalar",$B77)</formula>
    </cfRule>
    <cfRule type="expression" dxfId="397" priority="210">
      <formula>FIND("Perforar",$B77)</formula>
    </cfRule>
    <cfRule type="expression" dxfId="396" priority="211">
      <formula>FIND("Pintar",$B77)</formula>
    </cfRule>
    <cfRule type="expression" dxfId="395" priority="212">
      <formula>FIND("Programar",$B77)</formula>
    </cfRule>
    <cfRule type="expression" dxfId="394" priority="213">
      <formula>FIND("Puntear",$B77)</formula>
    </cfRule>
    <cfRule type="expression" dxfId="393" priority="214">
      <formula>FIND("Remachar",$B77)</formula>
    </cfRule>
    <cfRule type="expression" dxfId="392" priority="215">
      <formula>FIND("Rutear",$B77)</formula>
    </cfRule>
    <cfRule type="expression" dxfId="391" priority="216">
      <formula>FIND("Abrir",$B77)</formula>
    </cfRule>
    <cfRule type="expression" dxfId="390" priority="220">
      <formula>FIND("Cerrar",$B77)</formula>
    </cfRule>
    <cfRule type="expression" dxfId="389" priority="217">
      <formula>FIND("Activar",$B77)</formula>
    </cfRule>
    <cfRule type="expression" dxfId="388" priority="218">
      <formula>FIND("Aflojar",$B77)</formula>
    </cfRule>
    <cfRule type="expression" dxfId="387" priority="219">
      <formula>FIND("Ajustar",$B77)</formula>
    </cfRule>
    <cfRule type="expression" dxfId="386" priority="221">
      <formula>FIND("Colocar",$B77)</formula>
    </cfRule>
    <cfRule type="expression" dxfId="385" priority="222">
      <formula>FIND("Cortar",$B77)</formula>
    </cfRule>
    <cfRule type="expression" dxfId="384" priority="223">
      <formula>FIND("Dejar",$B77)</formula>
    </cfRule>
    <cfRule type="expression" dxfId="383" priority="224">
      <formula>FIND("Encender",$B77)</formula>
    </cfRule>
    <cfRule type="expression" dxfId="382" priority="225">
      <formula>FIND("Firmar",$B77)</formula>
    </cfRule>
    <cfRule type="expression" dxfId="381" priority="226">
      <formula>FIND("Guiar",$B77)</formula>
    </cfRule>
    <cfRule type="expression" dxfId="380" priority="227">
      <formula>FIND("Juntar",$B77)</formula>
    </cfRule>
    <cfRule type="expression" dxfId="379" priority="228">
      <formula>FIND("Meter",$B77)</formula>
    </cfRule>
    <cfRule type="expression" dxfId="378" priority="229">
      <formula>FIND("Mover",$B77)</formula>
    </cfRule>
    <cfRule type="expression" dxfId="377" priority="230">
      <formula>FIND("Preparar",$B77)</formula>
    </cfRule>
    <cfRule type="expression" dxfId="376" priority="231">
      <formula>FIND("Pulir",$B77)</formula>
    </cfRule>
    <cfRule type="expression" dxfId="375" priority="232">
      <formula>FIND("Quitar",$B77)</formula>
    </cfRule>
    <cfRule type="expression" dxfId="374" priority="233">
      <formula>FIND("Sacar",$B77)</formula>
    </cfRule>
  </conditionalFormatting>
  <conditionalFormatting sqref="B92:B96 D92:G96">
    <cfRule type="expression" dxfId="373" priority="525">
      <formula>FIND("Cerrar",$B92)</formula>
    </cfRule>
    <cfRule type="expression" dxfId="372" priority="543">
      <formula>FIND("Esperar",$B92)</formula>
    </cfRule>
    <cfRule type="expression" dxfId="371" priority="542">
      <formula>FIND("Trasladar",$B92)</formula>
    </cfRule>
    <cfRule type="expression" dxfId="370" priority="510">
      <formula>FIND("Marcar",$B92)</formula>
    </cfRule>
    <cfRule type="expression" dxfId="369" priority="511">
      <formula>FIND("Apretar",$B92)</formula>
    </cfRule>
    <cfRule type="expression" dxfId="368" priority="512">
      <formula>FIND("Conectar",$B92)</formula>
    </cfRule>
    <cfRule type="expression" dxfId="367" priority="513">
      <formula>FIND("Elaborar",$B92)</formula>
    </cfRule>
    <cfRule type="expression" dxfId="366" priority="514">
      <formula>FIND("Instalar",$B92)</formula>
    </cfRule>
    <cfRule type="expression" dxfId="365" priority="515">
      <formula>FIND("Perforar",$B92)</formula>
    </cfRule>
    <cfRule type="expression" dxfId="364" priority="516">
      <formula>FIND("Pintar",$B92)</formula>
    </cfRule>
    <cfRule type="expression" dxfId="363" priority="517">
      <formula>FIND("Programar",$B92)</formula>
    </cfRule>
    <cfRule type="expression" dxfId="362" priority="518">
      <formula>FIND("Puntear",$B92)</formula>
    </cfRule>
    <cfRule type="expression" dxfId="361" priority="519">
      <formula>FIND("Remachar",$B92)</formula>
    </cfRule>
    <cfRule type="expression" dxfId="360" priority="520">
      <formula>FIND("Rutear",$B92)</formula>
    </cfRule>
    <cfRule type="expression" dxfId="359" priority="521">
      <formula>FIND("Abrir",$B92)</formula>
    </cfRule>
    <cfRule type="expression" dxfId="358" priority="522">
      <formula>FIND("Activar",$B92)</formula>
    </cfRule>
    <cfRule type="expression" dxfId="357" priority="523">
      <formula>FIND("Aflojar",$B92)</formula>
    </cfRule>
    <cfRule type="expression" dxfId="356" priority="524">
      <formula>FIND("Ajustar",$B92)</formula>
    </cfRule>
    <cfRule type="expression" dxfId="355" priority="526">
      <formula>FIND("Colocar",$B92)</formula>
    </cfRule>
    <cfRule type="expression" dxfId="354" priority="527">
      <formula>FIND("Cortar",$B92)</formula>
    </cfRule>
    <cfRule type="expression" dxfId="353" priority="528">
      <formula>FIND("Dejar",$B92)</formula>
    </cfRule>
    <cfRule type="expression" dxfId="352" priority="529">
      <formula>FIND("Encender",$B92)</formula>
    </cfRule>
    <cfRule type="expression" dxfId="351" priority="530">
      <formula>FIND("Firmar",$B92)</formula>
    </cfRule>
    <cfRule type="expression" dxfId="350" priority="531">
      <formula>FIND("Guiar",$B92)</formula>
    </cfRule>
    <cfRule type="expression" dxfId="349" priority="532">
      <formula>FIND("Juntar",$B92)</formula>
    </cfRule>
    <cfRule type="expression" dxfId="348" priority="533">
      <formula>FIND("Meter",$B92)</formula>
    </cfRule>
    <cfRule type="expression" dxfId="347" priority="534">
      <formula>FIND("Mover",$B92)</formula>
    </cfRule>
    <cfRule type="expression" dxfId="346" priority="535">
      <formula>FIND("Preparar",$B92)</formula>
    </cfRule>
    <cfRule type="expression" dxfId="345" priority="536">
      <formula>FIND("Pulir",$B92)</formula>
    </cfRule>
    <cfRule type="expression" dxfId="344" priority="537">
      <formula>FIND("Quitar",$B92)</formula>
    </cfRule>
    <cfRule type="expression" dxfId="343" priority="538">
      <formula>FIND("Sacar",$B92)</formula>
    </cfRule>
    <cfRule type="expression" dxfId="342" priority="539">
      <formula>FIND("Tomar",$B92)</formula>
    </cfRule>
    <cfRule type="expression" dxfId="341" priority="540">
      <formula>FIND("Verificar",$B92)</formula>
    </cfRule>
    <cfRule type="expression" dxfId="340" priority="541">
      <formula>FIND("Caminar",$B92)</formula>
    </cfRule>
  </conditionalFormatting>
  <conditionalFormatting sqref="B101">
    <cfRule type="expression" dxfId="339" priority="381">
      <formula>FIND("Programar",$B101)</formula>
    </cfRule>
    <cfRule type="expression" dxfId="338" priority="406">
      <formula>FIND("Trasladar",$B101)</formula>
    </cfRule>
    <cfRule type="expression" dxfId="337" priority="405">
      <formula>FIND("Caminar",$B101)</formula>
    </cfRule>
    <cfRule type="expression" dxfId="336" priority="404">
      <formula>FIND("Verificar",$B101)</formula>
    </cfRule>
    <cfRule type="expression" dxfId="335" priority="403">
      <formula>FIND("Tomar",$B101)</formula>
    </cfRule>
    <cfRule type="expression" dxfId="334" priority="402">
      <formula>FIND("Sacar",$B101)</formula>
    </cfRule>
    <cfRule type="expression" dxfId="333" priority="401">
      <formula>FIND("Quitar",$B101)</formula>
    </cfRule>
    <cfRule type="expression" dxfId="332" priority="400">
      <formula>FIND("Pulir",$B101)</formula>
    </cfRule>
    <cfRule type="expression" dxfId="331" priority="399">
      <formula>FIND("Preparar",$B101)</formula>
    </cfRule>
    <cfRule type="expression" dxfId="330" priority="398">
      <formula>FIND("Mover",$B101)</formula>
    </cfRule>
    <cfRule type="expression" dxfId="329" priority="397">
      <formula>FIND("Meter",$B101)</formula>
    </cfRule>
    <cfRule type="expression" dxfId="328" priority="396">
      <formula>FIND("Juntar",$B101)</formula>
    </cfRule>
    <cfRule type="expression" dxfId="327" priority="395">
      <formula>FIND("Guiar",$B101)</formula>
    </cfRule>
    <cfRule type="expression" dxfId="326" priority="394">
      <formula>FIND("Firmar",$B101)</formula>
    </cfRule>
    <cfRule type="expression" dxfId="325" priority="393">
      <formula>FIND("Encender",$B101)</formula>
    </cfRule>
    <cfRule type="expression" dxfId="324" priority="392">
      <formula>FIND("Dejar",$B101)</formula>
    </cfRule>
    <cfRule type="expression" dxfId="323" priority="389">
      <formula>FIND("Cerrar",$B101)</formula>
    </cfRule>
    <cfRule type="expression" dxfId="322" priority="388">
      <formula>FIND("Ajustar",$B101)</formula>
    </cfRule>
    <cfRule type="expression" dxfId="321" priority="387">
      <formula>FIND("Aflojar",$B101)</formula>
    </cfRule>
    <cfRule type="expression" dxfId="320" priority="386">
      <formula>FIND("Activar",$B101)</formula>
    </cfRule>
    <cfRule type="expression" dxfId="319" priority="385">
      <formula>FIND("Abrir",$B101)</formula>
    </cfRule>
    <cfRule type="expression" dxfId="318" priority="384">
      <formula>FIND("Rutear",$B101)</formula>
    </cfRule>
    <cfRule type="expression" dxfId="317" priority="383">
      <formula>FIND("Remachar",$B101)</formula>
    </cfRule>
    <cfRule type="expression" dxfId="316" priority="382">
      <formula>FIND("Puntear",$B101)</formula>
    </cfRule>
    <cfRule type="expression" dxfId="315" priority="380">
      <formula>FIND("Pintar",$B101)</formula>
    </cfRule>
    <cfRule type="expression" dxfId="314" priority="407">
      <formula>FIND("Esperar",$B101)</formula>
    </cfRule>
    <cfRule type="expression" dxfId="313" priority="391">
      <formula>FIND("Cortar",$B101)</formula>
    </cfRule>
    <cfRule type="expression" dxfId="312" priority="379">
      <formula>FIND("Perforar",$B101)</formula>
    </cfRule>
    <cfRule type="expression" dxfId="311" priority="378">
      <formula>FIND("Instalar",$B101)</formula>
    </cfRule>
    <cfRule type="expression" dxfId="310" priority="377">
      <formula>FIND("Elaborar",$B101)</formula>
    </cfRule>
    <cfRule type="expression" dxfId="309" priority="376">
      <formula>FIND("Conectar",$B101)</formula>
    </cfRule>
    <cfRule type="expression" dxfId="308" priority="375">
      <formula>FIND("Apretar",$B101)</formula>
    </cfRule>
    <cfRule type="expression" dxfId="307" priority="374">
      <formula>FIND("Marcar",$B101)</formula>
    </cfRule>
    <cfRule type="expression" dxfId="306" priority="390">
      <formula>FIND("Colocar",$B101)</formula>
    </cfRule>
  </conditionalFormatting>
  <conditionalFormatting sqref="B134">
    <cfRule type="expression" dxfId="305" priority="476">
      <formula>FIND("Marcar",$B134)</formula>
    </cfRule>
    <cfRule type="expression" dxfId="304" priority="477">
      <formula>FIND("Apretar",$B134)</formula>
    </cfRule>
    <cfRule type="expression" dxfId="303" priority="478">
      <formula>FIND("Conectar",$B134)</formula>
    </cfRule>
    <cfRule type="expression" dxfId="302" priority="508">
      <formula>FIND("Trasladar",$B134)</formula>
    </cfRule>
    <cfRule type="expression" dxfId="301" priority="507">
      <formula>FIND("Caminar",$B134)</formula>
    </cfRule>
    <cfRule type="expression" dxfId="300" priority="506">
      <formula>FIND("Verificar",$B134)</formula>
    </cfRule>
    <cfRule type="expression" dxfId="299" priority="505">
      <formula>FIND("Tomar",$B134)</formula>
    </cfRule>
    <cfRule type="expression" dxfId="298" priority="504">
      <formula>FIND("Sacar",$B134)</formula>
    </cfRule>
    <cfRule type="expression" dxfId="297" priority="502">
      <formula>FIND("Pulir",$B134)</formula>
    </cfRule>
    <cfRule type="expression" dxfId="296" priority="501">
      <formula>FIND("Preparar",$B134)</formula>
    </cfRule>
    <cfRule type="expression" dxfId="295" priority="500">
      <formula>FIND("Mover",$B134)</formula>
    </cfRule>
    <cfRule type="expression" dxfId="294" priority="499">
      <formula>FIND("Meter",$B134)</formula>
    </cfRule>
    <cfRule type="expression" dxfId="293" priority="498">
      <formula>FIND("Juntar",$B134)</formula>
    </cfRule>
    <cfRule type="expression" dxfId="292" priority="497">
      <formula>FIND("Guiar",$B134)</formula>
    </cfRule>
    <cfRule type="expression" dxfId="291" priority="496">
      <formula>FIND("Firmar",$B134)</formula>
    </cfRule>
    <cfRule type="expression" dxfId="290" priority="495">
      <formula>FIND("Encender",$B134)</formula>
    </cfRule>
    <cfRule type="expression" dxfId="289" priority="509">
      <formula>FIND("Esperar",$B134)</formula>
    </cfRule>
    <cfRule type="expression" dxfId="288" priority="494">
      <formula>FIND("Dejar",$B134)</formula>
    </cfRule>
    <cfRule type="expression" dxfId="287" priority="493">
      <formula>FIND("Cortar",$B134)</formula>
    </cfRule>
    <cfRule type="expression" dxfId="286" priority="492">
      <formula>FIND("Colocar",$B134)</formula>
    </cfRule>
    <cfRule type="expression" dxfId="285" priority="490">
      <formula>FIND("Ajustar",$B134)</formula>
    </cfRule>
    <cfRule type="expression" dxfId="284" priority="489">
      <formula>FIND("Aflojar",$B134)</formula>
    </cfRule>
    <cfRule type="expression" dxfId="283" priority="488">
      <formula>FIND("Activar",$B134)</formula>
    </cfRule>
    <cfRule type="expression" dxfId="282" priority="487">
      <formula>FIND("Abrir",$B134)</formula>
    </cfRule>
    <cfRule type="expression" dxfId="281" priority="485">
      <formula>FIND("Remachar",$B134)</formula>
    </cfRule>
    <cfRule type="expression" dxfId="280" priority="484">
      <formula>FIND("Puntear",$B134)</formula>
    </cfRule>
    <cfRule type="expression" dxfId="279" priority="483">
      <formula>FIND("Programar",$B134)</formula>
    </cfRule>
    <cfRule type="expression" dxfId="278" priority="482">
      <formula>FIND("Pintar",$B134)</formula>
    </cfRule>
    <cfRule type="expression" dxfId="277" priority="481">
      <formula>FIND("Perforar",$B134)</formula>
    </cfRule>
    <cfRule type="expression" dxfId="276" priority="480">
      <formula>FIND("Instalar",$B134)</formula>
    </cfRule>
    <cfRule type="expression" dxfId="275" priority="479">
      <formula>FIND("Elaborar",$B134)</formula>
    </cfRule>
    <cfRule type="expression" dxfId="274" priority="503">
      <formula>FIND("Quitar",$B134)</formula>
    </cfRule>
    <cfRule type="expression" dxfId="273" priority="486">
      <formula>FIND("Rutear",$B134)</formula>
    </cfRule>
    <cfRule type="expression" dxfId="272" priority="491">
      <formula>FIND("Cerrar",$B134)</formula>
    </cfRule>
  </conditionalFormatting>
  <conditionalFormatting sqref="B191">
    <cfRule type="expression" dxfId="271" priority="34">
      <formula>FIND("Esperar",$B191)</formula>
    </cfRule>
    <cfRule type="expression" dxfId="270" priority="1">
      <formula>FIND("Marcar",$B191)</formula>
    </cfRule>
    <cfRule type="expression" dxfId="269" priority="2">
      <formula>FIND("Apretar",$B191)</formula>
    </cfRule>
    <cfRule type="expression" dxfId="268" priority="3">
      <formula>FIND("Conectar",$B191)</formula>
    </cfRule>
    <cfRule type="expression" dxfId="267" priority="4">
      <formula>FIND("Elaborar",$B191)</formula>
    </cfRule>
    <cfRule type="expression" dxfId="266" priority="5">
      <formula>FIND("Instalar",$B191)</formula>
    </cfRule>
    <cfRule type="expression" dxfId="265" priority="6">
      <formula>FIND("Perforar",$B191)</formula>
    </cfRule>
    <cfRule type="expression" dxfId="264" priority="7">
      <formula>FIND("Atornillar",$B191)</formula>
    </cfRule>
    <cfRule type="expression" dxfId="263" priority="8">
      <formula>FIND("Programar",$B191)</formula>
    </cfRule>
    <cfRule type="expression" dxfId="262" priority="9">
      <formula>FIND("Puntear",$B191)</formula>
    </cfRule>
    <cfRule type="expression" dxfId="261" priority="10">
      <formula>FIND("Remachar",$B191)</formula>
    </cfRule>
    <cfRule type="expression" dxfId="260" priority="11">
      <formula>FIND("Rutear",$B191)</formula>
    </cfRule>
    <cfRule type="expression" dxfId="259" priority="12">
      <formula>FIND("Abrir",$B191)</formula>
    </cfRule>
    <cfRule type="expression" dxfId="258" priority="13">
      <formula>FIND("Activar",$B191)</formula>
    </cfRule>
    <cfRule type="expression" dxfId="257" priority="14">
      <formula>FIND("Aflojar",$B191)</formula>
    </cfRule>
    <cfRule type="expression" dxfId="256" priority="15">
      <formula>FIND("Ajustar",$B191)</formula>
    </cfRule>
    <cfRule type="expression" dxfId="255" priority="16">
      <formula>FIND("Cerrar",$B191)</formula>
    </cfRule>
    <cfRule type="expression" dxfId="254" priority="17">
      <formula>FIND("Colocar",$B191)</formula>
    </cfRule>
    <cfRule type="expression" dxfId="253" priority="18">
      <formula>FIND("Cortar",$B191)</formula>
    </cfRule>
    <cfRule type="expression" dxfId="252" priority="19">
      <formula>FIND("Dejar",$B191)</formula>
    </cfRule>
    <cfRule type="expression" dxfId="251" priority="20">
      <formula>FIND("Encender",$B191)</formula>
    </cfRule>
    <cfRule type="expression" dxfId="250" priority="21">
      <formula>FIND("Firmar",$B191)</formula>
    </cfRule>
    <cfRule type="expression" dxfId="249" priority="22">
      <formula>FIND("Guiar",$B191)</formula>
    </cfRule>
    <cfRule type="expression" dxfId="248" priority="23">
      <formula>FIND("Juntar",$B191)</formula>
    </cfRule>
    <cfRule type="expression" dxfId="247" priority="24">
      <formula>FIND("Meter",$B191)</formula>
    </cfRule>
    <cfRule type="expression" dxfId="246" priority="25">
      <formula>FIND("Mover",$B191)</formula>
    </cfRule>
    <cfRule type="expression" dxfId="245" priority="26">
      <formula>FIND("Preparar",$B191)</formula>
    </cfRule>
    <cfRule type="expression" dxfId="244" priority="27">
      <formula>FIND("Pulir",$B191)</formula>
    </cfRule>
    <cfRule type="expression" dxfId="243" priority="28">
      <formula>FIND("Quitar",$B191)</formula>
    </cfRule>
    <cfRule type="expression" dxfId="242" priority="29">
      <formula>FIND("Sacar",$B191)</formula>
    </cfRule>
    <cfRule type="expression" dxfId="241" priority="30">
      <formula>FIND("Tomar",$B191)</formula>
    </cfRule>
    <cfRule type="expression" dxfId="240" priority="31">
      <formula>FIND("Verificar",$B191)</formula>
    </cfRule>
    <cfRule type="expression" dxfId="239" priority="32">
      <formula>FIND("Caminar",$B191)</formula>
    </cfRule>
    <cfRule type="expression" dxfId="238" priority="33">
      <formula>FIND("Trasladar",$B191)</formula>
    </cfRule>
  </conditionalFormatting>
  <conditionalFormatting sqref="B198">
    <cfRule type="expression" dxfId="237" priority="452">
      <formula>FIND("Rutear",$B198)</formula>
    </cfRule>
    <cfRule type="expression" dxfId="236" priority="442">
      <formula>FIND("Marcar",$B198)</formula>
    </cfRule>
    <cfRule type="expression" dxfId="235" priority="451">
      <formula>FIND("Remachar",$B198)</formula>
    </cfRule>
    <cfRule type="expression" dxfId="234" priority="468">
      <formula>FIND("Pulir",$B198)</formula>
    </cfRule>
    <cfRule type="expression" dxfId="233" priority="475">
      <formula>FIND("Esperar",$B198)</formula>
    </cfRule>
    <cfRule type="expression" dxfId="232" priority="474">
      <formula>FIND("Trasladar",$B198)</formula>
    </cfRule>
    <cfRule type="expression" dxfId="231" priority="473">
      <formula>FIND("Caminar",$B198)</formula>
    </cfRule>
    <cfRule type="expression" dxfId="230" priority="472">
      <formula>FIND("Verificar",$B198)</formula>
    </cfRule>
    <cfRule type="expression" dxfId="229" priority="471">
      <formula>FIND("Tomar",$B198)</formula>
    </cfRule>
    <cfRule type="expression" dxfId="228" priority="470">
      <formula>FIND("Sacar",$B198)</formula>
    </cfRule>
    <cfRule type="expression" dxfId="227" priority="469">
      <formula>FIND("Quitar",$B198)</formula>
    </cfRule>
    <cfRule type="expression" dxfId="226" priority="467">
      <formula>FIND("Preparar",$B198)</formula>
    </cfRule>
    <cfRule type="expression" dxfId="225" priority="466">
      <formula>FIND("Mover",$B198)</formula>
    </cfRule>
    <cfRule type="expression" dxfId="224" priority="465">
      <formula>FIND("Meter",$B198)</formula>
    </cfRule>
    <cfRule type="expression" dxfId="223" priority="464">
      <formula>FIND("Juntar",$B198)</formula>
    </cfRule>
    <cfRule type="expression" dxfId="222" priority="463">
      <formula>FIND("Guiar",$B198)</formula>
    </cfRule>
    <cfRule type="expression" dxfId="221" priority="462">
      <formula>FIND("Firmar",$B198)</formula>
    </cfRule>
    <cfRule type="expression" dxfId="220" priority="461">
      <formula>FIND("Encender",$B198)</formula>
    </cfRule>
    <cfRule type="expression" dxfId="219" priority="460">
      <formula>FIND("Dejar",$B198)</formula>
    </cfRule>
    <cfRule type="expression" dxfId="218" priority="459">
      <formula>FIND("Cortar",$B198)</formula>
    </cfRule>
    <cfRule type="expression" dxfId="217" priority="458">
      <formula>FIND("Colocar",$B198)</formula>
    </cfRule>
    <cfRule type="expression" dxfId="216" priority="457">
      <formula>FIND("Cerrar",$B198)</formula>
    </cfRule>
    <cfRule type="expression" dxfId="215" priority="456">
      <formula>FIND("Ajustar",$B198)</formula>
    </cfRule>
    <cfRule type="expression" dxfId="214" priority="455">
      <formula>FIND("Aflojar",$B198)</formula>
    </cfRule>
    <cfRule type="expression" dxfId="213" priority="454">
      <formula>FIND("Activar",$B198)</formula>
    </cfRule>
    <cfRule type="expression" dxfId="212" priority="453">
      <formula>FIND("Abrir",$B198)</formula>
    </cfRule>
    <cfRule type="expression" dxfId="211" priority="450">
      <formula>FIND("Puntear",$B198)</formula>
    </cfRule>
    <cfRule type="expression" dxfId="210" priority="449">
      <formula>FIND("Programar",$B198)</formula>
    </cfRule>
    <cfRule type="expression" dxfId="209" priority="448">
      <formula>FIND("Pintar",$B198)</formula>
    </cfRule>
    <cfRule type="expression" dxfId="208" priority="447">
      <formula>FIND("Perforar",$B198)</formula>
    </cfRule>
    <cfRule type="expression" dxfId="207" priority="446">
      <formula>FIND("Instalar",$B198)</formula>
    </cfRule>
    <cfRule type="expression" dxfId="206" priority="445">
      <formula>FIND("Elaborar",$B198)</formula>
    </cfRule>
    <cfRule type="expression" dxfId="205" priority="444">
      <formula>FIND("Conectar",$B198)</formula>
    </cfRule>
    <cfRule type="expression" dxfId="204" priority="443">
      <formula>FIND("Apretar",$B198)</formula>
    </cfRule>
  </conditionalFormatting>
  <conditionalFormatting sqref="B98:G99">
    <cfRule type="expression" dxfId="203" priority="603">
      <formula>FIND("Preparar",$B98)</formula>
    </cfRule>
    <cfRule type="expression" dxfId="202" priority="596">
      <formula>FIND("Dejar",$B98)</formula>
    </cfRule>
    <cfRule type="expression" dxfId="201" priority="597">
      <formula>FIND("Encender",$B98)</formula>
    </cfRule>
    <cfRule type="expression" dxfId="200" priority="598">
      <formula>FIND("Firmar",$B98)</formula>
    </cfRule>
    <cfRule type="expression" dxfId="199" priority="599">
      <formula>FIND("Guiar",$B98)</formula>
    </cfRule>
    <cfRule type="expression" dxfId="198" priority="600">
      <formula>FIND("Juntar",$B98)</formula>
    </cfRule>
    <cfRule type="expression" dxfId="197" priority="601">
      <formula>FIND("Meter",$B98)</formula>
    </cfRule>
    <cfRule type="expression" dxfId="196" priority="602">
      <formula>FIND("Mover",$B98)</formula>
    </cfRule>
    <cfRule type="expression" dxfId="195" priority="593">
      <formula>FIND("Cerrar",$B98)</formula>
    </cfRule>
    <cfRule type="expression" dxfId="194" priority="604">
      <formula>FIND("Pulir",$B98)</formula>
    </cfRule>
    <cfRule type="expression" dxfId="193" priority="605">
      <formula>FIND("Quitar",$B98)</formula>
    </cfRule>
    <cfRule type="expression" dxfId="192" priority="606">
      <formula>FIND("Sacar",$B98)</formula>
    </cfRule>
    <cfRule type="expression" dxfId="191" priority="608">
      <formula>FIND("Verificar",$B98)</formula>
    </cfRule>
    <cfRule type="expression" dxfId="190" priority="609">
      <formula>FIND("Caminar",$B98)</formula>
    </cfRule>
    <cfRule type="expression" dxfId="189" priority="610">
      <formula>FIND("Trasladar",$B98)</formula>
    </cfRule>
    <cfRule type="expression" dxfId="188" priority="607">
      <formula>FIND("Tomar",$B98)</formula>
    </cfRule>
    <cfRule type="expression" dxfId="187" priority="611">
      <formula>FIND("Esperar",$B98)</formula>
    </cfRule>
    <cfRule type="expression" dxfId="186" priority="595">
      <formula>FIND("Cortar",$B98)</formula>
    </cfRule>
    <cfRule type="expression" dxfId="185" priority="579">
      <formula>FIND("Apretar",$B98)</formula>
    </cfRule>
    <cfRule type="expression" dxfId="184" priority="580">
      <formula>FIND("Conectar",$B98)</formula>
    </cfRule>
    <cfRule type="expression" dxfId="183" priority="581">
      <formula>FIND("Elaborar",$B98)</formula>
    </cfRule>
    <cfRule type="expression" dxfId="182" priority="582">
      <formula>FIND("Instalar",$B98)</formula>
    </cfRule>
    <cfRule type="expression" dxfId="181" priority="583">
      <formula>FIND("Perforar",$B98)</formula>
    </cfRule>
    <cfRule type="expression" dxfId="180" priority="584">
      <formula>FIND("Pintar",$B98)</formula>
    </cfRule>
    <cfRule type="expression" dxfId="179" priority="594">
      <formula>FIND("Colocar",$B98)</formula>
    </cfRule>
    <cfRule type="expression" dxfId="178" priority="586">
      <formula>FIND("Puntear",$B98)</formula>
    </cfRule>
    <cfRule type="expression" dxfId="177" priority="585">
      <formula>FIND("Programar",$B98)</formula>
    </cfRule>
    <cfRule type="expression" dxfId="176" priority="587">
      <formula>FIND("Remachar",$B98)</formula>
    </cfRule>
    <cfRule type="expression" dxfId="175" priority="588">
      <formula>FIND("Rutear",$B98)</formula>
    </cfRule>
    <cfRule type="expression" dxfId="174" priority="578">
      <formula>FIND("Marcar",$B98)</formula>
    </cfRule>
    <cfRule type="expression" dxfId="173" priority="589">
      <formula>FIND("Abrir",$B98)</formula>
    </cfRule>
    <cfRule type="expression" dxfId="172" priority="590">
      <formula>FIND("Activar",$B98)</formula>
    </cfRule>
    <cfRule type="expression" dxfId="171" priority="591">
      <formula>FIND("Aflojar",$B98)</formula>
    </cfRule>
    <cfRule type="expression" dxfId="170" priority="592">
      <formula>FIND("Ajustar",$B98)</formula>
    </cfRule>
  </conditionalFormatting>
  <conditionalFormatting sqref="C134">
    <cfRule type="expression" dxfId="169" priority="764">
      <formula>FIND("Colocar",$B134)</formula>
    </cfRule>
    <cfRule type="expression" dxfId="168" priority="766">
      <formula>FIND("Dejar",$B134)</formula>
    </cfRule>
    <cfRule type="expression" dxfId="167" priority="767">
      <formula>FIND("Encender",$B134)</formula>
    </cfRule>
    <cfRule type="expression" dxfId="166" priority="768">
      <formula>FIND("Firmar",$B134)</formula>
    </cfRule>
    <cfRule type="expression" dxfId="165" priority="769">
      <formula>FIND("Guiar",$B134)</formula>
    </cfRule>
    <cfRule type="expression" dxfId="164" priority="770">
      <formula>FIND("Juntar",$B134)</formula>
    </cfRule>
    <cfRule type="expression" dxfId="163" priority="771">
      <formula>FIND("Meter",$B134)</formula>
    </cfRule>
    <cfRule type="expression" dxfId="162" priority="772">
      <formula>FIND("Mover",$B134)</formula>
    </cfRule>
    <cfRule type="expression" dxfId="161" priority="773">
      <formula>FIND("Preparar",$B134)</formula>
    </cfRule>
    <cfRule type="expression" dxfId="160" priority="774">
      <formula>FIND("Pulir",$B134)</formula>
    </cfRule>
    <cfRule type="expression" dxfId="159" priority="775">
      <formula>FIND("Quitar",$B134)</formula>
    </cfRule>
    <cfRule type="expression" dxfId="158" priority="776">
      <formula>FIND("Sacar",$B134)</formula>
    </cfRule>
    <cfRule type="expression" dxfId="157" priority="777">
      <formula>FIND("Tomar",$B134)</formula>
    </cfRule>
    <cfRule type="expression" dxfId="156" priority="778">
      <formula>FIND("Verificar",$B134)</formula>
    </cfRule>
    <cfRule type="expression" dxfId="155" priority="779">
      <formula>FIND("Caminar",$B134)</formula>
    </cfRule>
    <cfRule type="expression" dxfId="154" priority="780">
      <formula>FIND("Trasladar",$B134)</formula>
    </cfRule>
    <cfRule type="expression" dxfId="153" priority="781">
      <formula>FIND("Esperar",$B134)</formula>
    </cfRule>
    <cfRule type="expression" dxfId="152" priority="765">
      <formula>FIND("Cortar",$B134)</formula>
    </cfRule>
    <cfRule type="expression" dxfId="151" priority="748">
      <formula>FIND("Marcar",$B134)</formula>
    </cfRule>
    <cfRule type="expression" dxfId="150" priority="749">
      <formula>FIND("Apretar",$B134)</formula>
    </cfRule>
    <cfRule type="expression" dxfId="149" priority="750">
      <formula>FIND("Conectar",$B134)</formula>
    </cfRule>
    <cfRule type="expression" dxfId="148" priority="751">
      <formula>FIND("Elaborar",$B134)</formula>
    </cfRule>
    <cfRule type="expression" dxfId="147" priority="752">
      <formula>FIND("Instalar",$B134)</formula>
    </cfRule>
    <cfRule type="expression" dxfId="146" priority="753">
      <formula>FIND("Perforar",$B134)</formula>
    </cfRule>
    <cfRule type="expression" dxfId="145" priority="754">
      <formula>FIND("Pintar",$B134)</formula>
    </cfRule>
    <cfRule type="expression" dxfId="144" priority="755">
      <formula>FIND("Programar",$B134)</formula>
    </cfRule>
    <cfRule type="expression" dxfId="143" priority="756">
      <formula>FIND("Puntear",$B134)</formula>
    </cfRule>
    <cfRule type="expression" dxfId="142" priority="757">
      <formula>FIND("Remachar",$B134)</formula>
    </cfRule>
    <cfRule type="expression" dxfId="141" priority="758">
      <formula>FIND("Rutear",$B134)</formula>
    </cfRule>
    <cfRule type="expression" dxfId="140" priority="759">
      <formula>FIND("Abrir",$B134)</formula>
    </cfRule>
    <cfRule type="expression" dxfId="139" priority="760">
      <formula>FIND("Activar",$B134)</formula>
    </cfRule>
    <cfRule type="expression" dxfId="138" priority="761">
      <formula>FIND("Aflojar",$B134)</formula>
    </cfRule>
    <cfRule type="expression" dxfId="137" priority="762">
      <formula>FIND("Ajustar",$B134)</formula>
    </cfRule>
    <cfRule type="expression" dxfId="136" priority="763">
      <formula>FIND("Cerrar",$B134)</formula>
    </cfRule>
  </conditionalFormatting>
  <conditionalFormatting sqref="C191">
    <cfRule type="expression" dxfId="135" priority="102">
      <formula>FIND("Marcar",$B191)</formula>
    </cfRule>
    <cfRule type="expression" dxfId="134" priority="118">
      <formula>FIND("Colocar",$B191)</formula>
    </cfRule>
    <cfRule type="expression" dxfId="133" priority="117">
      <formula>FIND("Cerrar",$B191)</formula>
    </cfRule>
    <cfRule type="expression" dxfId="132" priority="116">
      <formula>FIND("Ajustar",$B191)</formula>
    </cfRule>
    <cfRule type="expression" dxfId="131" priority="115">
      <formula>FIND("Aflojar",$B191)</formula>
    </cfRule>
    <cfRule type="expression" dxfId="130" priority="114">
      <formula>FIND("Activar",$B191)</formula>
    </cfRule>
    <cfRule type="expression" dxfId="129" priority="113">
      <formula>FIND("Abrir",$B191)</formula>
    </cfRule>
    <cfRule type="expression" dxfId="128" priority="112">
      <formula>FIND("Rutear",$B191)</formula>
    </cfRule>
    <cfRule type="expression" dxfId="127" priority="120">
      <formula>FIND("Dejar",$B191)</formula>
    </cfRule>
    <cfRule type="expression" dxfId="126" priority="110">
      <formula>FIND("Puntear",$B191)</formula>
    </cfRule>
    <cfRule type="expression" dxfId="125" priority="109">
      <formula>FIND("Programar",$B191)</formula>
    </cfRule>
    <cfRule type="expression" dxfId="124" priority="108">
      <formula>FIND("Pintar",$B191)</formula>
    </cfRule>
    <cfRule type="expression" dxfId="123" priority="107">
      <formula>FIND("Perforar",$B191)</formula>
    </cfRule>
    <cfRule type="expression" dxfId="122" priority="106">
      <formula>FIND("Instalar",$B191)</formula>
    </cfRule>
    <cfRule type="expression" dxfId="121" priority="105">
      <formula>FIND("Elaborar",$B191)</formula>
    </cfRule>
    <cfRule type="expression" dxfId="120" priority="104">
      <formula>FIND("Conectar",$B191)</formula>
    </cfRule>
    <cfRule type="expression" dxfId="119" priority="103">
      <formula>FIND("Apretar",$B191)</formula>
    </cfRule>
    <cfRule type="expression" dxfId="118" priority="135">
      <formula>FIND("Esperar",$B191)</formula>
    </cfRule>
    <cfRule type="expression" dxfId="117" priority="134">
      <formula>FIND("Trasladar",$B191)</formula>
    </cfRule>
    <cfRule type="expression" dxfId="116" priority="121">
      <formula>FIND("Encender",$B191)</formula>
    </cfRule>
    <cfRule type="expression" dxfId="115" priority="133">
      <formula>FIND("Caminar",$B191)</formula>
    </cfRule>
    <cfRule type="expression" dxfId="114" priority="132">
      <formula>FIND("Verificar",$B191)</formula>
    </cfRule>
    <cfRule type="expression" dxfId="113" priority="131">
      <formula>FIND("Tomar",$B191)</formula>
    </cfRule>
    <cfRule type="expression" dxfId="112" priority="130">
      <formula>FIND("Sacar",$B191)</formula>
    </cfRule>
    <cfRule type="expression" dxfId="111" priority="129">
      <formula>FIND("Quitar",$B191)</formula>
    </cfRule>
    <cfRule type="expression" dxfId="110" priority="128">
      <formula>FIND("Pulir",$B191)</formula>
    </cfRule>
    <cfRule type="expression" dxfId="109" priority="127">
      <formula>FIND("Preparar",$B191)</formula>
    </cfRule>
    <cfRule type="expression" dxfId="108" priority="126">
      <formula>FIND("Mover",$B191)</formula>
    </cfRule>
    <cfRule type="expression" dxfId="107" priority="125">
      <formula>FIND("Meter",$B191)</formula>
    </cfRule>
    <cfRule type="expression" dxfId="106" priority="119">
      <formula>FIND("Cortar",$B191)</formula>
    </cfRule>
    <cfRule type="expression" dxfId="105" priority="124">
      <formula>FIND("Juntar",$B191)</formula>
    </cfRule>
    <cfRule type="expression" dxfId="104" priority="123">
      <formula>FIND("Guiar",$B191)</formula>
    </cfRule>
    <cfRule type="expression" dxfId="103" priority="122">
      <formula>FIND("Firmar",$B191)</formula>
    </cfRule>
    <cfRule type="expression" dxfId="102" priority="111">
      <formula>FIND("Remachar",$B191)</formula>
    </cfRule>
  </conditionalFormatting>
  <conditionalFormatting sqref="C198">
    <cfRule type="expression" dxfId="101" priority="688">
      <formula>FIND("Puntear",$B198)</formula>
    </cfRule>
    <cfRule type="expression" dxfId="100" priority="700">
      <formula>FIND("Firmar",$B198)</formula>
    </cfRule>
    <cfRule type="expression" dxfId="99" priority="701">
      <formula>FIND("Guiar",$B198)</formula>
    </cfRule>
    <cfRule type="expression" dxfId="98" priority="702">
      <formula>FIND("Juntar",$B198)</formula>
    </cfRule>
    <cfRule type="expression" dxfId="97" priority="703">
      <formula>FIND("Meter",$B198)</formula>
    </cfRule>
    <cfRule type="expression" dxfId="96" priority="704">
      <formula>FIND("Mover",$B198)</formula>
    </cfRule>
    <cfRule type="expression" dxfId="95" priority="705">
      <formula>FIND("Preparar",$B198)</formula>
    </cfRule>
    <cfRule type="expression" dxfId="94" priority="706">
      <formula>FIND("Pulir",$B198)</formula>
    </cfRule>
    <cfRule type="expression" dxfId="93" priority="707">
      <formula>FIND("Quitar",$B198)</formula>
    </cfRule>
    <cfRule type="expression" dxfId="92" priority="709">
      <formula>FIND("Tomar",$B198)</formula>
    </cfRule>
    <cfRule type="expression" dxfId="91" priority="710">
      <formula>FIND("Verificar",$B198)</formula>
    </cfRule>
    <cfRule type="expression" dxfId="90" priority="711">
      <formula>FIND("Caminar",$B198)</formula>
    </cfRule>
    <cfRule type="expression" dxfId="89" priority="712">
      <formula>FIND("Trasladar",$B198)</formula>
    </cfRule>
    <cfRule type="expression" dxfId="88" priority="713">
      <formula>FIND("Esperar",$B198)</formula>
    </cfRule>
    <cfRule type="expression" dxfId="87" priority="708">
      <formula>FIND("Sacar",$B198)</formula>
    </cfRule>
    <cfRule type="expression" dxfId="86" priority="680">
      <formula>FIND("Marcar",$B198)</formula>
    </cfRule>
    <cfRule type="expression" dxfId="85" priority="681">
      <formula>FIND("Apretar",$B198)</formula>
    </cfRule>
    <cfRule type="expression" dxfId="84" priority="682">
      <formula>FIND("Conectar",$B198)</formula>
    </cfRule>
    <cfRule type="expression" dxfId="83" priority="683">
      <formula>FIND("Elaborar",$B198)</formula>
    </cfRule>
    <cfRule type="expression" dxfId="82" priority="684">
      <formula>FIND("Instalar",$B198)</formula>
    </cfRule>
    <cfRule type="expression" dxfId="81" priority="685">
      <formula>FIND("Perforar",$B198)</formula>
    </cfRule>
    <cfRule type="expression" dxfId="80" priority="686">
      <formula>FIND("Pintar",$B198)</formula>
    </cfRule>
    <cfRule type="expression" dxfId="79" priority="687">
      <formula>FIND("Programar",$B198)</formula>
    </cfRule>
    <cfRule type="expression" dxfId="78" priority="689">
      <formula>FIND("Remachar",$B198)</formula>
    </cfRule>
    <cfRule type="expression" dxfId="77" priority="690">
      <formula>FIND("Rutear",$B198)</formula>
    </cfRule>
    <cfRule type="expression" dxfId="76" priority="699">
      <formula>FIND("Encender",$B198)</formula>
    </cfRule>
    <cfRule type="expression" dxfId="75" priority="691">
      <formula>FIND("Abrir",$B198)</formula>
    </cfRule>
    <cfRule type="expression" dxfId="74" priority="692">
      <formula>FIND("Activar",$B198)</formula>
    </cfRule>
    <cfRule type="expression" dxfId="73" priority="693">
      <formula>FIND("Aflojar",$B198)</formula>
    </cfRule>
    <cfRule type="expression" dxfId="72" priority="694">
      <formula>FIND("Ajustar",$B198)</formula>
    </cfRule>
    <cfRule type="expression" dxfId="71" priority="695">
      <formula>FIND("Cerrar",$B198)</formula>
    </cfRule>
    <cfRule type="expression" dxfId="70" priority="696">
      <formula>FIND("Colocar",$B198)</formula>
    </cfRule>
    <cfRule type="expression" dxfId="69" priority="697">
      <formula>FIND("Cortar",$B198)</formula>
    </cfRule>
    <cfRule type="expression" dxfId="68" priority="698">
      <formula>FIND("Dejar",$B198)</formula>
    </cfRule>
  </conditionalFormatting>
  <conditionalFormatting sqref="C46:D46 E46:G48 D47:D48">
    <cfRule type="expression" dxfId="67" priority="1105">
      <formula>FIND("Cortar",$B46)</formula>
    </cfRule>
    <cfRule type="expression" dxfId="66" priority="1089">
      <formula>FIND("Apretar",$B46)</formula>
    </cfRule>
    <cfRule type="expression" dxfId="65" priority="1090">
      <formula>FIND("Conectar",$B46)</formula>
    </cfRule>
    <cfRule type="expression" dxfId="64" priority="1091">
      <formula>FIND("Elaborar",$B46)</formula>
    </cfRule>
    <cfRule type="expression" dxfId="63" priority="1092">
      <formula>FIND("Instalar",$B46)</formula>
    </cfRule>
    <cfRule type="expression" dxfId="62" priority="1093">
      <formula>FIND("Perforar",$B46)</formula>
    </cfRule>
    <cfRule type="expression" dxfId="61" priority="1094">
      <formula>FIND("Pintar",$B46)</formula>
    </cfRule>
    <cfRule type="expression" dxfId="60" priority="1095">
      <formula>FIND("Programar",$B46)</formula>
    </cfRule>
    <cfRule type="expression" dxfId="59" priority="1096">
      <formula>FIND("Puntear",$B46)</formula>
    </cfRule>
    <cfRule type="expression" dxfId="58" priority="1098">
      <formula>FIND("Rutear",$B46)</formula>
    </cfRule>
    <cfRule type="expression" dxfId="57" priority="1099">
      <formula>FIND("Abrir",$B46)</formula>
    </cfRule>
    <cfRule type="expression" dxfId="56" priority="1100">
      <formula>FIND("Activar",$B46)</formula>
    </cfRule>
    <cfRule type="expression" dxfId="55" priority="1101">
      <formula>FIND("Aflojar",$B46)</formula>
    </cfRule>
    <cfRule type="expression" dxfId="54" priority="1102">
      <formula>FIND("Ajustar",$B46)</formula>
    </cfRule>
    <cfRule type="expression" dxfId="53" priority="1103">
      <formula>FIND("Cerrar",$B46)</formula>
    </cfRule>
    <cfRule type="expression" dxfId="52" priority="1104">
      <formula>FIND("Colocar",$B46)</formula>
    </cfRule>
    <cfRule type="expression" dxfId="51" priority="1106">
      <formula>FIND("Dejar",$B46)</formula>
    </cfRule>
    <cfRule type="expression" dxfId="50" priority="1107">
      <formula>FIND("Encender",$B46)</formula>
    </cfRule>
    <cfRule type="expression" dxfId="49" priority="1108">
      <formula>FIND("Firmar",$B46)</formula>
    </cfRule>
    <cfRule type="expression" dxfId="48" priority="1109">
      <formula>FIND("Guiar",$B46)</formula>
    </cfRule>
    <cfRule type="expression" dxfId="47" priority="1110">
      <formula>FIND("Juntar",$B46)</formula>
    </cfRule>
    <cfRule type="expression" dxfId="46" priority="1111">
      <formula>FIND("Meter",$B46)</formula>
    </cfRule>
    <cfRule type="expression" dxfId="45" priority="1112">
      <formula>FIND("Mover",$B46)</formula>
    </cfRule>
    <cfRule type="expression" dxfId="44" priority="1113">
      <formula>FIND("Preparar",$B46)</formula>
    </cfRule>
    <cfRule type="expression" dxfId="43" priority="1114">
      <formula>FIND("Pulir",$B46)</formula>
    </cfRule>
    <cfRule type="expression" dxfId="42" priority="1115">
      <formula>FIND("Quitar",$B46)</formula>
    </cfRule>
    <cfRule type="expression" dxfId="41" priority="1116">
      <formula>FIND("Sacar",$B46)</formula>
    </cfRule>
    <cfRule type="expression" dxfId="40" priority="1117">
      <formula>FIND("Tomar",$B46)</formula>
    </cfRule>
    <cfRule type="expression" dxfId="39" priority="1118">
      <formula>FIND("Verificar",$B46)</formula>
    </cfRule>
    <cfRule type="expression" dxfId="38" priority="1119">
      <formula>FIND("Caminar",$B46)</formula>
    </cfRule>
    <cfRule type="expression" dxfId="37" priority="1120">
      <formula>FIND("Trasladar",$B46)</formula>
    </cfRule>
    <cfRule type="expression" dxfId="36" priority="1121">
      <formula>FIND("Esperar",$B46)</formula>
    </cfRule>
    <cfRule type="expression" dxfId="35" priority="1088">
      <formula>FIND("Marcar",$B46)</formula>
    </cfRule>
    <cfRule type="expression" dxfId="34" priority="1097">
      <formula>FIND("Remachar",$B46)</formula>
    </cfRule>
  </conditionalFormatting>
  <conditionalFormatting sqref="D49:G56">
    <cfRule type="expression" dxfId="33" priority="645">
      <formula>FIND("Esperar",$B49)</formula>
    </cfRule>
    <cfRule type="expression" dxfId="32" priority="642">
      <formula>FIND("Verificar",$B49)</formula>
    </cfRule>
    <cfRule type="expression" dxfId="31" priority="641">
      <formula>FIND("Tomar",$B49)</formula>
    </cfRule>
    <cfRule type="expression" dxfId="30" priority="640">
      <formula>FIND("Sacar",$B49)</formula>
    </cfRule>
    <cfRule type="expression" dxfId="29" priority="639">
      <formula>FIND("Quitar",$B49)</formula>
    </cfRule>
    <cfRule type="expression" dxfId="28" priority="638">
      <formula>FIND("Pulir",$B49)</formula>
    </cfRule>
    <cfRule type="expression" dxfId="27" priority="637">
      <formula>FIND("Preparar",$B49)</formula>
    </cfRule>
    <cfRule type="expression" dxfId="26" priority="636">
      <formula>FIND("Mover",$B49)</formula>
    </cfRule>
    <cfRule type="expression" dxfId="25" priority="635">
      <formula>FIND("Meter",$B49)</formula>
    </cfRule>
    <cfRule type="expression" dxfId="24" priority="634">
      <formula>FIND("Juntar",$B49)</formula>
    </cfRule>
    <cfRule type="expression" dxfId="23" priority="633">
      <formula>FIND("Guiar",$B49)</formula>
    </cfRule>
    <cfRule type="expression" dxfId="22" priority="632">
      <formula>FIND("Firmar",$B49)</formula>
    </cfRule>
    <cfRule type="expression" dxfId="21" priority="631">
      <formula>FIND("Encender",$B49)</formula>
    </cfRule>
    <cfRule type="expression" dxfId="20" priority="630">
      <formula>FIND("Dejar",$B49)</formula>
    </cfRule>
    <cfRule type="expression" dxfId="19" priority="628">
      <formula>FIND("Colocar",$B49)</formula>
    </cfRule>
    <cfRule type="expression" dxfId="18" priority="627">
      <formula>FIND("Cerrar",$B49)</formula>
    </cfRule>
    <cfRule type="expression" dxfId="17" priority="629">
      <formula>FIND("Cortar",$B49)</formula>
    </cfRule>
    <cfRule type="expression" dxfId="16" priority="626">
      <formula>FIND("Ajustar",$B49)</formula>
    </cfRule>
    <cfRule type="expression" dxfId="15" priority="625">
      <formula>FIND("Aflojar",$B49)</formula>
    </cfRule>
    <cfRule type="expression" dxfId="14" priority="624">
      <formula>FIND("Activar",$B49)</formula>
    </cfRule>
    <cfRule type="expression" dxfId="13" priority="623">
      <formula>FIND("Abrir",$B49)</formula>
    </cfRule>
    <cfRule type="expression" dxfId="12" priority="622">
      <formula>FIND("Rutear",$B49)</formula>
    </cfRule>
    <cfRule type="expression" dxfId="11" priority="621">
      <formula>FIND("Remachar",$B49)</formula>
    </cfRule>
    <cfRule type="expression" dxfId="10" priority="620">
      <formula>FIND("Puntear",$B49)</formula>
    </cfRule>
    <cfRule type="expression" dxfId="9" priority="619">
      <formula>FIND("Programar",$B49)</formula>
    </cfRule>
    <cfRule type="expression" dxfId="8" priority="618">
      <formula>FIND("Pintar",$B49)</formula>
    </cfRule>
    <cfRule type="expression" dxfId="7" priority="617">
      <formula>FIND("Perforar",$B49)</formula>
    </cfRule>
    <cfRule type="expression" dxfId="6" priority="616">
      <formula>FIND("Instalar",$B49)</formula>
    </cfRule>
    <cfRule type="expression" dxfId="5" priority="615">
      <formula>FIND("Elaborar",$B49)</formula>
    </cfRule>
    <cfRule type="expression" dxfId="4" priority="614">
      <formula>FIND("Conectar",$B49)</formula>
    </cfRule>
    <cfRule type="expression" dxfId="3" priority="613">
      <formula>FIND("Apretar",$B49)</formula>
    </cfRule>
    <cfRule type="expression" dxfId="2" priority="612">
      <formula>FIND("Marcar",$B49)</formula>
    </cfRule>
    <cfRule type="expression" dxfId="1" priority="644">
      <formula>FIND("Trasladar",$B49)</formula>
    </cfRule>
    <cfRule type="expression" dxfId="0" priority="643">
      <formula>FIND("Caminar",$B49)</formula>
    </cfRule>
  </conditionalFormatting>
  <dataValidations count="1">
    <dataValidation type="whole" operator="greaterThan" allowBlank="1" showInputMessage="1" showErrorMessage="1" sqref="D46:G48 D50:G55 D76:G76 D101:G133 D91:G91 D57:G73 D199:G220" xr:uid="{00000000-0002-0000-0100-000000000000}">
      <formula1>0</formula1>
    </dataValidation>
  </dataValidations>
  <printOptions horizontalCentered="1"/>
  <pageMargins left="0" right="0" top="0.196850393700787" bottom="0" header="0.196850393700787" footer="0"/>
  <pageSetup paperSize="3" scale="37" fitToHeight="0" orientation="portrait" r:id="rId1"/>
  <headerFooter alignWithMargins="0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-0.499984740745262"/>
  </sheetPr>
  <dimension ref="B1:N55"/>
  <sheetViews>
    <sheetView showGridLines="0" tabSelected="1" topLeftCell="A28" zoomScale="55" zoomScaleNormal="100" workbookViewId="0">
      <selection activeCell="G95" sqref="G95"/>
    </sheetView>
  </sheetViews>
  <sheetFormatPr defaultColWidth="9.109375" defaultRowHeight="14.4" x14ac:dyDescent="0.3"/>
  <cols>
    <col min="2" max="2" width="21.5546875" customWidth="1"/>
    <col min="3" max="11" width="18.33203125" customWidth="1"/>
  </cols>
  <sheetData>
    <row r="1" spans="2:11" ht="15" thickBot="1" x14ac:dyDescent="0.35"/>
    <row r="2" spans="2:11" x14ac:dyDescent="0.3">
      <c r="B2" s="143" t="str">
        <f>+'NORTH FACE'!C3</f>
        <v>NORTH FACE</v>
      </c>
      <c r="C2" s="144"/>
      <c r="D2" s="144"/>
      <c r="E2" s="144"/>
      <c r="F2" s="144"/>
      <c r="G2" s="144"/>
      <c r="H2" s="144"/>
      <c r="I2" s="144"/>
      <c r="J2" s="144"/>
      <c r="K2" s="145"/>
    </row>
    <row r="3" spans="2:11" x14ac:dyDescent="0.3">
      <c r="B3" s="146"/>
      <c r="C3" s="147"/>
      <c r="D3" s="147"/>
      <c r="E3" s="147"/>
      <c r="F3" s="147"/>
      <c r="G3" s="147"/>
      <c r="H3" s="147"/>
      <c r="I3" s="147"/>
      <c r="J3" s="147"/>
      <c r="K3" s="148"/>
    </row>
    <row r="4" spans="2:11" ht="15" thickBot="1" x14ac:dyDescent="0.35">
      <c r="B4" s="149"/>
      <c r="C4" s="150"/>
      <c r="D4" s="150"/>
      <c r="E4" s="150"/>
      <c r="F4" s="150"/>
      <c r="G4" s="150"/>
      <c r="H4" s="150"/>
      <c r="I4" s="150"/>
      <c r="J4" s="150"/>
      <c r="K4" s="151"/>
    </row>
    <row r="13" spans="2:11" x14ac:dyDescent="0.3"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2:11" x14ac:dyDescent="0.3"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2:11" x14ac:dyDescent="0.3"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2:11" x14ac:dyDescent="0.3"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2:11" x14ac:dyDescent="0.3"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2:11" x14ac:dyDescent="0.3"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2:11" x14ac:dyDescent="0.3"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2:11" x14ac:dyDescent="0.3"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2:11" x14ac:dyDescent="0.3"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2:11" x14ac:dyDescent="0.3"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2:11" x14ac:dyDescent="0.3"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2:11" x14ac:dyDescent="0.3"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2:11" x14ac:dyDescent="0.3"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2:11" x14ac:dyDescent="0.3">
      <c r="B26" s="1"/>
      <c r="C26" s="1"/>
      <c r="D26" s="1"/>
      <c r="E26" s="1"/>
      <c r="F26" s="1"/>
      <c r="G26" s="1"/>
      <c r="H26" s="1"/>
      <c r="I26" s="1"/>
      <c r="J26" s="1"/>
      <c r="K26" s="1"/>
    </row>
    <row r="45" spans="2:11" ht="60" customHeight="1" x14ac:dyDescent="0.3">
      <c r="C45" s="99" t="str">
        <f>+'NORTH FACE'!B37</f>
        <v>Estacion #1-Fabricacion subensamble</v>
      </c>
      <c r="D45" s="99" t="str">
        <f>+'NORTH FACE'!B49</f>
        <v>Estacion #2-Fabricacion</v>
      </c>
      <c r="E45" s="99" t="str">
        <f>+'NORTH FACE'!B56</f>
        <v>Estacion #3-Fabricacion</v>
      </c>
      <c r="F45" s="99" t="str">
        <f>+'NORTH FACE'!B75</f>
        <v>Estacion #4-H</v>
      </c>
      <c r="G45" s="99" t="str">
        <f>+'NORTH FACE'!B89</f>
        <v>Estacion #5-H Subensamble</v>
      </c>
      <c r="H45" s="99" t="str">
        <f>+'NORTH FACE'!B101</f>
        <v>Estacion #6-Ensamble completo</v>
      </c>
      <c r="I45" s="99" t="str">
        <f>+'NORTH FACE'!B134</f>
        <v>Estacion #7-Integracion</v>
      </c>
      <c r="J45" s="99" t="str">
        <f>+'NORTH FACE'!B198</f>
        <v>Estacion #9-Empaque</v>
      </c>
      <c r="K45" s="98" t="s">
        <v>131</v>
      </c>
    </row>
    <row r="46" spans="2:11" x14ac:dyDescent="0.3">
      <c r="B46" s="1"/>
      <c r="C46" s="26">
        <v>1</v>
      </c>
      <c r="D46" s="26">
        <v>2</v>
      </c>
      <c r="E46" s="26">
        <v>3</v>
      </c>
      <c r="F46" s="26">
        <v>4</v>
      </c>
      <c r="G46" s="26">
        <v>5</v>
      </c>
      <c r="H46" s="26">
        <v>6</v>
      </c>
      <c r="I46" s="26">
        <v>7</v>
      </c>
      <c r="J46" s="26">
        <v>8</v>
      </c>
      <c r="K46" s="26"/>
    </row>
    <row r="47" spans="2:11" ht="15.6" x14ac:dyDescent="0.3">
      <c r="B47" s="28" t="s">
        <v>132</v>
      </c>
      <c r="C47" s="34">
        <f t="shared" ref="C47:J47" si="0">(C48*60)/C49</f>
        <v>46.332000000000001</v>
      </c>
      <c r="D47" s="34">
        <f t="shared" si="0"/>
        <v>35.844545454545454</v>
      </c>
      <c r="E47" s="34">
        <f t="shared" si="0"/>
        <v>80.921454545454566</v>
      </c>
      <c r="F47" s="34">
        <f t="shared" si="0"/>
        <v>47.544545454545457</v>
      </c>
      <c r="G47" s="34">
        <f t="shared" si="0"/>
        <v>18.634909090909094</v>
      </c>
      <c r="H47" s="34">
        <f t="shared" si="0"/>
        <v>136.48581818181816</v>
      </c>
      <c r="I47" s="34">
        <f t="shared" si="0"/>
        <v>94.684909090909102</v>
      </c>
      <c r="J47" s="34">
        <f t="shared" si="0"/>
        <v>0</v>
      </c>
      <c r="K47" s="34">
        <f>SUM(C47:J47)</f>
        <v>460.44818181818187</v>
      </c>
    </row>
    <row r="48" spans="2:11" ht="15.6" x14ac:dyDescent="0.3">
      <c r="B48" s="29" t="s">
        <v>133</v>
      </c>
      <c r="C48" s="34">
        <f>SUM(C50:C53)</f>
        <v>36.299999999999997</v>
      </c>
      <c r="D48" s="34">
        <f t="shared" ref="D48:J48" si="1">SUM(D50:D53)</f>
        <v>28.083333333333332</v>
      </c>
      <c r="E48" s="34">
        <f t="shared" si="1"/>
        <v>63.400000000000006</v>
      </c>
      <c r="F48" s="34">
        <f t="shared" si="1"/>
        <v>37.25</v>
      </c>
      <c r="G48" s="34">
        <f t="shared" si="1"/>
        <v>14.6</v>
      </c>
      <c r="H48" s="34">
        <f t="shared" si="1"/>
        <v>106.93333333333332</v>
      </c>
      <c r="I48" s="34">
        <f t="shared" si="1"/>
        <v>74.183333333333337</v>
      </c>
      <c r="J48" s="34">
        <f t="shared" si="1"/>
        <v>0</v>
      </c>
      <c r="K48" s="34">
        <f>SUM(C48:J48)</f>
        <v>360.75</v>
      </c>
    </row>
    <row r="49" spans="2:14" ht="15.6" x14ac:dyDescent="0.3">
      <c r="B49" s="29" t="s">
        <v>134</v>
      </c>
      <c r="C49" s="34">
        <f>+'Master Sheet'!$G$5</f>
        <v>47.008547008547005</v>
      </c>
      <c r="D49" s="34">
        <f>+'Master Sheet'!$G$5</f>
        <v>47.008547008547005</v>
      </c>
      <c r="E49" s="34">
        <f>+'Master Sheet'!$G$5</f>
        <v>47.008547008547005</v>
      </c>
      <c r="F49" s="34">
        <f>+'Master Sheet'!$G$5</f>
        <v>47.008547008547005</v>
      </c>
      <c r="G49" s="34">
        <f>+'Master Sheet'!$G$5</f>
        <v>47.008547008547005</v>
      </c>
      <c r="H49" s="34">
        <f>+'Master Sheet'!$G$5</f>
        <v>47.008547008547005</v>
      </c>
      <c r="I49" s="34">
        <f>+'Master Sheet'!$G$5</f>
        <v>47.008547008547005</v>
      </c>
      <c r="J49" s="34">
        <f>+'Master Sheet'!$G$5</f>
        <v>47.008547008547005</v>
      </c>
      <c r="K49" s="34">
        <f>'Master Sheet'!$F$5</f>
        <v>2820.5128205128203</v>
      </c>
    </row>
    <row r="50" spans="2:14" ht="15.6" x14ac:dyDescent="0.3">
      <c r="B50" s="30" t="s">
        <v>135</v>
      </c>
      <c r="C50" s="35">
        <f>IF(C46="","",SUM('NORTH FACE'!K3:K12))/60</f>
        <v>34.416666666666664</v>
      </c>
      <c r="D50" s="35">
        <f>IF(D46="","",SUM('NORTH FACE'!L3:L12))/60</f>
        <v>26.366666666666667</v>
      </c>
      <c r="E50" s="35">
        <f>IF(E46="","",SUM('NORTH FACE'!M3:M12))/60</f>
        <v>54.6</v>
      </c>
      <c r="F50" s="35">
        <f>IF(F46="","",SUM('NORTH FACE'!N3:N12))/60</f>
        <v>19.8</v>
      </c>
      <c r="G50" s="35">
        <f>IF(G46="","",SUM('NORTH FACE'!O3:O12))/60</f>
        <v>13.633333333333333</v>
      </c>
      <c r="H50" s="35">
        <f>IF(H46="","",SUM('NORTH FACE'!P3:P12))/60</f>
        <v>72.849999999999994</v>
      </c>
      <c r="I50" s="35">
        <f>IF(I46="","",SUM('NORTH FACE'!Q3:Q12))/60</f>
        <v>27.183333333333334</v>
      </c>
      <c r="J50" s="35">
        <f>IF(J46="","",SUM('NORTH FACE'!R3:R12))/60</f>
        <v>0</v>
      </c>
      <c r="K50" s="35">
        <f>SUM(C50:J50)</f>
        <v>248.85</v>
      </c>
    </row>
    <row r="51" spans="2:14" ht="15.6" x14ac:dyDescent="0.3">
      <c r="B51" s="31" t="s">
        <v>136</v>
      </c>
      <c r="C51" s="36">
        <f>IF(C46="","",SUM('NORTH FACE'!K14:K34))/60</f>
        <v>1.8833333333333333</v>
      </c>
      <c r="D51" s="36">
        <f>IF(D46="","",SUM('NORTH FACE'!L14:L34))/60</f>
        <v>1.7166666666666666</v>
      </c>
      <c r="E51" s="36">
        <f>IF(E46="","",SUM('NORTH FACE'!M14:M34))/60</f>
        <v>6.333333333333333</v>
      </c>
      <c r="F51" s="36">
        <f>IF(F46="","",SUM('NORTH FACE'!N14:N34))/60</f>
        <v>0</v>
      </c>
      <c r="G51" s="36">
        <f>IF(G46="","",SUM('NORTH FACE'!O14:O34))/60</f>
        <v>0.96666666666666667</v>
      </c>
      <c r="H51" s="36">
        <f>IF(H46="","",SUM('NORTH FACE'!P14:P34))/60</f>
        <v>16.733333333333334</v>
      </c>
      <c r="I51" s="36">
        <f>IF(I46="","",SUM('NORTH FACE'!Q14:Q34))/60</f>
        <v>28.566666666666666</v>
      </c>
      <c r="J51" s="36">
        <f>IF(J46="","",SUM('NORTH FACE'!R14:R34))/60</f>
        <v>0</v>
      </c>
      <c r="K51" s="36">
        <f>SUM(C51:J51)</f>
        <v>56.2</v>
      </c>
    </row>
    <row r="52" spans="2:14" ht="15.6" x14ac:dyDescent="0.3">
      <c r="B52" s="32" t="s">
        <v>137</v>
      </c>
      <c r="C52" s="37">
        <f>IF(C46="","",SUM('NORTH FACE'!K36:K37))/60</f>
        <v>0</v>
      </c>
      <c r="D52" s="37">
        <f>IF(D46="","",SUM('NORTH FACE'!L36:L37))/60</f>
        <v>0</v>
      </c>
      <c r="E52" s="37">
        <f>IF(E46="","",SUM('NORTH FACE'!M36:M37))/60</f>
        <v>2.4666666666666668</v>
      </c>
      <c r="F52" s="37">
        <f>IF(F46="","",SUM('NORTH FACE'!N36:N37))/60</f>
        <v>17.45</v>
      </c>
      <c r="G52" s="37">
        <f>IF(G46="","",SUM('NORTH FACE'!O36:O37))/60</f>
        <v>0</v>
      </c>
      <c r="H52" s="37">
        <f>IF(H46="","",SUM('NORTH FACE'!P36:P37))/60</f>
        <v>6.8</v>
      </c>
      <c r="I52" s="37">
        <f>IF(I46="","",SUM('NORTH FACE'!Q36:Q37))/60</f>
        <v>14.533333333333333</v>
      </c>
      <c r="J52" s="37">
        <f>IF(J46="","",SUM('NORTH FACE'!R36:R37))/60</f>
        <v>0</v>
      </c>
      <c r="K52" s="37">
        <f>SUM(C52:J52)</f>
        <v>41.25</v>
      </c>
    </row>
    <row r="53" spans="2:14" ht="15.6" x14ac:dyDescent="0.3">
      <c r="B53" s="33" t="s">
        <v>138</v>
      </c>
      <c r="C53" s="38">
        <f>IF(C46="","",'NORTH FACE'!K39)/60</f>
        <v>0</v>
      </c>
      <c r="D53" s="38">
        <f>IF(D46="","",'NORTH FACE'!L39)/60</f>
        <v>0</v>
      </c>
      <c r="E53" s="38">
        <f>IF(E46="","",'NORTH FACE'!M39)/60</f>
        <v>0</v>
      </c>
      <c r="F53" s="38">
        <f>IF(F46="","",'NORTH FACE'!N39)/60</f>
        <v>0</v>
      </c>
      <c r="G53" s="38">
        <f>IF(G46="","",'NORTH FACE'!O39)/60</f>
        <v>0</v>
      </c>
      <c r="H53" s="38">
        <f>IF(H46="","",'NORTH FACE'!P39)/60</f>
        <v>10.55</v>
      </c>
      <c r="I53" s="38">
        <f>IF(I46="","",'NORTH FACE'!Q39)/60</f>
        <v>3.9</v>
      </c>
      <c r="J53" s="38">
        <f>IF(J46="","",'NORTH FACE'!R39)/60</f>
        <v>0</v>
      </c>
      <c r="K53" s="38">
        <f>SUM(C53:J53)</f>
        <v>14.450000000000001</v>
      </c>
      <c r="N53" s="78"/>
    </row>
    <row r="54" spans="2:14" ht="15.6" x14ac:dyDescent="0.3">
      <c r="B54" s="29" t="s">
        <v>139</v>
      </c>
      <c r="C54" s="39">
        <f t="shared" ref="C54:J54" si="2">IFERROR(C48/C49,"")</f>
        <v>0.7722</v>
      </c>
      <c r="D54" s="39">
        <f t="shared" si="2"/>
        <v>0.59740909090909089</v>
      </c>
      <c r="E54" s="39">
        <f t="shared" si="2"/>
        <v>1.3486909090909094</v>
      </c>
      <c r="F54" s="39">
        <f t="shared" si="2"/>
        <v>0.79240909090909095</v>
      </c>
      <c r="G54" s="39">
        <f t="shared" si="2"/>
        <v>0.31058181818181818</v>
      </c>
      <c r="H54" s="39">
        <f t="shared" si="2"/>
        <v>2.2747636363636361</v>
      </c>
      <c r="I54" s="39">
        <f t="shared" si="2"/>
        <v>1.5780818181818184</v>
      </c>
      <c r="J54" s="39">
        <f t="shared" si="2"/>
        <v>0</v>
      </c>
      <c r="K54" s="39">
        <f>SUM(C54:J54)</f>
        <v>7.6741363636363644</v>
      </c>
    </row>
    <row r="55" spans="2:14" x14ac:dyDescent="0.3">
      <c r="C55" s="110"/>
      <c r="D55" s="110"/>
      <c r="E55" s="110"/>
      <c r="F55" s="110"/>
      <c r="G55" s="110"/>
      <c r="H55" s="110"/>
      <c r="I55" s="110"/>
      <c r="J55" s="110"/>
    </row>
  </sheetData>
  <mergeCells count="1">
    <mergeCell ref="B2:K4"/>
  </mergeCells>
  <phoneticPr fontId="30" type="noConversion"/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483C0-4690-4D40-B005-207A140F97B9}">
  <dimension ref="B1:C15"/>
  <sheetViews>
    <sheetView showGridLines="0" zoomScale="70" zoomScaleNormal="70" workbookViewId="0">
      <selection activeCell="C21" sqref="C21"/>
    </sheetView>
  </sheetViews>
  <sheetFormatPr defaultColWidth="9.109375" defaultRowHeight="14.4" x14ac:dyDescent="0.3"/>
  <cols>
    <col min="1" max="1" width="12.6640625" bestFit="1" customWidth="1"/>
    <col min="2" max="2" width="23" customWidth="1"/>
    <col min="3" max="3" width="49.6640625" customWidth="1"/>
    <col min="4" max="4" width="36.6640625" bestFit="1" customWidth="1"/>
    <col min="5" max="5" width="10.6640625" bestFit="1" customWidth="1"/>
    <col min="6" max="6" width="34.33203125" bestFit="1" customWidth="1"/>
    <col min="7" max="7" width="14.109375" customWidth="1"/>
    <col min="8" max="8" width="34.33203125" bestFit="1" customWidth="1"/>
    <col min="9" max="9" width="13.6640625" customWidth="1"/>
    <col min="10" max="10" width="34.33203125" bestFit="1" customWidth="1"/>
  </cols>
  <sheetData>
    <row r="1" spans="2:3" ht="15.75" customHeight="1" x14ac:dyDescent="0.3"/>
    <row r="2" spans="2:3" ht="15.75" customHeight="1" thickBot="1" x14ac:dyDescent="0.35"/>
    <row r="3" spans="2:3" ht="19.5" customHeight="1" thickBot="1" x14ac:dyDescent="0.35">
      <c r="C3" s="134" t="str">
        <f>+'NORTH FACE'!C3</f>
        <v>NORTH FACE</v>
      </c>
    </row>
    <row r="4" spans="2:3" ht="18.600000000000001" thickBot="1" x14ac:dyDescent="0.4">
      <c r="C4" s="130" t="s">
        <v>140</v>
      </c>
    </row>
    <row r="5" spans="2:3" x14ac:dyDescent="0.3">
      <c r="B5" s="185" t="s">
        <v>141</v>
      </c>
      <c r="C5" s="117" t="s">
        <v>142</v>
      </c>
    </row>
    <row r="6" spans="2:3" x14ac:dyDescent="0.3">
      <c r="B6" s="186"/>
      <c r="C6" s="118" t="s">
        <v>143</v>
      </c>
    </row>
    <row r="7" spans="2:3" ht="15" thickBot="1" x14ac:dyDescent="0.35">
      <c r="B7" s="187"/>
      <c r="C7" s="119" t="s">
        <v>144</v>
      </c>
    </row>
    <row r="8" spans="2:3" x14ac:dyDescent="0.3">
      <c r="B8" s="185" t="s">
        <v>101</v>
      </c>
      <c r="C8" s="117" t="s">
        <v>145</v>
      </c>
    </row>
    <row r="9" spans="2:3" ht="15" thickBot="1" x14ac:dyDescent="0.35">
      <c r="B9" s="187"/>
      <c r="C9" s="119" t="s">
        <v>146</v>
      </c>
    </row>
    <row r="10" spans="2:3" x14ac:dyDescent="0.3">
      <c r="B10" s="183" t="s">
        <v>147</v>
      </c>
      <c r="C10" s="117" t="s">
        <v>148</v>
      </c>
    </row>
    <row r="11" spans="2:3" ht="15" thickBot="1" x14ac:dyDescent="0.35">
      <c r="B11" s="184"/>
      <c r="C11" s="119" t="s">
        <v>149</v>
      </c>
    </row>
    <row r="12" spans="2:3" x14ac:dyDescent="0.3">
      <c r="B12" s="183" t="s">
        <v>150</v>
      </c>
      <c r="C12" s="117" t="s">
        <v>151</v>
      </c>
    </row>
    <row r="13" spans="2:3" ht="15" thickBot="1" x14ac:dyDescent="0.35">
      <c r="B13" s="184"/>
      <c r="C13" s="119" t="s">
        <v>152</v>
      </c>
    </row>
    <row r="14" spans="2:3" ht="15" thickBot="1" x14ac:dyDescent="0.35">
      <c r="B14" s="121" t="s">
        <v>153</v>
      </c>
      <c r="C14" s="132" t="s">
        <v>154</v>
      </c>
    </row>
    <row r="15" spans="2:3" ht="15" thickBot="1" x14ac:dyDescent="0.35">
      <c r="B15" s="133" t="s">
        <v>147</v>
      </c>
      <c r="C15" s="119" t="s">
        <v>155</v>
      </c>
    </row>
  </sheetData>
  <mergeCells count="4">
    <mergeCell ref="B12:B13"/>
    <mergeCell ref="B5:B7"/>
    <mergeCell ref="B8:B9"/>
    <mergeCell ref="B10:B11"/>
  </mergeCells>
  <phoneticPr fontId="30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3135c27-0243-4daf-8b7a-788c1210fe2f">
      <Terms xmlns="http://schemas.microsoft.com/office/infopath/2007/PartnerControls"/>
    </lcf76f155ced4ddcb4097134ff3c332f>
    <TaxCatchAll xmlns="1cde314e-f52d-4c9f-b44f-4abcd04550b6" xsi:nil="true"/>
    <_Flow_SignoffStatus xmlns="b3135c27-0243-4daf-8b7a-788c1210fe2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E071979851D14FB210E4F5400C8FA6" ma:contentTypeVersion="15" ma:contentTypeDescription="Create a new document." ma:contentTypeScope="" ma:versionID="f3de961afd062a78b9d0ffcf572f8262">
  <xsd:schema xmlns:xsd="http://www.w3.org/2001/XMLSchema" xmlns:xs="http://www.w3.org/2001/XMLSchema" xmlns:p="http://schemas.microsoft.com/office/2006/metadata/properties" xmlns:ns2="b3135c27-0243-4daf-8b7a-788c1210fe2f" xmlns:ns3="1cde314e-f52d-4c9f-b44f-4abcd04550b6" targetNamespace="http://schemas.microsoft.com/office/2006/metadata/properties" ma:root="true" ma:fieldsID="bec31d95bd54d1cc2a8e0590b55e21de" ns2:_="" ns3:_="">
    <xsd:import namespace="b3135c27-0243-4daf-8b7a-788c1210fe2f"/>
    <xsd:import namespace="1cde314e-f52d-4c9f-b44f-4abcd04550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135c27-0243-4daf-8b7a-788c1210fe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d09fcb3d-e549-4c68-b6bb-6683e36459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de314e-f52d-4c9f-b44f-4abcd04550b6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5a082afd-b992-446c-b07d-bd8dada0bcca}" ma:internalName="TaxCatchAll" ma:showField="CatchAllData" ma:web="1cde314e-f52d-4c9f-b44f-4abcd04550b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42107B7-AE17-418D-B938-FF8460F187FC}">
  <ds:schemaRefs>
    <ds:schemaRef ds:uri="http://purl.org/dc/terms/"/>
    <ds:schemaRef ds:uri="b3135c27-0243-4daf-8b7a-788c1210fe2f"/>
    <ds:schemaRef ds:uri="http://schemas.microsoft.com/office/2006/metadata/properties"/>
    <ds:schemaRef ds:uri="1cde314e-f52d-4c9f-b44f-4abcd04550b6"/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17B4BEB1-0825-4CC1-BCC1-080F7F8B5A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3135c27-0243-4daf-8b7a-788c1210fe2f"/>
    <ds:schemaRef ds:uri="1cde314e-f52d-4c9f-b44f-4abcd04550b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C6D2F26-CFF8-442D-BFFA-FABCEF0935C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Master Sheet</vt:lpstr>
      <vt:lpstr>NORTH FACE</vt:lpstr>
      <vt:lpstr>Pillar Chart  NORTHFACE</vt:lpstr>
      <vt:lpstr>Configuración </vt:lpstr>
      <vt:lpstr>'NORTH FACE'!Print_Area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Marquez, Daniel J</dc:creator>
  <cp:keywords/>
  <dc:description/>
  <cp:lastModifiedBy>Adriana Ramirez</cp:lastModifiedBy>
  <cp:revision/>
  <dcterms:created xsi:type="dcterms:W3CDTF">2017-06-29T12:49:56Z</dcterms:created>
  <dcterms:modified xsi:type="dcterms:W3CDTF">2026-05-23T23:59:42Z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0x010100A2E071979851D14FB210E4F5400C8FA6</vt:lpwstr>
  </property>
  <property fmtid="{D5CDD505-2E9C-101B-9397-08002B2CF9AE}" pid="3" name="MediaServiceImageTags">
    <vt:lpwstr/>
  </property>
</Properties>
</file>